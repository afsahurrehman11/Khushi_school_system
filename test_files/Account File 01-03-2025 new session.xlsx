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2475" yWindow="2055" windowWidth="28455" windowHeight="13710"/>
  </bookViews>
  <sheets>
    <sheet name="01-03-2025-26" sheetId="3" r:id="rId1"/>
    <sheet name="Struck off  (2)" sheetId="2" r:id="rId2"/>
  </sheets>
  <definedNames>
    <definedName name="_xlnm._FilterDatabase" localSheetId="0" hidden="1">'01-03-2025-26'!$A$1:$X$1035</definedName>
    <definedName name="_xlnm._FilterDatabase" localSheetId="1" hidden="1">'Struck off  (2)'!$A$5:$O$518</definedName>
    <definedName name="_xlnm.Print_Area" localSheetId="0">'01-03-2025-26'!$A$1:$V$1035</definedName>
    <definedName name="_xlnm.Print_Area" localSheetId="1">'Struck off  (2)'!$A$1:$V$847</definedName>
    <definedName name="_xlnm.Print_Titles" localSheetId="0">'01-03-2025-26'!$1:$1</definedName>
  </definedNames>
  <calcPr calcId="124519"/>
</workbook>
</file>

<file path=xl/calcChain.xml><?xml version="1.0" encoding="utf-8"?>
<calcChain xmlns="http://schemas.openxmlformats.org/spreadsheetml/2006/main">
  <c r="N847" i="2"/>
  <c r="R847" s="1"/>
  <c r="N846"/>
  <c r="R846" s="1"/>
  <c r="N845"/>
  <c r="R845" s="1"/>
  <c r="N500" i="3"/>
  <c r="R500" s="1"/>
  <c r="N821"/>
  <c r="R821" s="1"/>
  <c r="N733"/>
  <c r="R733" s="1"/>
  <c r="N25"/>
  <c r="R25" s="1"/>
  <c r="N24"/>
  <c r="R24" s="1"/>
  <c r="P843" i="2"/>
  <c r="T843"/>
  <c r="U843" s="1"/>
  <c r="N732" i="3"/>
  <c r="R732" s="1"/>
  <c r="N23"/>
  <c r="R23" s="1"/>
  <c r="N78"/>
  <c r="R78" s="1"/>
  <c r="N471"/>
  <c r="R471" s="1"/>
  <c r="N607"/>
  <c r="R607" s="1"/>
  <c r="N694"/>
  <c r="R694" s="1"/>
  <c r="N772"/>
  <c r="R772" s="1"/>
  <c r="N773"/>
  <c r="R773" s="1"/>
  <c r="N820"/>
  <c r="R820" s="1"/>
  <c r="N771"/>
  <c r="R771" s="1"/>
  <c r="O1035"/>
  <c r="P1035"/>
  <c r="F1035"/>
  <c r="Q1035"/>
  <c r="N2"/>
  <c r="S847" i="2" l="1"/>
  <c r="T847"/>
  <c r="S846"/>
  <c r="T846"/>
  <c r="T845"/>
  <c r="S845"/>
  <c r="V843"/>
  <c r="S500" i="3"/>
  <c r="T500"/>
  <c r="S821"/>
  <c r="T821"/>
  <c r="S733"/>
  <c r="T733"/>
  <c r="S25"/>
  <c r="T25"/>
  <c r="S24"/>
  <c r="T24"/>
  <c r="S732"/>
  <c r="T732"/>
  <c r="S23"/>
  <c r="T23"/>
  <c r="S78"/>
  <c r="T78"/>
  <c r="S471"/>
  <c r="T471"/>
  <c r="S607"/>
  <c r="T607"/>
  <c r="S694"/>
  <c r="T694"/>
  <c r="S772"/>
  <c r="T772"/>
  <c r="S773"/>
  <c r="T773"/>
  <c r="S820"/>
  <c r="T820"/>
  <c r="T771"/>
  <c r="S771"/>
  <c r="N3"/>
  <c r="R3" s="1"/>
  <c r="N4"/>
  <c r="R4" s="1"/>
  <c r="N5"/>
  <c r="R5" s="1"/>
  <c r="N6"/>
  <c r="R6" s="1"/>
  <c r="N7"/>
  <c r="R7" s="1"/>
  <c r="N8"/>
  <c r="R8" s="1"/>
  <c r="N9"/>
  <c r="R9" s="1"/>
  <c r="N10"/>
  <c r="R10" s="1"/>
  <c r="N11"/>
  <c r="R11" s="1"/>
  <c r="N12"/>
  <c r="R12" s="1"/>
  <c r="N13"/>
  <c r="R13" s="1"/>
  <c r="N14"/>
  <c r="R14" s="1"/>
  <c r="N15"/>
  <c r="R15" s="1"/>
  <c r="N16"/>
  <c r="R16" s="1"/>
  <c r="N17"/>
  <c r="R17" s="1"/>
  <c r="N18"/>
  <c r="R18" s="1"/>
  <c r="N19"/>
  <c r="R19" s="1"/>
  <c r="N20"/>
  <c r="R20" s="1"/>
  <c r="N21"/>
  <c r="R21" s="1"/>
  <c r="N22"/>
  <c r="R22" s="1"/>
  <c r="N26"/>
  <c r="R26" s="1"/>
  <c r="N27"/>
  <c r="R27" s="1"/>
  <c r="N28"/>
  <c r="R28" s="1"/>
  <c r="N29"/>
  <c r="R29" s="1"/>
  <c r="N30"/>
  <c r="R30" s="1"/>
  <c r="N31"/>
  <c r="R31" s="1"/>
  <c r="N32"/>
  <c r="R32" s="1"/>
  <c r="N33"/>
  <c r="R33" s="1"/>
  <c r="N34"/>
  <c r="R34" s="1"/>
  <c r="N35"/>
  <c r="R35" s="1"/>
  <c r="N36"/>
  <c r="R36" s="1"/>
  <c r="N37"/>
  <c r="R37" s="1"/>
  <c r="N38"/>
  <c r="R38" s="1"/>
  <c r="N39"/>
  <c r="R39" s="1"/>
  <c r="N40"/>
  <c r="R40" s="1"/>
  <c r="N41"/>
  <c r="R41" s="1"/>
  <c r="N42"/>
  <c r="R42" s="1"/>
  <c r="N43"/>
  <c r="R43" s="1"/>
  <c r="N44"/>
  <c r="R44" s="1"/>
  <c r="N45"/>
  <c r="R45" s="1"/>
  <c r="N46"/>
  <c r="R46" s="1"/>
  <c r="N47"/>
  <c r="R47" s="1"/>
  <c r="N48"/>
  <c r="R48" s="1"/>
  <c r="N49"/>
  <c r="R49" s="1"/>
  <c r="N50"/>
  <c r="R50" s="1"/>
  <c r="N51"/>
  <c r="R51" s="1"/>
  <c r="N52"/>
  <c r="R52" s="1"/>
  <c r="N53"/>
  <c r="R53" s="1"/>
  <c r="N54"/>
  <c r="R54" s="1"/>
  <c r="N55"/>
  <c r="R55" s="1"/>
  <c r="N56"/>
  <c r="R56" s="1"/>
  <c r="N57"/>
  <c r="R57" s="1"/>
  <c r="N58"/>
  <c r="R58" s="1"/>
  <c r="N59"/>
  <c r="R59" s="1"/>
  <c r="N60"/>
  <c r="R60" s="1"/>
  <c r="N61"/>
  <c r="R61" s="1"/>
  <c r="N62"/>
  <c r="R62" s="1"/>
  <c r="N63"/>
  <c r="R63" s="1"/>
  <c r="N64"/>
  <c r="R64" s="1"/>
  <c r="N65"/>
  <c r="R65" s="1"/>
  <c r="N66"/>
  <c r="R66" s="1"/>
  <c r="N67"/>
  <c r="R67" s="1"/>
  <c r="N68"/>
  <c r="R68" s="1"/>
  <c r="N69"/>
  <c r="R69" s="1"/>
  <c r="N70"/>
  <c r="R70" s="1"/>
  <c r="N71"/>
  <c r="R71" s="1"/>
  <c r="N72"/>
  <c r="R72" s="1"/>
  <c r="N73"/>
  <c r="R73" s="1"/>
  <c r="N74"/>
  <c r="R74" s="1"/>
  <c r="N75"/>
  <c r="R75" s="1"/>
  <c r="N76"/>
  <c r="R76" s="1"/>
  <c r="N77"/>
  <c r="R77" s="1"/>
  <c r="N79"/>
  <c r="R79" s="1"/>
  <c r="N80"/>
  <c r="R80" s="1"/>
  <c r="N81"/>
  <c r="R81" s="1"/>
  <c r="N82"/>
  <c r="R82" s="1"/>
  <c r="N83"/>
  <c r="R83" s="1"/>
  <c r="N84"/>
  <c r="R84" s="1"/>
  <c r="N85"/>
  <c r="R85" s="1"/>
  <c r="N86"/>
  <c r="R86" s="1"/>
  <c r="N87"/>
  <c r="R87" s="1"/>
  <c r="N88"/>
  <c r="R88" s="1"/>
  <c r="N89"/>
  <c r="R89" s="1"/>
  <c r="N90"/>
  <c r="R90" s="1"/>
  <c r="N91"/>
  <c r="R91" s="1"/>
  <c r="N92"/>
  <c r="R92" s="1"/>
  <c r="N93"/>
  <c r="R93" s="1"/>
  <c r="N94"/>
  <c r="R94" s="1"/>
  <c r="N95"/>
  <c r="R95" s="1"/>
  <c r="N96"/>
  <c r="R96" s="1"/>
  <c r="N97"/>
  <c r="R97" s="1"/>
  <c r="N98"/>
  <c r="R98" s="1"/>
  <c r="N99"/>
  <c r="R99" s="1"/>
  <c r="N100"/>
  <c r="R100" s="1"/>
  <c r="N101"/>
  <c r="R101" s="1"/>
  <c r="N102"/>
  <c r="R102" s="1"/>
  <c r="N103"/>
  <c r="R103" s="1"/>
  <c r="N104"/>
  <c r="R104" s="1"/>
  <c r="N105"/>
  <c r="R105" s="1"/>
  <c r="N106"/>
  <c r="R106" s="1"/>
  <c r="N107"/>
  <c r="R107" s="1"/>
  <c r="N108"/>
  <c r="R108" s="1"/>
  <c r="N109"/>
  <c r="R109" s="1"/>
  <c r="N110"/>
  <c r="R110" s="1"/>
  <c r="N111"/>
  <c r="R111" s="1"/>
  <c r="N112"/>
  <c r="R112" s="1"/>
  <c r="N113"/>
  <c r="R113" s="1"/>
  <c r="N114"/>
  <c r="R114" s="1"/>
  <c r="N115"/>
  <c r="R115" s="1"/>
  <c r="N116"/>
  <c r="R116" s="1"/>
  <c r="N117"/>
  <c r="R117" s="1"/>
  <c r="N118"/>
  <c r="R118" s="1"/>
  <c r="N119"/>
  <c r="R119" s="1"/>
  <c r="N120"/>
  <c r="R120" s="1"/>
  <c r="N121"/>
  <c r="R121" s="1"/>
  <c r="N122"/>
  <c r="R122" s="1"/>
  <c r="N123"/>
  <c r="R123" s="1"/>
  <c r="N124"/>
  <c r="R124" s="1"/>
  <c r="N125"/>
  <c r="R125" s="1"/>
  <c r="N126"/>
  <c r="R126" s="1"/>
  <c r="N127"/>
  <c r="R127" s="1"/>
  <c r="N128"/>
  <c r="R128" s="1"/>
  <c r="N129"/>
  <c r="R129" s="1"/>
  <c r="N130"/>
  <c r="R130" s="1"/>
  <c r="N131"/>
  <c r="R131" s="1"/>
  <c r="N132"/>
  <c r="R132" s="1"/>
  <c r="N133"/>
  <c r="R133" s="1"/>
  <c r="N134"/>
  <c r="R134" s="1"/>
  <c r="N135"/>
  <c r="R135" s="1"/>
  <c r="N136"/>
  <c r="R136" s="1"/>
  <c r="N137"/>
  <c r="R137" s="1"/>
  <c r="N138"/>
  <c r="R138" s="1"/>
  <c r="N139"/>
  <c r="R139" s="1"/>
  <c r="N140"/>
  <c r="R140" s="1"/>
  <c r="N141"/>
  <c r="R141" s="1"/>
  <c r="N142"/>
  <c r="R142" s="1"/>
  <c r="N143"/>
  <c r="R143" s="1"/>
  <c r="N144"/>
  <c r="R144" s="1"/>
  <c r="N145"/>
  <c r="R145" s="1"/>
  <c r="N146"/>
  <c r="R146" s="1"/>
  <c r="N147"/>
  <c r="R147" s="1"/>
  <c r="N148"/>
  <c r="R148" s="1"/>
  <c r="N149"/>
  <c r="R149" s="1"/>
  <c r="N150"/>
  <c r="R150" s="1"/>
  <c r="N151"/>
  <c r="R151" s="1"/>
  <c r="N152"/>
  <c r="R152" s="1"/>
  <c r="N153"/>
  <c r="R153" s="1"/>
  <c r="N154"/>
  <c r="R154" s="1"/>
  <c r="N155"/>
  <c r="R155" s="1"/>
  <c r="N156"/>
  <c r="R156" s="1"/>
  <c r="N157"/>
  <c r="R157" s="1"/>
  <c r="N158"/>
  <c r="R158" s="1"/>
  <c r="N159"/>
  <c r="R159" s="1"/>
  <c r="N160"/>
  <c r="R160" s="1"/>
  <c r="N161"/>
  <c r="R161" s="1"/>
  <c r="N162"/>
  <c r="R162" s="1"/>
  <c r="N163"/>
  <c r="R163" s="1"/>
  <c r="N164"/>
  <c r="R164" s="1"/>
  <c r="N165"/>
  <c r="R165" s="1"/>
  <c r="N166"/>
  <c r="R166" s="1"/>
  <c r="N167"/>
  <c r="R167" s="1"/>
  <c r="N168"/>
  <c r="R168" s="1"/>
  <c r="N169"/>
  <c r="R169" s="1"/>
  <c r="N170"/>
  <c r="R170" s="1"/>
  <c r="N171"/>
  <c r="R171" s="1"/>
  <c r="N172"/>
  <c r="R172" s="1"/>
  <c r="N173"/>
  <c r="R173" s="1"/>
  <c r="N174"/>
  <c r="R174" s="1"/>
  <c r="N175"/>
  <c r="R175" s="1"/>
  <c r="N176"/>
  <c r="R176" s="1"/>
  <c r="N177"/>
  <c r="R177" s="1"/>
  <c r="N178"/>
  <c r="R178" s="1"/>
  <c r="N179"/>
  <c r="R179" s="1"/>
  <c r="N180"/>
  <c r="R180" s="1"/>
  <c r="N181"/>
  <c r="R181" s="1"/>
  <c r="N182"/>
  <c r="R182" s="1"/>
  <c r="N183"/>
  <c r="R183" s="1"/>
  <c r="N184"/>
  <c r="R184" s="1"/>
  <c r="N185"/>
  <c r="R185" s="1"/>
  <c r="N186"/>
  <c r="R186" s="1"/>
  <c r="N187"/>
  <c r="R187" s="1"/>
  <c r="N188"/>
  <c r="R188" s="1"/>
  <c r="N189"/>
  <c r="R189" s="1"/>
  <c r="N190"/>
  <c r="R190" s="1"/>
  <c r="N191"/>
  <c r="R191" s="1"/>
  <c r="N192"/>
  <c r="R192" s="1"/>
  <c r="N193"/>
  <c r="R193" s="1"/>
  <c r="N194"/>
  <c r="R194" s="1"/>
  <c r="N195"/>
  <c r="R195" s="1"/>
  <c r="N196"/>
  <c r="R196" s="1"/>
  <c r="N197"/>
  <c r="R197" s="1"/>
  <c r="N198"/>
  <c r="R198" s="1"/>
  <c r="N199"/>
  <c r="R199" s="1"/>
  <c r="N200"/>
  <c r="R200" s="1"/>
  <c r="N201"/>
  <c r="R201" s="1"/>
  <c r="N202"/>
  <c r="R202" s="1"/>
  <c r="N203"/>
  <c r="R203" s="1"/>
  <c r="N204"/>
  <c r="R204" s="1"/>
  <c r="N205"/>
  <c r="R205" s="1"/>
  <c r="N206"/>
  <c r="R206" s="1"/>
  <c r="N207"/>
  <c r="R207" s="1"/>
  <c r="N208"/>
  <c r="R208" s="1"/>
  <c r="N209"/>
  <c r="R209" s="1"/>
  <c r="N210"/>
  <c r="R210" s="1"/>
  <c r="N211"/>
  <c r="R211" s="1"/>
  <c r="N212"/>
  <c r="R212" s="1"/>
  <c r="N213"/>
  <c r="R213" s="1"/>
  <c r="N214"/>
  <c r="R214" s="1"/>
  <c r="N215"/>
  <c r="R215" s="1"/>
  <c r="N216"/>
  <c r="R216" s="1"/>
  <c r="N217"/>
  <c r="R217" s="1"/>
  <c r="N218"/>
  <c r="R218" s="1"/>
  <c r="N219"/>
  <c r="R219" s="1"/>
  <c r="N220"/>
  <c r="R220" s="1"/>
  <c r="N221"/>
  <c r="R221" s="1"/>
  <c r="N222"/>
  <c r="R222" s="1"/>
  <c r="N223"/>
  <c r="R223" s="1"/>
  <c r="N224"/>
  <c r="R224" s="1"/>
  <c r="N225"/>
  <c r="R225" s="1"/>
  <c r="N226"/>
  <c r="R226" s="1"/>
  <c r="N227"/>
  <c r="R227" s="1"/>
  <c r="N228"/>
  <c r="R228" s="1"/>
  <c r="N229"/>
  <c r="R229" s="1"/>
  <c r="N230"/>
  <c r="R230" s="1"/>
  <c r="N231"/>
  <c r="R231" s="1"/>
  <c r="N232"/>
  <c r="R232" s="1"/>
  <c r="N233"/>
  <c r="R233" s="1"/>
  <c r="N234"/>
  <c r="R234" s="1"/>
  <c r="N235"/>
  <c r="R235" s="1"/>
  <c r="N236"/>
  <c r="R236" s="1"/>
  <c r="N237"/>
  <c r="R237" s="1"/>
  <c r="N238"/>
  <c r="R238" s="1"/>
  <c r="N239"/>
  <c r="R239" s="1"/>
  <c r="N240"/>
  <c r="R240" s="1"/>
  <c r="N241"/>
  <c r="R241" s="1"/>
  <c r="N242"/>
  <c r="R242" s="1"/>
  <c r="N243"/>
  <c r="R243" s="1"/>
  <c r="N244"/>
  <c r="R244" s="1"/>
  <c r="N245"/>
  <c r="R245" s="1"/>
  <c r="N246"/>
  <c r="R246" s="1"/>
  <c r="N247"/>
  <c r="R247" s="1"/>
  <c r="N248"/>
  <c r="R248" s="1"/>
  <c r="N249"/>
  <c r="R249" s="1"/>
  <c r="N250"/>
  <c r="R250" s="1"/>
  <c r="N251"/>
  <c r="R251" s="1"/>
  <c r="N252"/>
  <c r="R252" s="1"/>
  <c r="N253"/>
  <c r="R253" s="1"/>
  <c r="N254"/>
  <c r="R254" s="1"/>
  <c r="N255"/>
  <c r="R255" s="1"/>
  <c r="N256"/>
  <c r="R256" s="1"/>
  <c r="N257"/>
  <c r="R257" s="1"/>
  <c r="N258"/>
  <c r="R258" s="1"/>
  <c r="N259"/>
  <c r="R259" s="1"/>
  <c r="N260"/>
  <c r="R260" s="1"/>
  <c r="N261"/>
  <c r="R261" s="1"/>
  <c r="N262"/>
  <c r="R262" s="1"/>
  <c r="N263"/>
  <c r="R263" s="1"/>
  <c r="N264"/>
  <c r="R264" s="1"/>
  <c r="N265"/>
  <c r="R265" s="1"/>
  <c r="N266"/>
  <c r="R266" s="1"/>
  <c r="N267"/>
  <c r="R267" s="1"/>
  <c r="N268"/>
  <c r="R268" s="1"/>
  <c r="N269"/>
  <c r="R269" s="1"/>
  <c r="N270"/>
  <c r="R270" s="1"/>
  <c r="N271"/>
  <c r="R271" s="1"/>
  <c r="N272"/>
  <c r="R272" s="1"/>
  <c r="N273"/>
  <c r="R273" s="1"/>
  <c r="N274"/>
  <c r="R274" s="1"/>
  <c r="N275"/>
  <c r="R275" s="1"/>
  <c r="N276"/>
  <c r="R276" s="1"/>
  <c r="N277"/>
  <c r="R277" s="1"/>
  <c r="N278"/>
  <c r="R278" s="1"/>
  <c r="N279"/>
  <c r="R279" s="1"/>
  <c r="N280"/>
  <c r="R280" s="1"/>
  <c r="N281"/>
  <c r="R281" s="1"/>
  <c r="N282"/>
  <c r="R282" s="1"/>
  <c r="N283"/>
  <c r="R283" s="1"/>
  <c r="N284"/>
  <c r="R284" s="1"/>
  <c r="N285"/>
  <c r="R285" s="1"/>
  <c r="N286"/>
  <c r="R286" s="1"/>
  <c r="N287"/>
  <c r="R287" s="1"/>
  <c r="N288"/>
  <c r="R288" s="1"/>
  <c r="N289"/>
  <c r="R289" s="1"/>
  <c r="N290"/>
  <c r="R290" s="1"/>
  <c r="N291"/>
  <c r="R291" s="1"/>
  <c r="N292"/>
  <c r="R292" s="1"/>
  <c r="N293"/>
  <c r="R293" s="1"/>
  <c r="N294"/>
  <c r="R294" s="1"/>
  <c r="N295"/>
  <c r="R295" s="1"/>
  <c r="N296"/>
  <c r="R296" s="1"/>
  <c r="N297"/>
  <c r="R297" s="1"/>
  <c r="N298"/>
  <c r="R298" s="1"/>
  <c r="N299"/>
  <c r="R299" s="1"/>
  <c r="N300"/>
  <c r="R300" s="1"/>
  <c r="N301"/>
  <c r="R301" s="1"/>
  <c r="N302"/>
  <c r="R302" s="1"/>
  <c r="N303"/>
  <c r="R303" s="1"/>
  <c r="N304"/>
  <c r="R304" s="1"/>
  <c r="N305"/>
  <c r="R305" s="1"/>
  <c r="N306"/>
  <c r="R306" s="1"/>
  <c r="N307"/>
  <c r="R307" s="1"/>
  <c r="N308"/>
  <c r="R308" s="1"/>
  <c r="N309"/>
  <c r="R309" s="1"/>
  <c r="N310"/>
  <c r="R310" s="1"/>
  <c r="N311"/>
  <c r="R311" s="1"/>
  <c r="N312"/>
  <c r="R312" s="1"/>
  <c r="N313"/>
  <c r="R313" s="1"/>
  <c r="N314"/>
  <c r="R314" s="1"/>
  <c r="N315"/>
  <c r="R315" s="1"/>
  <c r="N316"/>
  <c r="R316" s="1"/>
  <c r="N317"/>
  <c r="R317" s="1"/>
  <c r="N318"/>
  <c r="R318" s="1"/>
  <c r="N319"/>
  <c r="R319" s="1"/>
  <c r="N320"/>
  <c r="R320" s="1"/>
  <c r="N321"/>
  <c r="R321" s="1"/>
  <c r="N322"/>
  <c r="R322" s="1"/>
  <c r="N323"/>
  <c r="R323" s="1"/>
  <c r="N324"/>
  <c r="R324" s="1"/>
  <c r="N325"/>
  <c r="R325" s="1"/>
  <c r="N326"/>
  <c r="R326" s="1"/>
  <c r="N327"/>
  <c r="R327" s="1"/>
  <c r="N328"/>
  <c r="R328" s="1"/>
  <c r="N329"/>
  <c r="R329" s="1"/>
  <c r="N330"/>
  <c r="R330" s="1"/>
  <c r="N331"/>
  <c r="R331" s="1"/>
  <c r="N332"/>
  <c r="R332" s="1"/>
  <c r="N333"/>
  <c r="R333" s="1"/>
  <c r="N334"/>
  <c r="R334" s="1"/>
  <c r="N335"/>
  <c r="R335" s="1"/>
  <c r="N336"/>
  <c r="R336" s="1"/>
  <c r="N337"/>
  <c r="R337" s="1"/>
  <c r="N338"/>
  <c r="R338" s="1"/>
  <c r="N339"/>
  <c r="R339" s="1"/>
  <c r="N340"/>
  <c r="R340" s="1"/>
  <c r="N341"/>
  <c r="R341" s="1"/>
  <c r="N342"/>
  <c r="R342" s="1"/>
  <c r="N343"/>
  <c r="R343" s="1"/>
  <c r="N344"/>
  <c r="R344" s="1"/>
  <c r="N345"/>
  <c r="R345" s="1"/>
  <c r="N346"/>
  <c r="R346" s="1"/>
  <c r="N347"/>
  <c r="R347" s="1"/>
  <c r="N348"/>
  <c r="R348" s="1"/>
  <c r="N349"/>
  <c r="R349" s="1"/>
  <c r="N350"/>
  <c r="R350" s="1"/>
  <c r="N351"/>
  <c r="R351" s="1"/>
  <c r="N352"/>
  <c r="R352" s="1"/>
  <c r="N353"/>
  <c r="R353" s="1"/>
  <c r="N354"/>
  <c r="R354" s="1"/>
  <c r="N355"/>
  <c r="R355" s="1"/>
  <c r="N356"/>
  <c r="R356" s="1"/>
  <c r="N357"/>
  <c r="R357" s="1"/>
  <c r="N358"/>
  <c r="R358" s="1"/>
  <c r="N359"/>
  <c r="R359" s="1"/>
  <c r="N360"/>
  <c r="R360" s="1"/>
  <c r="N361"/>
  <c r="R361" s="1"/>
  <c r="N362"/>
  <c r="R362" s="1"/>
  <c r="N363"/>
  <c r="R363" s="1"/>
  <c r="N364"/>
  <c r="R364" s="1"/>
  <c r="N365"/>
  <c r="R365" s="1"/>
  <c r="N366"/>
  <c r="R366" s="1"/>
  <c r="N367"/>
  <c r="R367" s="1"/>
  <c r="N368"/>
  <c r="R368" s="1"/>
  <c r="N369"/>
  <c r="R369" s="1"/>
  <c r="N370"/>
  <c r="R370" s="1"/>
  <c r="N371"/>
  <c r="R371" s="1"/>
  <c r="N372"/>
  <c r="R372" s="1"/>
  <c r="N373"/>
  <c r="R373" s="1"/>
  <c r="N374"/>
  <c r="R374" s="1"/>
  <c r="N375"/>
  <c r="R375" s="1"/>
  <c r="N376"/>
  <c r="R376" s="1"/>
  <c r="N377"/>
  <c r="R377" s="1"/>
  <c r="N378"/>
  <c r="R378" s="1"/>
  <c r="N379"/>
  <c r="R379" s="1"/>
  <c r="N380"/>
  <c r="R380" s="1"/>
  <c r="N381"/>
  <c r="R381" s="1"/>
  <c r="N382"/>
  <c r="R382" s="1"/>
  <c r="N383"/>
  <c r="R383" s="1"/>
  <c r="N384"/>
  <c r="R384" s="1"/>
  <c r="N385"/>
  <c r="R385" s="1"/>
  <c r="N386"/>
  <c r="R386" s="1"/>
  <c r="N387"/>
  <c r="R387" s="1"/>
  <c r="N388"/>
  <c r="R388" s="1"/>
  <c r="N389"/>
  <c r="R389" s="1"/>
  <c r="N390"/>
  <c r="R390" s="1"/>
  <c r="N391"/>
  <c r="R391" s="1"/>
  <c r="N392"/>
  <c r="R392" s="1"/>
  <c r="N393"/>
  <c r="R393" s="1"/>
  <c r="N394"/>
  <c r="R394" s="1"/>
  <c r="N395"/>
  <c r="R395" s="1"/>
  <c r="N396"/>
  <c r="R396" s="1"/>
  <c r="N397"/>
  <c r="R397" s="1"/>
  <c r="N398"/>
  <c r="R398" s="1"/>
  <c r="N399"/>
  <c r="R399" s="1"/>
  <c r="N400"/>
  <c r="R400" s="1"/>
  <c r="N401"/>
  <c r="R401" s="1"/>
  <c r="N402"/>
  <c r="R402" s="1"/>
  <c r="N403"/>
  <c r="R403" s="1"/>
  <c r="N404"/>
  <c r="R404" s="1"/>
  <c r="N405"/>
  <c r="R405" s="1"/>
  <c r="N406"/>
  <c r="R406" s="1"/>
  <c r="N407"/>
  <c r="R407" s="1"/>
  <c r="N408"/>
  <c r="R408" s="1"/>
  <c r="N409"/>
  <c r="R409" s="1"/>
  <c r="N410"/>
  <c r="R410" s="1"/>
  <c r="N411"/>
  <c r="R411" s="1"/>
  <c r="N412"/>
  <c r="R412" s="1"/>
  <c r="N413"/>
  <c r="R413" s="1"/>
  <c r="N414"/>
  <c r="R414" s="1"/>
  <c r="N415"/>
  <c r="R415" s="1"/>
  <c r="N416"/>
  <c r="R416" s="1"/>
  <c r="N417"/>
  <c r="R417" s="1"/>
  <c r="N418"/>
  <c r="R418" s="1"/>
  <c r="N419"/>
  <c r="R419" s="1"/>
  <c r="N420"/>
  <c r="R420" s="1"/>
  <c r="N421"/>
  <c r="R421" s="1"/>
  <c r="N422"/>
  <c r="R422" s="1"/>
  <c r="N423"/>
  <c r="R423" s="1"/>
  <c r="N424"/>
  <c r="R424" s="1"/>
  <c r="N425"/>
  <c r="R425" s="1"/>
  <c r="N426"/>
  <c r="R426" s="1"/>
  <c r="N427"/>
  <c r="R427" s="1"/>
  <c r="N428"/>
  <c r="R428" s="1"/>
  <c r="N429"/>
  <c r="R429" s="1"/>
  <c r="N430"/>
  <c r="R430" s="1"/>
  <c r="N431"/>
  <c r="R431" s="1"/>
  <c r="N432"/>
  <c r="R432" s="1"/>
  <c r="N433"/>
  <c r="R433" s="1"/>
  <c r="N434"/>
  <c r="R434" s="1"/>
  <c r="N435"/>
  <c r="R435" s="1"/>
  <c r="N436"/>
  <c r="R436" s="1"/>
  <c r="N437"/>
  <c r="R437" s="1"/>
  <c r="N438"/>
  <c r="R438" s="1"/>
  <c r="N439"/>
  <c r="R439" s="1"/>
  <c r="N440"/>
  <c r="R440" s="1"/>
  <c r="N441"/>
  <c r="R441" s="1"/>
  <c r="N442"/>
  <c r="R442" s="1"/>
  <c r="N443"/>
  <c r="R443" s="1"/>
  <c r="N444"/>
  <c r="R444" s="1"/>
  <c r="N445"/>
  <c r="R445" s="1"/>
  <c r="N446"/>
  <c r="R446" s="1"/>
  <c r="N447"/>
  <c r="R447" s="1"/>
  <c r="N448"/>
  <c r="R448" s="1"/>
  <c r="N449"/>
  <c r="R449" s="1"/>
  <c r="N450"/>
  <c r="R450" s="1"/>
  <c r="N451"/>
  <c r="R451" s="1"/>
  <c r="N452"/>
  <c r="R452" s="1"/>
  <c r="N453"/>
  <c r="R453" s="1"/>
  <c r="N454"/>
  <c r="R454" s="1"/>
  <c r="N455"/>
  <c r="R455" s="1"/>
  <c r="N456"/>
  <c r="R456" s="1"/>
  <c r="N457"/>
  <c r="R457" s="1"/>
  <c r="N458"/>
  <c r="R458" s="1"/>
  <c r="N459"/>
  <c r="R459" s="1"/>
  <c r="N460"/>
  <c r="R460" s="1"/>
  <c r="N461"/>
  <c r="R461" s="1"/>
  <c r="N462"/>
  <c r="R462" s="1"/>
  <c r="N463"/>
  <c r="R463" s="1"/>
  <c r="N464"/>
  <c r="R464" s="1"/>
  <c r="N465"/>
  <c r="R465" s="1"/>
  <c r="N466"/>
  <c r="R466" s="1"/>
  <c r="N467"/>
  <c r="R467" s="1"/>
  <c r="N468"/>
  <c r="R468" s="1"/>
  <c r="N469"/>
  <c r="R469" s="1"/>
  <c r="N470"/>
  <c r="R470" s="1"/>
  <c r="N472"/>
  <c r="R472" s="1"/>
  <c r="N473"/>
  <c r="R473" s="1"/>
  <c r="N474"/>
  <c r="R474" s="1"/>
  <c r="N475"/>
  <c r="R475" s="1"/>
  <c r="N476"/>
  <c r="R476" s="1"/>
  <c r="N477"/>
  <c r="R477" s="1"/>
  <c r="N478"/>
  <c r="R478" s="1"/>
  <c r="N479"/>
  <c r="R479" s="1"/>
  <c r="N480"/>
  <c r="R480" s="1"/>
  <c r="N481"/>
  <c r="R481" s="1"/>
  <c r="N482"/>
  <c r="R482" s="1"/>
  <c r="N483"/>
  <c r="R483" s="1"/>
  <c r="N484"/>
  <c r="R484" s="1"/>
  <c r="N485"/>
  <c r="R485" s="1"/>
  <c r="N486"/>
  <c r="R486" s="1"/>
  <c r="N487"/>
  <c r="R487" s="1"/>
  <c r="N488"/>
  <c r="R488" s="1"/>
  <c r="N489"/>
  <c r="R489" s="1"/>
  <c r="N490"/>
  <c r="R490" s="1"/>
  <c r="N491"/>
  <c r="R491" s="1"/>
  <c r="N492"/>
  <c r="R492" s="1"/>
  <c r="N493"/>
  <c r="R493" s="1"/>
  <c r="N494"/>
  <c r="R494" s="1"/>
  <c r="N495"/>
  <c r="R495" s="1"/>
  <c r="N496"/>
  <c r="R496" s="1"/>
  <c r="N497"/>
  <c r="R497" s="1"/>
  <c r="N498"/>
  <c r="R498" s="1"/>
  <c r="N499"/>
  <c r="R499" s="1"/>
  <c r="N501"/>
  <c r="R501" s="1"/>
  <c r="N502"/>
  <c r="R502" s="1"/>
  <c r="N503"/>
  <c r="R503" s="1"/>
  <c r="N504"/>
  <c r="R504" s="1"/>
  <c r="N505"/>
  <c r="R505" s="1"/>
  <c r="N506"/>
  <c r="R506" s="1"/>
  <c r="N507"/>
  <c r="R507" s="1"/>
  <c r="N508"/>
  <c r="R508" s="1"/>
  <c r="N509"/>
  <c r="R509" s="1"/>
  <c r="N510"/>
  <c r="R510" s="1"/>
  <c r="N511"/>
  <c r="R511" s="1"/>
  <c r="N512"/>
  <c r="R512" s="1"/>
  <c r="N513"/>
  <c r="R513" s="1"/>
  <c r="N514"/>
  <c r="R514" s="1"/>
  <c r="N515"/>
  <c r="R515" s="1"/>
  <c r="N516"/>
  <c r="R516" s="1"/>
  <c r="N517"/>
  <c r="R517" s="1"/>
  <c r="N518"/>
  <c r="R518" s="1"/>
  <c r="N519"/>
  <c r="R519" s="1"/>
  <c r="N520"/>
  <c r="R520" s="1"/>
  <c r="N521"/>
  <c r="R521" s="1"/>
  <c r="N522"/>
  <c r="R522" s="1"/>
  <c r="N523"/>
  <c r="R523" s="1"/>
  <c r="N524"/>
  <c r="R524" s="1"/>
  <c r="N525"/>
  <c r="R525" s="1"/>
  <c r="N526"/>
  <c r="R526" s="1"/>
  <c r="N527"/>
  <c r="R527" s="1"/>
  <c r="N528"/>
  <c r="R528" s="1"/>
  <c r="N529"/>
  <c r="R529" s="1"/>
  <c r="N530"/>
  <c r="R530" s="1"/>
  <c r="N531"/>
  <c r="R531" s="1"/>
  <c r="N532"/>
  <c r="R532" s="1"/>
  <c r="N533"/>
  <c r="R533" s="1"/>
  <c r="N534"/>
  <c r="R534" s="1"/>
  <c r="N535"/>
  <c r="R535" s="1"/>
  <c r="N536"/>
  <c r="R536" s="1"/>
  <c r="N537"/>
  <c r="R537" s="1"/>
  <c r="N538"/>
  <c r="R538" s="1"/>
  <c r="N539"/>
  <c r="R539" s="1"/>
  <c r="N540"/>
  <c r="R540" s="1"/>
  <c r="N541"/>
  <c r="R541" s="1"/>
  <c r="N542"/>
  <c r="R542" s="1"/>
  <c r="N543"/>
  <c r="R543" s="1"/>
  <c r="N544"/>
  <c r="R544" s="1"/>
  <c r="N545"/>
  <c r="R545" s="1"/>
  <c r="N546"/>
  <c r="R546" s="1"/>
  <c r="N547"/>
  <c r="R547" s="1"/>
  <c r="N548"/>
  <c r="R548" s="1"/>
  <c r="N549"/>
  <c r="R549" s="1"/>
  <c r="N550"/>
  <c r="R550" s="1"/>
  <c r="N551"/>
  <c r="R551" s="1"/>
  <c r="N552"/>
  <c r="R552" s="1"/>
  <c r="N553"/>
  <c r="R553" s="1"/>
  <c r="N554"/>
  <c r="R554" s="1"/>
  <c r="N555"/>
  <c r="R555" s="1"/>
  <c r="N556"/>
  <c r="R556" s="1"/>
  <c r="N557"/>
  <c r="R557" s="1"/>
  <c r="N558"/>
  <c r="R558" s="1"/>
  <c r="N559"/>
  <c r="R559" s="1"/>
  <c r="N560"/>
  <c r="R560" s="1"/>
  <c r="N561"/>
  <c r="R561" s="1"/>
  <c r="N562"/>
  <c r="R562" s="1"/>
  <c r="N563"/>
  <c r="R563" s="1"/>
  <c r="N564"/>
  <c r="R564" s="1"/>
  <c r="N565"/>
  <c r="R565" s="1"/>
  <c r="N566"/>
  <c r="R566" s="1"/>
  <c r="N567"/>
  <c r="R567" s="1"/>
  <c r="N568"/>
  <c r="R568" s="1"/>
  <c r="N569"/>
  <c r="R569" s="1"/>
  <c r="N570"/>
  <c r="R570" s="1"/>
  <c r="N571"/>
  <c r="R571" s="1"/>
  <c r="N572"/>
  <c r="R572" s="1"/>
  <c r="N573"/>
  <c r="R573" s="1"/>
  <c r="N574"/>
  <c r="R574" s="1"/>
  <c r="N575"/>
  <c r="R575" s="1"/>
  <c r="N576"/>
  <c r="R576" s="1"/>
  <c r="N577"/>
  <c r="R577" s="1"/>
  <c r="N578"/>
  <c r="R578" s="1"/>
  <c r="N579"/>
  <c r="R579" s="1"/>
  <c r="N580"/>
  <c r="R580" s="1"/>
  <c r="N581"/>
  <c r="R581" s="1"/>
  <c r="N582"/>
  <c r="R582" s="1"/>
  <c r="N583"/>
  <c r="R583" s="1"/>
  <c r="N584"/>
  <c r="R584" s="1"/>
  <c r="N585"/>
  <c r="R585" s="1"/>
  <c r="N586"/>
  <c r="R586" s="1"/>
  <c r="N587"/>
  <c r="R587" s="1"/>
  <c r="N588"/>
  <c r="R588" s="1"/>
  <c r="N589"/>
  <c r="R589" s="1"/>
  <c r="N590"/>
  <c r="R590" s="1"/>
  <c r="N591"/>
  <c r="R591" s="1"/>
  <c r="N592"/>
  <c r="R592" s="1"/>
  <c r="N593"/>
  <c r="R593" s="1"/>
  <c r="N594"/>
  <c r="R594" s="1"/>
  <c r="N595"/>
  <c r="R595" s="1"/>
  <c r="N596"/>
  <c r="R596" s="1"/>
  <c r="N597"/>
  <c r="R597" s="1"/>
  <c r="N598"/>
  <c r="R598" s="1"/>
  <c r="N599"/>
  <c r="R599" s="1"/>
  <c r="N600"/>
  <c r="R600" s="1"/>
  <c r="N601"/>
  <c r="R601" s="1"/>
  <c r="N602"/>
  <c r="R602" s="1"/>
  <c r="N603"/>
  <c r="R603" s="1"/>
  <c r="N604"/>
  <c r="R604" s="1"/>
  <c r="N605"/>
  <c r="R605" s="1"/>
  <c r="N606"/>
  <c r="R606" s="1"/>
  <c r="N608"/>
  <c r="R608" s="1"/>
  <c r="N609"/>
  <c r="R609" s="1"/>
  <c r="N610"/>
  <c r="R610" s="1"/>
  <c r="N611"/>
  <c r="R611" s="1"/>
  <c r="N612"/>
  <c r="R612" s="1"/>
  <c r="N613"/>
  <c r="R613" s="1"/>
  <c r="N614"/>
  <c r="R614" s="1"/>
  <c r="N615"/>
  <c r="R615" s="1"/>
  <c r="N616"/>
  <c r="R616" s="1"/>
  <c r="N617"/>
  <c r="R617" s="1"/>
  <c r="N618"/>
  <c r="R618" s="1"/>
  <c r="N619"/>
  <c r="R619" s="1"/>
  <c r="N620"/>
  <c r="R620" s="1"/>
  <c r="N621"/>
  <c r="R621" s="1"/>
  <c r="N622"/>
  <c r="R622" s="1"/>
  <c r="N623"/>
  <c r="R623" s="1"/>
  <c r="N624"/>
  <c r="R624" s="1"/>
  <c r="N625"/>
  <c r="R625" s="1"/>
  <c r="N626"/>
  <c r="R626" s="1"/>
  <c r="N627"/>
  <c r="R627" s="1"/>
  <c r="N628"/>
  <c r="R628" s="1"/>
  <c r="N629"/>
  <c r="R629" s="1"/>
  <c r="N630"/>
  <c r="R630" s="1"/>
  <c r="N631"/>
  <c r="R631" s="1"/>
  <c r="N632"/>
  <c r="R632" s="1"/>
  <c r="N633"/>
  <c r="R633" s="1"/>
  <c r="N634"/>
  <c r="R634" s="1"/>
  <c r="N635"/>
  <c r="R635" s="1"/>
  <c r="N636"/>
  <c r="R636" s="1"/>
  <c r="N637"/>
  <c r="R637" s="1"/>
  <c r="N638"/>
  <c r="R638" s="1"/>
  <c r="N639"/>
  <c r="R639" s="1"/>
  <c r="N640"/>
  <c r="R640" s="1"/>
  <c r="N641"/>
  <c r="R641" s="1"/>
  <c r="N642"/>
  <c r="R642" s="1"/>
  <c r="N643"/>
  <c r="R643" s="1"/>
  <c r="N644"/>
  <c r="R644" s="1"/>
  <c r="N645"/>
  <c r="R645" s="1"/>
  <c r="N646"/>
  <c r="R646" s="1"/>
  <c r="N647"/>
  <c r="R647" s="1"/>
  <c r="N648"/>
  <c r="R648" s="1"/>
  <c r="N649"/>
  <c r="R649" s="1"/>
  <c r="N650"/>
  <c r="R650" s="1"/>
  <c r="N651"/>
  <c r="R651" s="1"/>
  <c r="N652"/>
  <c r="R652" s="1"/>
  <c r="N653"/>
  <c r="R653" s="1"/>
  <c r="N654"/>
  <c r="R654" s="1"/>
  <c r="N655"/>
  <c r="R655" s="1"/>
  <c r="N656"/>
  <c r="R656" s="1"/>
  <c r="N657"/>
  <c r="R657" s="1"/>
  <c r="N658"/>
  <c r="R658" s="1"/>
  <c r="N659"/>
  <c r="R659" s="1"/>
  <c r="N660"/>
  <c r="R660" s="1"/>
  <c r="N661"/>
  <c r="R661" s="1"/>
  <c r="N662"/>
  <c r="R662" s="1"/>
  <c r="N663"/>
  <c r="R663" s="1"/>
  <c r="N664"/>
  <c r="R664" s="1"/>
  <c r="N665"/>
  <c r="R665" s="1"/>
  <c r="N666"/>
  <c r="R666" s="1"/>
  <c r="N667"/>
  <c r="R667" s="1"/>
  <c r="N668"/>
  <c r="R668" s="1"/>
  <c r="N669"/>
  <c r="R669" s="1"/>
  <c r="N670"/>
  <c r="R670" s="1"/>
  <c r="N671"/>
  <c r="R671" s="1"/>
  <c r="N672"/>
  <c r="R672" s="1"/>
  <c r="N673"/>
  <c r="R673" s="1"/>
  <c r="N674"/>
  <c r="R674" s="1"/>
  <c r="N675"/>
  <c r="R675" s="1"/>
  <c r="N676"/>
  <c r="R676" s="1"/>
  <c r="N677"/>
  <c r="R677" s="1"/>
  <c r="N678"/>
  <c r="R678" s="1"/>
  <c r="N679"/>
  <c r="R679" s="1"/>
  <c r="N680"/>
  <c r="R680" s="1"/>
  <c r="N681"/>
  <c r="R681" s="1"/>
  <c r="N682"/>
  <c r="R682" s="1"/>
  <c r="N683"/>
  <c r="R683" s="1"/>
  <c r="N684"/>
  <c r="R684" s="1"/>
  <c r="N685"/>
  <c r="R685" s="1"/>
  <c r="N686"/>
  <c r="R686" s="1"/>
  <c r="N687"/>
  <c r="R687" s="1"/>
  <c r="N688"/>
  <c r="R688" s="1"/>
  <c r="N689"/>
  <c r="R689" s="1"/>
  <c r="N690"/>
  <c r="R690" s="1"/>
  <c r="N691"/>
  <c r="R691" s="1"/>
  <c r="N692"/>
  <c r="R692" s="1"/>
  <c r="N693"/>
  <c r="R693" s="1"/>
  <c r="N695"/>
  <c r="R695" s="1"/>
  <c r="N696"/>
  <c r="R696" s="1"/>
  <c r="N697"/>
  <c r="R697" s="1"/>
  <c r="N698"/>
  <c r="R698" s="1"/>
  <c r="N699"/>
  <c r="R699" s="1"/>
  <c r="N700"/>
  <c r="R700" s="1"/>
  <c r="N701"/>
  <c r="R701" s="1"/>
  <c r="N702"/>
  <c r="R702" s="1"/>
  <c r="N703"/>
  <c r="R703" s="1"/>
  <c r="N704"/>
  <c r="R704" s="1"/>
  <c r="N705"/>
  <c r="R705" s="1"/>
  <c r="N706"/>
  <c r="R706" s="1"/>
  <c r="N707"/>
  <c r="R707" s="1"/>
  <c r="N708"/>
  <c r="R708" s="1"/>
  <c r="N709"/>
  <c r="R709" s="1"/>
  <c r="N710"/>
  <c r="R710" s="1"/>
  <c r="N711"/>
  <c r="R711" s="1"/>
  <c r="N712"/>
  <c r="R712" s="1"/>
  <c r="N713"/>
  <c r="R713" s="1"/>
  <c r="N714"/>
  <c r="R714" s="1"/>
  <c r="N715"/>
  <c r="R715" s="1"/>
  <c r="N716"/>
  <c r="R716" s="1"/>
  <c r="N717"/>
  <c r="R717" s="1"/>
  <c r="N718"/>
  <c r="R718" s="1"/>
  <c r="N719"/>
  <c r="R719" s="1"/>
  <c r="N720"/>
  <c r="R720" s="1"/>
  <c r="N721"/>
  <c r="R721" s="1"/>
  <c r="N722"/>
  <c r="R722" s="1"/>
  <c r="N723"/>
  <c r="R723" s="1"/>
  <c r="N724"/>
  <c r="R724" s="1"/>
  <c r="N725"/>
  <c r="R725" s="1"/>
  <c r="N726"/>
  <c r="R726" s="1"/>
  <c r="N727"/>
  <c r="R727" s="1"/>
  <c r="N728"/>
  <c r="R728" s="1"/>
  <c r="N729"/>
  <c r="R729" s="1"/>
  <c r="N730"/>
  <c r="R730" s="1"/>
  <c r="N731"/>
  <c r="R731" s="1"/>
  <c r="N734"/>
  <c r="R734" s="1"/>
  <c r="N735"/>
  <c r="R735" s="1"/>
  <c r="N736"/>
  <c r="R736" s="1"/>
  <c r="N737"/>
  <c r="R737" s="1"/>
  <c r="N738"/>
  <c r="R738" s="1"/>
  <c r="N739"/>
  <c r="R739" s="1"/>
  <c r="N740"/>
  <c r="R740" s="1"/>
  <c r="N741"/>
  <c r="R741" s="1"/>
  <c r="N742"/>
  <c r="R742" s="1"/>
  <c r="N743"/>
  <c r="R743" s="1"/>
  <c r="N744"/>
  <c r="R744" s="1"/>
  <c r="N745"/>
  <c r="R745" s="1"/>
  <c r="N746"/>
  <c r="R746" s="1"/>
  <c r="N747"/>
  <c r="R747" s="1"/>
  <c r="N748"/>
  <c r="R748" s="1"/>
  <c r="N749"/>
  <c r="R749" s="1"/>
  <c r="N750"/>
  <c r="R750" s="1"/>
  <c r="N751"/>
  <c r="R751" s="1"/>
  <c r="N752"/>
  <c r="R752" s="1"/>
  <c r="N753"/>
  <c r="R753" s="1"/>
  <c r="N754"/>
  <c r="R754" s="1"/>
  <c r="N755"/>
  <c r="R755" s="1"/>
  <c r="N756"/>
  <c r="R756" s="1"/>
  <c r="N757"/>
  <c r="R757" s="1"/>
  <c r="N758"/>
  <c r="R758" s="1"/>
  <c r="N759"/>
  <c r="R759" s="1"/>
  <c r="N760"/>
  <c r="R760" s="1"/>
  <c r="N761"/>
  <c r="R761" s="1"/>
  <c r="N762"/>
  <c r="R762" s="1"/>
  <c r="N763"/>
  <c r="R763" s="1"/>
  <c r="N764"/>
  <c r="R764" s="1"/>
  <c r="N765"/>
  <c r="R765" s="1"/>
  <c r="N766"/>
  <c r="R766" s="1"/>
  <c r="N767"/>
  <c r="R767" s="1"/>
  <c r="N768"/>
  <c r="R768" s="1"/>
  <c r="N769"/>
  <c r="R769" s="1"/>
  <c r="N770"/>
  <c r="R770" s="1"/>
  <c r="N819"/>
  <c r="R819" s="1"/>
  <c r="N774"/>
  <c r="R774" s="1"/>
  <c r="N775"/>
  <c r="R775" s="1"/>
  <c r="N776"/>
  <c r="R776" s="1"/>
  <c r="N777"/>
  <c r="R777" s="1"/>
  <c r="N778"/>
  <c r="R778" s="1"/>
  <c r="N779"/>
  <c r="R779" s="1"/>
  <c r="N780"/>
  <c r="R780" s="1"/>
  <c r="N781"/>
  <c r="R781" s="1"/>
  <c r="N782"/>
  <c r="R782" s="1"/>
  <c r="N783"/>
  <c r="R783" s="1"/>
  <c r="N784"/>
  <c r="R784" s="1"/>
  <c r="N785"/>
  <c r="R785" s="1"/>
  <c r="N786"/>
  <c r="R786" s="1"/>
  <c r="N787"/>
  <c r="R787" s="1"/>
  <c r="N788"/>
  <c r="R788" s="1"/>
  <c r="N789"/>
  <c r="R789" s="1"/>
  <c r="N790"/>
  <c r="R790" s="1"/>
  <c r="N791"/>
  <c r="R791" s="1"/>
  <c r="N792"/>
  <c r="R792" s="1"/>
  <c r="N793"/>
  <c r="R793" s="1"/>
  <c r="N794"/>
  <c r="R794" s="1"/>
  <c r="N795"/>
  <c r="R795" s="1"/>
  <c r="N796"/>
  <c r="R796" s="1"/>
  <c r="N797"/>
  <c r="R797" s="1"/>
  <c r="N798"/>
  <c r="R798" s="1"/>
  <c r="N799"/>
  <c r="R799" s="1"/>
  <c r="N800"/>
  <c r="R800" s="1"/>
  <c r="N801"/>
  <c r="R801" s="1"/>
  <c r="N802"/>
  <c r="R802" s="1"/>
  <c r="N803"/>
  <c r="R803" s="1"/>
  <c r="N804"/>
  <c r="R804" s="1"/>
  <c r="N805"/>
  <c r="R805" s="1"/>
  <c r="N806"/>
  <c r="R806" s="1"/>
  <c r="N807"/>
  <c r="R807" s="1"/>
  <c r="N808"/>
  <c r="R808" s="1"/>
  <c r="N809"/>
  <c r="R809" s="1"/>
  <c r="N810"/>
  <c r="R810" s="1"/>
  <c r="N811"/>
  <c r="R811" s="1"/>
  <c r="N812"/>
  <c r="R812" s="1"/>
  <c r="N813"/>
  <c r="R813" s="1"/>
  <c r="N814"/>
  <c r="R814" s="1"/>
  <c r="N815"/>
  <c r="R815" s="1"/>
  <c r="N816"/>
  <c r="R816" s="1"/>
  <c r="N817"/>
  <c r="R817" s="1"/>
  <c r="N818"/>
  <c r="R818" s="1"/>
  <c r="N822"/>
  <c r="R822" s="1"/>
  <c r="N823"/>
  <c r="R823" s="1"/>
  <c r="N824"/>
  <c r="R824" s="1"/>
  <c r="N825"/>
  <c r="R825" s="1"/>
  <c r="N826"/>
  <c r="R826" s="1"/>
  <c r="N827"/>
  <c r="R827" s="1"/>
  <c r="N828"/>
  <c r="R828" s="1"/>
  <c r="N829"/>
  <c r="R829" s="1"/>
  <c r="N830"/>
  <c r="R830" s="1"/>
  <c r="N831"/>
  <c r="R831" s="1"/>
  <c r="N832"/>
  <c r="R832" s="1"/>
  <c r="N833"/>
  <c r="R833" s="1"/>
  <c r="N834"/>
  <c r="R834" s="1"/>
  <c r="N835"/>
  <c r="R835" s="1"/>
  <c r="N836"/>
  <c r="R836" s="1"/>
  <c r="N837"/>
  <c r="R837" s="1"/>
  <c r="N838"/>
  <c r="R838" s="1"/>
  <c r="N839"/>
  <c r="R839" s="1"/>
  <c r="N840"/>
  <c r="R840" s="1"/>
  <c r="N841"/>
  <c r="R841" s="1"/>
  <c r="N842"/>
  <c r="R842" s="1"/>
  <c r="N843"/>
  <c r="R843" s="1"/>
  <c r="N844"/>
  <c r="R844" s="1"/>
  <c r="N845"/>
  <c r="R845" s="1"/>
  <c r="N846"/>
  <c r="R846" s="1"/>
  <c r="N847"/>
  <c r="R847" s="1"/>
  <c r="N848"/>
  <c r="R848" s="1"/>
  <c r="N849"/>
  <c r="R849" s="1"/>
  <c r="N850"/>
  <c r="R850" s="1"/>
  <c r="N851"/>
  <c r="R851" s="1"/>
  <c r="N852"/>
  <c r="R852" s="1"/>
  <c r="N853"/>
  <c r="R853" s="1"/>
  <c r="N854"/>
  <c r="R854" s="1"/>
  <c r="N855"/>
  <c r="R855" s="1"/>
  <c r="N856"/>
  <c r="R856" s="1"/>
  <c r="N857"/>
  <c r="R857" s="1"/>
  <c r="N858"/>
  <c r="R858" s="1"/>
  <c r="N859"/>
  <c r="R859" s="1"/>
  <c r="N860"/>
  <c r="R860" s="1"/>
  <c r="N861"/>
  <c r="R861" s="1"/>
  <c r="N862"/>
  <c r="R862" s="1"/>
  <c r="N863"/>
  <c r="R863" s="1"/>
  <c r="N864"/>
  <c r="R864" s="1"/>
  <c r="N865"/>
  <c r="R865" s="1"/>
  <c r="N866"/>
  <c r="R866" s="1"/>
  <c r="N867"/>
  <c r="R867" s="1"/>
  <c r="N868"/>
  <c r="R868" s="1"/>
  <c r="N869"/>
  <c r="R869" s="1"/>
  <c r="N870"/>
  <c r="R870" s="1"/>
  <c r="N871"/>
  <c r="R871" s="1"/>
  <c r="N872"/>
  <c r="R872" s="1"/>
  <c r="N873"/>
  <c r="R873" s="1"/>
  <c r="N874"/>
  <c r="R874" s="1"/>
  <c r="N875"/>
  <c r="R875" s="1"/>
  <c r="N876"/>
  <c r="R876" s="1"/>
  <c r="N877"/>
  <c r="R877" s="1"/>
  <c r="N878"/>
  <c r="R878" s="1"/>
  <c r="N879"/>
  <c r="R879" s="1"/>
  <c r="N880"/>
  <c r="R880" s="1"/>
  <c r="N881"/>
  <c r="R881" s="1"/>
  <c r="N882"/>
  <c r="R882" s="1"/>
  <c r="N883"/>
  <c r="R883" s="1"/>
  <c r="N884"/>
  <c r="R884" s="1"/>
  <c r="N885"/>
  <c r="R885" s="1"/>
  <c r="N886"/>
  <c r="R886" s="1"/>
  <c r="N887"/>
  <c r="R887" s="1"/>
  <c r="N888"/>
  <c r="R888" s="1"/>
  <c r="N889"/>
  <c r="R889" s="1"/>
  <c r="N890"/>
  <c r="R890" s="1"/>
  <c r="N891"/>
  <c r="R891" s="1"/>
  <c r="N892"/>
  <c r="R892" s="1"/>
  <c r="N893"/>
  <c r="R893" s="1"/>
  <c r="N894"/>
  <c r="R894" s="1"/>
  <c r="N895"/>
  <c r="R895" s="1"/>
  <c r="N896"/>
  <c r="R896" s="1"/>
  <c r="N897"/>
  <c r="R897" s="1"/>
  <c r="N898"/>
  <c r="R898" s="1"/>
  <c r="N899"/>
  <c r="R899" s="1"/>
  <c r="N900"/>
  <c r="R900" s="1"/>
  <c r="N901"/>
  <c r="R901" s="1"/>
  <c r="N902"/>
  <c r="R902" s="1"/>
  <c r="N903"/>
  <c r="R903" s="1"/>
  <c r="N904"/>
  <c r="R904" s="1"/>
  <c r="N905"/>
  <c r="R905" s="1"/>
  <c r="N906"/>
  <c r="R906" s="1"/>
  <c r="N907"/>
  <c r="R907" s="1"/>
  <c r="N908"/>
  <c r="R908" s="1"/>
  <c r="N909"/>
  <c r="R909" s="1"/>
  <c r="N910"/>
  <c r="R910" s="1"/>
  <c r="N911"/>
  <c r="R911" s="1"/>
  <c r="N912"/>
  <c r="R912" s="1"/>
  <c r="N913"/>
  <c r="R913" s="1"/>
  <c r="N914"/>
  <c r="R914" s="1"/>
  <c r="N915"/>
  <c r="R915" s="1"/>
  <c r="N916"/>
  <c r="R916" s="1"/>
  <c r="N917"/>
  <c r="R917" s="1"/>
  <c r="N918"/>
  <c r="R918" s="1"/>
  <c r="N919"/>
  <c r="R919" s="1"/>
  <c r="N920"/>
  <c r="R920" s="1"/>
  <c r="N921"/>
  <c r="R921" s="1"/>
  <c r="N922"/>
  <c r="R922" s="1"/>
  <c r="N923"/>
  <c r="R923" s="1"/>
  <c r="N924"/>
  <c r="R924" s="1"/>
  <c r="N925"/>
  <c r="R925" s="1"/>
  <c r="N926"/>
  <c r="R926" s="1"/>
  <c r="N927"/>
  <c r="R927" s="1"/>
  <c r="N928"/>
  <c r="R928" s="1"/>
  <c r="N929"/>
  <c r="R929" s="1"/>
  <c r="N930"/>
  <c r="R930" s="1"/>
  <c r="N931"/>
  <c r="R931" s="1"/>
  <c r="N932"/>
  <c r="R932" s="1"/>
  <c r="N933"/>
  <c r="R933" s="1"/>
  <c r="N934"/>
  <c r="R934" s="1"/>
  <c r="N935"/>
  <c r="R935" s="1"/>
  <c r="N936"/>
  <c r="R936" s="1"/>
  <c r="N937"/>
  <c r="R937" s="1"/>
  <c r="N938"/>
  <c r="R938" s="1"/>
  <c r="N939"/>
  <c r="R939" s="1"/>
  <c r="N940"/>
  <c r="R940" s="1"/>
  <c r="N941"/>
  <c r="R941" s="1"/>
  <c r="N942"/>
  <c r="R942" s="1"/>
  <c r="N943"/>
  <c r="R943" s="1"/>
  <c r="N944"/>
  <c r="R944" s="1"/>
  <c r="N945"/>
  <c r="R945" s="1"/>
  <c r="N946"/>
  <c r="R946" s="1"/>
  <c r="N947"/>
  <c r="R947" s="1"/>
  <c r="N948"/>
  <c r="R948" s="1"/>
  <c r="N949"/>
  <c r="R949" s="1"/>
  <c r="N950"/>
  <c r="R950" s="1"/>
  <c r="N951"/>
  <c r="R951" s="1"/>
  <c r="N952"/>
  <c r="R952" s="1"/>
  <c r="N953"/>
  <c r="R953" s="1"/>
  <c r="N954"/>
  <c r="R954" s="1"/>
  <c r="N955"/>
  <c r="R955" s="1"/>
  <c r="N956"/>
  <c r="R956" s="1"/>
  <c r="N957"/>
  <c r="R957" s="1"/>
  <c r="N958"/>
  <c r="R958" s="1"/>
  <c r="N959"/>
  <c r="R959" s="1"/>
  <c r="N960"/>
  <c r="R960" s="1"/>
  <c r="N961"/>
  <c r="R961" s="1"/>
  <c r="N962"/>
  <c r="R962" s="1"/>
  <c r="N963"/>
  <c r="R963" s="1"/>
  <c r="N964"/>
  <c r="R964" s="1"/>
  <c r="N965"/>
  <c r="R965" s="1"/>
  <c r="N966"/>
  <c r="R966" s="1"/>
  <c r="N967"/>
  <c r="R967" s="1"/>
  <c r="N968"/>
  <c r="R968" s="1"/>
  <c r="N969"/>
  <c r="R969" s="1"/>
  <c r="N970"/>
  <c r="R970" s="1"/>
  <c r="N971"/>
  <c r="R971" s="1"/>
  <c r="N972"/>
  <c r="R972" s="1"/>
  <c r="N973"/>
  <c r="R973" s="1"/>
  <c r="N974"/>
  <c r="R974" s="1"/>
  <c r="N975"/>
  <c r="R975" s="1"/>
  <c r="N976"/>
  <c r="R976" s="1"/>
  <c r="N977"/>
  <c r="R977" s="1"/>
  <c r="N978"/>
  <c r="R978" s="1"/>
  <c r="N979"/>
  <c r="R979" s="1"/>
  <c r="N980"/>
  <c r="R980" s="1"/>
  <c r="N981"/>
  <c r="R981" s="1"/>
  <c r="N982"/>
  <c r="R982" s="1"/>
  <c r="N983"/>
  <c r="R983" s="1"/>
  <c r="N984"/>
  <c r="R984" s="1"/>
  <c r="N985"/>
  <c r="R985" s="1"/>
  <c r="N986"/>
  <c r="R986" s="1"/>
  <c r="N987"/>
  <c r="R987" s="1"/>
  <c r="N988"/>
  <c r="R988" s="1"/>
  <c r="N989"/>
  <c r="R989" s="1"/>
  <c r="N990"/>
  <c r="R990" s="1"/>
  <c r="N991"/>
  <c r="R991" s="1"/>
  <c r="N992"/>
  <c r="R992" s="1"/>
  <c r="N993"/>
  <c r="R993" s="1"/>
  <c r="N994"/>
  <c r="R994" s="1"/>
  <c r="N995"/>
  <c r="R995" s="1"/>
  <c r="N996"/>
  <c r="R996" s="1"/>
  <c r="N997"/>
  <c r="R997" s="1"/>
  <c r="N998"/>
  <c r="R998" s="1"/>
  <c r="N999"/>
  <c r="R999" s="1"/>
  <c r="N1000"/>
  <c r="R1000" s="1"/>
  <c r="N1001"/>
  <c r="R1001" s="1"/>
  <c r="N1002"/>
  <c r="R1002" s="1"/>
  <c r="N1003"/>
  <c r="R1003" s="1"/>
  <c r="N1004"/>
  <c r="R1004" s="1"/>
  <c r="N1005"/>
  <c r="R1005" s="1"/>
  <c r="N1006"/>
  <c r="R1006" s="1"/>
  <c r="N1007"/>
  <c r="R1007" s="1"/>
  <c r="N1008"/>
  <c r="R1008" s="1"/>
  <c r="N1009"/>
  <c r="R1009" s="1"/>
  <c r="N1010"/>
  <c r="R1010" s="1"/>
  <c r="N1011"/>
  <c r="R1011" s="1"/>
  <c r="N1012"/>
  <c r="R1012" s="1"/>
  <c r="N1013"/>
  <c r="R1013" s="1"/>
  <c r="N1014"/>
  <c r="R1014" s="1"/>
  <c r="N1015"/>
  <c r="R1015" s="1"/>
  <c r="N1016"/>
  <c r="R1016" s="1"/>
  <c r="N1017"/>
  <c r="R1017" s="1"/>
  <c r="N1018"/>
  <c r="R1018" s="1"/>
  <c r="N1019"/>
  <c r="R1019" s="1"/>
  <c r="N1020"/>
  <c r="R1020" s="1"/>
  <c r="N1021"/>
  <c r="R1021" s="1"/>
  <c r="N1022"/>
  <c r="R1022" s="1"/>
  <c r="N1023"/>
  <c r="R1023" s="1"/>
  <c r="N1024"/>
  <c r="R1024" s="1"/>
  <c r="N1025"/>
  <c r="R1025" s="1"/>
  <c r="N1026"/>
  <c r="R1026" s="1"/>
  <c r="N1027"/>
  <c r="R1027" s="1"/>
  <c r="N1028"/>
  <c r="R1028" s="1"/>
  <c r="N1029"/>
  <c r="R1029" s="1"/>
  <c r="N1030"/>
  <c r="R1030" s="1"/>
  <c r="N1031"/>
  <c r="R1031" s="1"/>
  <c r="N1032"/>
  <c r="R1032" s="1"/>
  <c r="N1033"/>
  <c r="R1033" s="1"/>
  <c r="N1034"/>
  <c r="R1034" s="1"/>
  <c r="P842" i="2" l="1"/>
  <c r="T842" s="1"/>
  <c r="O840"/>
  <c r="S840" s="1"/>
  <c r="O841"/>
  <c r="S841" s="1"/>
  <c r="O838"/>
  <c r="S838" s="1"/>
  <c r="S608" i="3"/>
  <c r="U1035"/>
  <c r="M1035"/>
  <c r="L1035"/>
  <c r="K1035"/>
  <c r="J1035"/>
  <c r="I1035"/>
  <c r="H1035"/>
  <c r="G1035"/>
  <c r="S1034"/>
  <c r="S1030"/>
  <c r="S1026"/>
  <c r="S1022"/>
  <c r="S1018"/>
  <c r="S1014"/>
  <c r="S1010"/>
  <c r="S1006"/>
  <c r="S1002"/>
  <c r="S998"/>
  <c r="S994"/>
  <c r="S990"/>
  <c r="S986"/>
  <c r="S982"/>
  <c r="S978"/>
  <c r="S971"/>
  <c r="S968"/>
  <c r="S964"/>
  <c r="S960"/>
  <c r="S956"/>
  <c r="S952"/>
  <c r="S948"/>
  <c r="S944"/>
  <c r="S940"/>
  <c r="S936"/>
  <c r="S932"/>
  <c r="S928"/>
  <c r="S924"/>
  <c r="S920"/>
  <c r="S916"/>
  <c r="S912"/>
  <c r="S908"/>
  <c r="S904"/>
  <c r="S900"/>
  <c r="S896"/>
  <c r="S892"/>
  <c r="S888"/>
  <c r="S884"/>
  <c r="S880"/>
  <c r="S876"/>
  <c r="S872"/>
  <c r="S868"/>
  <c r="S864"/>
  <c r="S860"/>
  <c r="S856"/>
  <c r="S852"/>
  <c r="S848"/>
  <c r="S844"/>
  <c r="S840"/>
  <c r="S836"/>
  <c r="S832"/>
  <c r="S828"/>
  <c r="S824"/>
  <c r="S817"/>
  <c r="S813"/>
  <c r="S809"/>
  <c r="S805"/>
  <c r="S803"/>
  <c r="S799"/>
  <c r="S795"/>
  <c r="S793"/>
  <c r="S789"/>
  <c r="S785"/>
  <c r="S781"/>
  <c r="T756"/>
  <c r="T755"/>
  <c r="T754"/>
  <c r="T753"/>
  <c r="T752"/>
  <c r="T751"/>
  <c r="T750"/>
  <c r="T749"/>
  <c r="T748"/>
  <c r="T747"/>
  <c r="T746"/>
  <c r="T745"/>
  <c r="T744"/>
  <c r="T743"/>
  <c r="T742"/>
  <c r="T741"/>
  <c r="T740"/>
  <c r="T739"/>
  <c r="T738"/>
  <c r="T737"/>
  <c r="T736"/>
  <c r="T735"/>
  <c r="T734"/>
  <c r="T731"/>
  <c r="T730"/>
  <c r="T729"/>
  <c r="T728"/>
  <c r="T727"/>
  <c r="T726"/>
  <c r="T725"/>
  <c r="T724"/>
  <c r="T723"/>
  <c r="T722"/>
  <c r="T721"/>
  <c r="T720"/>
  <c r="T719"/>
  <c r="T718"/>
  <c r="T717"/>
  <c r="T716"/>
  <c r="T715"/>
  <c r="T714"/>
  <c r="T713"/>
  <c r="T712"/>
  <c r="T711"/>
  <c r="T710"/>
  <c r="T709"/>
  <c r="T708"/>
  <c r="T707"/>
  <c r="T706"/>
  <c r="T705"/>
  <c r="T704"/>
  <c r="T703"/>
  <c r="T702"/>
  <c r="T701"/>
  <c r="T700"/>
  <c r="T699"/>
  <c r="T698"/>
  <c r="T697"/>
  <c r="T696"/>
  <c r="T695"/>
  <c r="T693"/>
  <c r="T692"/>
  <c r="T691"/>
  <c r="T690"/>
  <c r="T689"/>
  <c r="T688"/>
  <c r="T687"/>
  <c r="T686"/>
  <c r="T685"/>
  <c r="T684"/>
  <c r="T683"/>
  <c r="T682"/>
  <c r="T681"/>
  <c r="T680"/>
  <c r="T679"/>
  <c r="T678"/>
  <c r="T677"/>
  <c r="T676"/>
  <c r="T675"/>
  <c r="T674"/>
  <c r="T673"/>
  <c r="T672"/>
  <c r="T671"/>
  <c r="T670"/>
  <c r="T669"/>
  <c r="T668"/>
  <c r="T667"/>
  <c r="T666"/>
  <c r="T665"/>
  <c r="T664"/>
  <c r="T663"/>
  <c r="T662"/>
  <c r="T661"/>
  <c r="T660"/>
  <c r="T659"/>
  <c r="T658"/>
  <c r="T657"/>
  <c r="T656"/>
  <c r="T655"/>
  <c r="T654"/>
  <c r="T653"/>
  <c r="T652"/>
  <c r="T651"/>
  <c r="T650"/>
  <c r="T649"/>
  <c r="T648"/>
  <c r="T647"/>
  <c r="T646"/>
  <c r="T645"/>
  <c r="T644"/>
  <c r="T643"/>
  <c r="T642"/>
  <c r="T641"/>
  <c r="T640"/>
  <c r="T639"/>
  <c r="T638"/>
  <c r="T637"/>
  <c r="T636"/>
  <c r="T635"/>
  <c r="T634"/>
  <c r="T633"/>
  <c r="T632"/>
  <c r="T631"/>
  <c r="T630"/>
  <c r="T629"/>
  <c r="T628"/>
  <c r="T627"/>
  <c r="T626"/>
  <c r="T625"/>
  <c r="T624"/>
  <c r="T623"/>
  <c r="T622"/>
  <c r="T621"/>
  <c r="T620"/>
  <c r="T619"/>
  <c r="T618"/>
  <c r="T617"/>
  <c r="T616"/>
  <c r="T615"/>
  <c r="T614"/>
  <c r="T613"/>
  <c r="T612"/>
  <c r="T611"/>
  <c r="T610"/>
  <c r="T609"/>
  <c r="T606"/>
  <c r="T605"/>
  <c r="T604"/>
  <c r="T603"/>
  <c r="T602"/>
  <c r="T601"/>
  <c r="T600"/>
  <c r="T599"/>
  <c r="T598"/>
  <c r="T597"/>
  <c r="T596"/>
  <c r="T595"/>
  <c r="T594"/>
  <c r="T593"/>
  <c r="T592"/>
  <c r="T591"/>
  <c r="T590"/>
  <c r="T589"/>
  <c r="T588"/>
  <c r="T587"/>
  <c r="T586"/>
  <c r="T585"/>
  <c r="T584"/>
  <c r="T583"/>
  <c r="T582"/>
  <c r="T581"/>
  <c r="T580"/>
  <c r="T579"/>
  <c r="T578"/>
  <c r="T577"/>
  <c r="T576"/>
  <c r="T575"/>
  <c r="T574"/>
  <c r="T396"/>
  <c r="T395"/>
  <c r="T394"/>
  <c r="T393"/>
  <c r="T392"/>
  <c r="T391"/>
  <c r="T390"/>
  <c r="T389"/>
  <c r="T388"/>
  <c r="T387"/>
  <c r="T386"/>
  <c r="T385"/>
  <c r="T384"/>
  <c r="R2"/>
  <c r="O837" i="2"/>
  <c r="S837" s="1"/>
  <c r="O836"/>
  <c r="S836" s="1"/>
  <c r="O834"/>
  <c r="S834" s="1"/>
  <c r="O835"/>
  <c r="S835" s="1"/>
  <c r="O833"/>
  <c r="S833" s="1"/>
  <c r="U842" l="1"/>
  <c r="V842"/>
  <c r="T838"/>
  <c r="U838"/>
  <c r="U840"/>
  <c r="T840"/>
  <c r="U841"/>
  <c r="T841"/>
  <c r="S384" i="3"/>
  <c r="S385"/>
  <c r="S386"/>
  <c r="S387"/>
  <c r="S388"/>
  <c r="S389"/>
  <c r="S390"/>
  <c r="S391"/>
  <c r="S392"/>
  <c r="S393"/>
  <c r="S394"/>
  <c r="S395"/>
  <c r="S396"/>
  <c r="T793"/>
  <c r="T785"/>
  <c r="S77"/>
  <c r="T77"/>
  <c r="T608"/>
  <c r="T757"/>
  <c r="S757"/>
  <c r="T759"/>
  <c r="S759"/>
  <c r="T761"/>
  <c r="S761"/>
  <c r="T763"/>
  <c r="S763"/>
  <c r="T765"/>
  <c r="S765"/>
  <c r="T767"/>
  <c r="S767"/>
  <c r="T769"/>
  <c r="S769"/>
  <c r="T774"/>
  <c r="S774"/>
  <c r="T776"/>
  <c r="S776"/>
  <c r="T778"/>
  <c r="S778"/>
  <c r="S783"/>
  <c r="T783"/>
  <c r="S791"/>
  <c r="T791"/>
  <c r="T781"/>
  <c r="T789"/>
  <c r="T758"/>
  <c r="S758"/>
  <c r="T760"/>
  <c r="S760"/>
  <c r="T762"/>
  <c r="S762"/>
  <c r="T764"/>
  <c r="S764"/>
  <c r="T766"/>
  <c r="S766"/>
  <c r="T768"/>
  <c r="S768"/>
  <c r="T770"/>
  <c r="S770"/>
  <c r="T775"/>
  <c r="S775"/>
  <c r="T777"/>
  <c r="S777"/>
  <c r="S779"/>
  <c r="T779"/>
  <c r="S787"/>
  <c r="T787"/>
  <c r="S797"/>
  <c r="T797"/>
  <c r="S801"/>
  <c r="T801"/>
  <c r="S807"/>
  <c r="T807"/>
  <c r="S811"/>
  <c r="T811"/>
  <c r="S815"/>
  <c r="T815"/>
  <c r="S822"/>
  <c r="T822"/>
  <c r="S826"/>
  <c r="T826"/>
  <c r="S830"/>
  <c r="T830"/>
  <c r="S834"/>
  <c r="T834"/>
  <c r="S838"/>
  <c r="T838"/>
  <c r="S842"/>
  <c r="T842"/>
  <c r="S846"/>
  <c r="T846"/>
  <c r="S850"/>
  <c r="T850"/>
  <c r="S854"/>
  <c r="T854"/>
  <c r="S858"/>
  <c r="T858"/>
  <c r="S862"/>
  <c r="T862"/>
  <c r="S866"/>
  <c r="T866"/>
  <c r="S870"/>
  <c r="T870"/>
  <c r="S874"/>
  <c r="T874"/>
  <c r="S878"/>
  <c r="T878"/>
  <c r="S882"/>
  <c r="T882"/>
  <c r="S886"/>
  <c r="T886"/>
  <c r="S890"/>
  <c r="T890"/>
  <c r="S894"/>
  <c r="T894"/>
  <c r="S898"/>
  <c r="T898"/>
  <c r="S902"/>
  <c r="T902"/>
  <c r="S906"/>
  <c r="T906"/>
  <c r="S910"/>
  <c r="T910"/>
  <c r="S914"/>
  <c r="T914"/>
  <c r="S918"/>
  <c r="T918"/>
  <c r="S922"/>
  <c r="T922"/>
  <c r="S926"/>
  <c r="T926"/>
  <c r="S930"/>
  <c r="T930"/>
  <c r="S934"/>
  <c r="T934"/>
  <c r="S938"/>
  <c r="T938"/>
  <c r="S942"/>
  <c r="T942"/>
  <c r="S946"/>
  <c r="T946"/>
  <c r="S950"/>
  <c r="T950"/>
  <c r="S954"/>
  <c r="T954"/>
  <c r="S958"/>
  <c r="T958"/>
  <c r="S962"/>
  <c r="T962"/>
  <c r="S966"/>
  <c r="T966"/>
  <c r="S969"/>
  <c r="T969"/>
  <c r="S973"/>
  <c r="T973"/>
  <c r="S976"/>
  <c r="T976"/>
  <c r="S980"/>
  <c r="T980"/>
  <c r="S984"/>
  <c r="T984"/>
  <c r="S988"/>
  <c r="T988"/>
  <c r="S992"/>
  <c r="T992"/>
  <c r="S996"/>
  <c r="T996"/>
  <c r="S1000"/>
  <c r="T1000"/>
  <c r="S1004"/>
  <c r="T1004"/>
  <c r="S1008"/>
  <c r="T1008"/>
  <c r="S1012"/>
  <c r="T1012"/>
  <c r="S1016"/>
  <c r="T1016"/>
  <c r="S1020"/>
  <c r="T1020"/>
  <c r="S1024"/>
  <c r="T1024"/>
  <c r="S1028"/>
  <c r="T1028"/>
  <c r="S1032"/>
  <c r="T1032"/>
  <c r="N1035"/>
  <c r="R1035" s="1"/>
  <c r="T795"/>
  <c r="T799"/>
  <c r="T805"/>
  <c r="T809"/>
  <c r="T813"/>
  <c r="T817"/>
  <c r="T824"/>
  <c r="T828"/>
  <c r="T832"/>
  <c r="T836"/>
  <c r="T840"/>
  <c r="T844"/>
  <c r="T848"/>
  <c r="T852"/>
  <c r="T856"/>
  <c r="T860"/>
  <c r="T864"/>
  <c r="T868"/>
  <c r="T872"/>
  <c r="T876"/>
  <c r="T880"/>
  <c r="T884"/>
  <c r="T888"/>
  <c r="T892"/>
  <c r="T896"/>
  <c r="T900"/>
  <c r="T904"/>
  <c r="T908"/>
  <c r="T912"/>
  <c r="T916"/>
  <c r="T920"/>
  <c r="T924"/>
  <c r="T928"/>
  <c r="T932"/>
  <c r="T936"/>
  <c r="T940"/>
  <c r="T944"/>
  <c r="T948"/>
  <c r="T952"/>
  <c r="T956"/>
  <c r="T960"/>
  <c r="T964"/>
  <c r="T968"/>
  <c r="T971"/>
  <c r="T978"/>
  <c r="T982"/>
  <c r="T986"/>
  <c r="T990"/>
  <c r="T994"/>
  <c r="T998"/>
  <c r="T1002"/>
  <c r="T1006"/>
  <c r="T1010"/>
  <c r="T1014"/>
  <c r="T1018"/>
  <c r="T1022"/>
  <c r="T1026"/>
  <c r="T1030"/>
  <c r="T1034"/>
  <c r="S819"/>
  <c r="T819"/>
  <c r="S470"/>
  <c r="T470"/>
  <c r="S333"/>
  <c r="T333"/>
  <c r="S104"/>
  <c r="T104"/>
  <c r="S76"/>
  <c r="T76"/>
  <c r="T803"/>
  <c r="T3"/>
  <c r="S3"/>
  <c r="T5"/>
  <c r="S5"/>
  <c r="T7"/>
  <c r="S7"/>
  <c r="T9"/>
  <c r="S9"/>
  <c r="T11"/>
  <c r="S11"/>
  <c r="T13"/>
  <c r="S13"/>
  <c r="T15"/>
  <c r="S15"/>
  <c r="T17"/>
  <c r="S17"/>
  <c r="T19"/>
  <c r="S19"/>
  <c r="T21"/>
  <c r="S21"/>
  <c r="T26"/>
  <c r="S26"/>
  <c r="T28"/>
  <c r="S28"/>
  <c r="T30"/>
  <c r="S30"/>
  <c r="T32"/>
  <c r="S32"/>
  <c r="T34"/>
  <c r="S34"/>
  <c r="T36"/>
  <c r="S36"/>
  <c r="T38"/>
  <c r="S38"/>
  <c r="T40"/>
  <c r="S40"/>
  <c r="T42"/>
  <c r="S42"/>
  <c r="T44"/>
  <c r="S44"/>
  <c r="T46"/>
  <c r="S46"/>
  <c r="T48"/>
  <c r="S48"/>
  <c r="T50"/>
  <c r="S50"/>
  <c r="T52"/>
  <c r="S52"/>
  <c r="T54"/>
  <c r="S54"/>
  <c r="T56"/>
  <c r="S56"/>
  <c r="T58"/>
  <c r="S58"/>
  <c r="T60"/>
  <c r="S60"/>
  <c r="T62"/>
  <c r="S62"/>
  <c r="T64"/>
  <c r="S64"/>
  <c r="T66"/>
  <c r="S66"/>
  <c r="T68"/>
  <c r="S68"/>
  <c r="T70"/>
  <c r="S70"/>
  <c r="T72"/>
  <c r="S72"/>
  <c r="T74"/>
  <c r="S74"/>
  <c r="T80"/>
  <c r="S80"/>
  <c r="T82"/>
  <c r="S82"/>
  <c r="T84"/>
  <c r="S84"/>
  <c r="T86"/>
  <c r="S86"/>
  <c r="T88"/>
  <c r="S88"/>
  <c r="T90"/>
  <c r="S90"/>
  <c r="T92"/>
  <c r="S92"/>
  <c r="T94"/>
  <c r="S94"/>
  <c r="T96"/>
  <c r="S96"/>
  <c r="T98"/>
  <c r="S98"/>
  <c r="T100"/>
  <c r="S100"/>
  <c r="T102"/>
  <c r="S102"/>
  <c r="T105"/>
  <c r="S105"/>
  <c r="T107"/>
  <c r="S107"/>
  <c r="T109"/>
  <c r="S109"/>
  <c r="T111"/>
  <c r="S111"/>
  <c r="T113"/>
  <c r="S113"/>
  <c r="T115"/>
  <c r="S115"/>
  <c r="T117"/>
  <c r="S117"/>
  <c r="T119"/>
  <c r="S119"/>
  <c r="T121"/>
  <c r="S121"/>
  <c r="T123"/>
  <c r="S123"/>
  <c r="T125"/>
  <c r="S125"/>
  <c r="T127"/>
  <c r="S127"/>
  <c r="T129"/>
  <c r="S129"/>
  <c r="T131"/>
  <c r="S131"/>
  <c r="T133"/>
  <c r="S133"/>
  <c r="T135"/>
  <c r="S135"/>
  <c r="T137"/>
  <c r="S137"/>
  <c r="T139"/>
  <c r="S139"/>
  <c r="T141"/>
  <c r="S141"/>
  <c r="T143"/>
  <c r="S143"/>
  <c r="T145"/>
  <c r="S145"/>
  <c r="T147"/>
  <c r="S147"/>
  <c r="T149"/>
  <c r="S149"/>
  <c r="T151"/>
  <c r="S151"/>
  <c r="T153"/>
  <c r="S153"/>
  <c r="T155"/>
  <c r="S155"/>
  <c r="T157"/>
  <c r="S157"/>
  <c r="T159"/>
  <c r="S159"/>
  <c r="T161"/>
  <c r="S161"/>
  <c r="T163"/>
  <c r="S163"/>
  <c r="T165"/>
  <c r="S165"/>
  <c r="T167"/>
  <c r="S167"/>
  <c r="T169"/>
  <c r="S169"/>
  <c r="T171"/>
  <c r="S171"/>
  <c r="T173"/>
  <c r="S173"/>
  <c r="T175"/>
  <c r="S175"/>
  <c r="T177"/>
  <c r="S177"/>
  <c r="T179"/>
  <c r="S179"/>
  <c r="T181"/>
  <c r="S181"/>
  <c r="T183"/>
  <c r="S183"/>
  <c r="T185"/>
  <c r="S185"/>
  <c r="T187"/>
  <c r="S187"/>
  <c r="T189"/>
  <c r="S189"/>
  <c r="T191"/>
  <c r="S191"/>
  <c r="T193"/>
  <c r="S193"/>
  <c r="T195"/>
  <c r="S195"/>
  <c r="T197"/>
  <c r="S197"/>
  <c r="T199"/>
  <c r="S199"/>
  <c r="T201"/>
  <c r="S201"/>
  <c r="T204"/>
  <c r="S204"/>
  <c r="T206"/>
  <c r="S206"/>
  <c r="T208"/>
  <c r="S208"/>
  <c r="T210"/>
  <c r="S210"/>
  <c r="T212"/>
  <c r="S212"/>
  <c r="T214"/>
  <c r="S214"/>
  <c r="T216"/>
  <c r="S216"/>
  <c r="T218"/>
  <c r="S218"/>
  <c r="T220"/>
  <c r="S220"/>
  <c r="T222"/>
  <c r="S222"/>
  <c r="T224"/>
  <c r="S224"/>
  <c r="T226"/>
  <c r="S226"/>
  <c r="T228"/>
  <c r="S228"/>
  <c r="T230"/>
  <c r="S230"/>
  <c r="T232"/>
  <c r="S232"/>
  <c r="T234"/>
  <c r="S234"/>
  <c r="T236"/>
  <c r="S236"/>
  <c r="T238"/>
  <c r="S238"/>
  <c r="T240"/>
  <c r="S240"/>
  <c r="T242"/>
  <c r="S242"/>
  <c r="T244"/>
  <c r="S244"/>
  <c r="T246"/>
  <c r="S246"/>
  <c r="T248"/>
  <c r="S248"/>
  <c r="T250"/>
  <c r="S250"/>
  <c r="T252"/>
  <c r="S252"/>
  <c r="T254"/>
  <c r="S254"/>
  <c r="T256"/>
  <c r="S256"/>
  <c r="T258"/>
  <c r="S258"/>
  <c r="T260"/>
  <c r="S260"/>
  <c r="T262"/>
  <c r="S262"/>
  <c r="T264"/>
  <c r="S264"/>
  <c r="T266"/>
  <c r="S266"/>
  <c r="T268"/>
  <c r="S268"/>
  <c r="T270"/>
  <c r="S270"/>
  <c r="T272"/>
  <c r="S272"/>
  <c r="T274"/>
  <c r="S274"/>
  <c r="T276"/>
  <c r="S276"/>
  <c r="T278"/>
  <c r="S278"/>
  <c r="T280"/>
  <c r="S280"/>
  <c r="T282"/>
  <c r="S282"/>
  <c r="T284"/>
  <c r="S284"/>
  <c r="T286"/>
  <c r="S286"/>
  <c r="T288"/>
  <c r="S288"/>
  <c r="T290"/>
  <c r="S290"/>
  <c r="T292"/>
  <c r="S292"/>
  <c r="T294"/>
  <c r="S294"/>
  <c r="T296"/>
  <c r="S296"/>
  <c r="T298"/>
  <c r="S298"/>
  <c r="T300"/>
  <c r="S300"/>
  <c r="T302"/>
  <c r="S302"/>
  <c r="T304"/>
  <c r="S304"/>
  <c r="T306"/>
  <c r="S306"/>
  <c r="T308"/>
  <c r="S308"/>
  <c r="T310"/>
  <c r="S310"/>
  <c r="T312"/>
  <c r="S312"/>
  <c r="T314"/>
  <c r="S314"/>
  <c r="T316"/>
  <c r="S316"/>
  <c r="T318"/>
  <c r="S318"/>
  <c r="T320"/>
  <c r="S320"/>
  <c r="T322"/>
  <c r="S322"/>
  <c r="T324"/>
  <c r="S324"/>
  <c r="T326"/>
  <c r="S326"/>
  <c r="T328"/>
  <c r="S328"/>
  <c r="T330"/>
  <c r="S330"/>
  <c r="T334"/>
  <c r="S334"/>
  <c r="T336"/>
  <c r="S336"/>
  <c r="T338"/>
  <c r="S338"/>
  <c r="T340"/>
  <c r="S340"/>
  <c r="T342"/>
  <c r="S342"/>
  <c r="T344"/>
  <c r="S344"/>
  <c r="T346"/>
  <c r="S346"/>
  <c r="T348"/>
  <c r="S348"/>
  <c r="T350"/>
  <c r="S350"/>
  <c r="T352"/>
  <c r="S352"/>
  <c r="T354"/>
  <c r="S354"/>
  <c r="T356"/>
  <c r="S356"/>
  <c r="T358"/>
  <c r="S358"/>
  <c r="T360"/>
  <c r="S360"/>
  <c r="T362"/>
  <c r="S362"/>
  <c r="T364"/>
  <c r="S364"/>
  <c r="T366"/>
  <c r="S366"/>
  <c r="T368"/>
  <c r="S368"/>
  <c r="T332"/>
  <c r="S332"/>
  <c r="T371"/>
  <c r="S371"/>
  <c r="T373"/>
  <c r="S373"/>
  <c r="T375"/>
  <c r="S375"/>
  <c r="T377"/>
  <c r="S377"/>
  <c r="T379"/>
  <c r="S379"/>
  <c r="T381"/>
  <c r="S381"/>
  <c r="T383"/>
  <c r="S383"/>
  <c r="T2"/>
  <c r="S2"/>
  <c r="T4"/>
  <c r="S4"/>
  <c r="T6"/>
  <c r="S6"/>
  <c r="T8"/>
  <c r="S8"/>
  <c r="T10"/>
  <c r="S10"/>
  <c r="T12"/>
  <c r="S12"/>
  <c r="T14"/>
  <c r="S14"/>
  <c r="T16"/>
  <c r="S16"/>
  <c r="T18"/>
  <c r="S18"/>
  <c r="T20"/>
  <c r="S20"/>
  <c r="T22"/>
  <c r="S22"/>
  <c r="T27"/>
  <c r="S27"/>
  <c r="T29"/>
  <c r="S29"/>
  <c r="T31"/>
  <c r="S31"/>
  <c r="T33"/>
  <c r="S33"/>
  <c r="T35"/>
  <c r="S35"/>
  <c r="T37"/>
  <c r="S37"/>
  <c r="T39"/>
  <c r="S39"/>
  <c r="T41"/>
  <c r="S41"/>
  <c r="T43"/>
  <c r="S43"/>
  <c r="T45"/>
  <c r="S45"/>
  <c r="T47"/>
  <c r="S47"/>
  <c r="T49"/>
  <c r="S49"/>
  <c r="T53"/>
  <c r="S53"/>
  <c r="T55"/>
  <c r="S55"/>
  <c r="T57"/>
  <c r="S57"/>
  <c r="T59"/>
  <c r="S59"/>
  <c r="T61"/>
  <c r="S61"/>
  <c r="T63"/>
  <c r="S63"/>
  <c r="T65"/>
  <c r="S65"/>
  <c r="T67"/>
  <c r="S67"/>
  <c r="T69"/>
  <c r="S69"/>
  <c r="T71"/>
  <c r="S71"/>
  <c r="T73"/>
  <c r="S73"/>
  <c r="T75"/>
  <c r="S75"/>
  <c r="T79"/>
  <c r="S79"/>
  <c r="T81"/>
  <c r="S81"/>
  <c r="T83"/>
  <c r="S83"/>
  <c r="T85"/>
  <c r="S85"/>
  <c r="T87"/>
  <c r="S87"/>
  <c r="T89"/>
  <c r="S89"/>
  <c r="T91"/>
  <c r="S91"/>
  <c r="T93"/>
  <c r="S93"/>
  <c r="T95"/>
  <c r="S95"/>
  <c r="T97"/>
  <c r="S97"/>
  <c r="T99"/>
  <c r="S99"/>
  <c r="T101"/>
  <c r="S101"/>
  <c r="T103"/>
  <c r="S103"/>
  <c r="T106"/>
  <c r="S106"/>
  <c r="T108"/>
  <c r="S108"/>
  <c r="T110"/>
  <c r="S110"/>
  <c r="T112"/>
  <c r="S112"/>
  <c r="T114"/>
  <c r="S114"/>
  <c r="T116"/>
  <c r="S116"/>
  <c r="T118"/>
  <c r="S118"/>
  <c r="T120"/>
  <c r="S120"/>
  <c r="T122"/>
  <c r="S122"/>
  <c r="T124"/>
  <c r="S124"/>
  <c r="T126"/>
  <c r="S126"/>
  <c r="T128"/>
  <c r="S128"/>
  <c r="T130"/>
  <c r="S130"/>
  <c r="T132"/>
  <c r="S132"/>
  <c r="T134"/>
  <c r="S134"/>
  <c r="T136"/>
  <c r="S136"/>
  <c r="T138"/>
  <c r="S138"/>
  <c r="T140"/>
  <c r="S140"/>
  <c r="T142"/>
  <c r="S142"/>
  <c r="T144"/>
  <c r="S144"/>
  <c r="T146"/>
  <c r="S146"/>
  <c r="T148"/>
  <c r="S148"/>
  <c r="T150"/>
  <c r="S150"/>
  <c r="T152"/>
  <c r="S152"/>
  <c r="T154"/>
  <c r="S154"/>
  <c r="T156"/>
  <c r="S156"/>
  <c r="T158"/>
  <c r="S158"/>
  <c r="T160"/>
  <c r="S160"/>
  <c r="T162"/>
  <c r="S162"/>
  <c r="T164"/>
  <c r="S164"/>
  <c r="T166"/>
  <c r="S166"/>
  <c r="T168"/>
  <c r="S168"/>
  <c r="T170"/>
  <c r="S170"/>
  <c r="T172"/>
  <c r="S172"/>
  <c r="T174"/>
  <c r="S174"/>
  <c r="T176"/>
  <c r="S176"/>
  <c r="T178"/>
  <c r="S178"/>
  <c r="T180"/>
  <c r="S180"/>
  <c r="T182"/>
  <c r="S182"/>
  <c r="T184"/>
  <c r="S184"/>
  <c r="T186"/>
  <c r="S186"/>
  <c r="T188"/>
  <c r="S188"/>
  <c r="T190"/>
  <c r="S190"/>
  <c r="T192"/>
  <c r="S192"/>
  <c r="T194"/>
  <c r="S194"/>
  <c r="T196"/>
  <c r="S196"/>
  <c r="T198"/>
  <c r="S198"/>
  <c r="T200"/>
  <c r="S200"/>
  <c r="T202"/>
  <c r="S202"/>
  <c r="T203"/>
  <c r="S203"/>
  <c r="T205"/>
  <c r="S205"/>
  <c r="T207"/>
  <c r="S207"/>
  <c r="T209"/>
  <c r="S209"/>
  <c r="T211"/>
  <c r="S211"/>
  <c r="T213"/>
  <c r="S213"/>
  <c r="T215"/>
  <c r="S215"/>
  <c r="T217"/>
  <c r="S217"/>
  <c r="T219"/>
  <c r="S219"/>
  <c r="T221"/>
  <c r="S221"/>
  <c r="T223"/>
  <c r="S223"/>
  <c r="T225"/>
  <c r="S225"/>
  <c r="T227"/>
  <c r="S227"/>
  <c r="T229"/>
  <c r="S229"/>
  <c r="T231"/>
  <c r="S231"/>
  <c r="T233"/>
  <c r="S233"/>
  <c r="T235"/>
  <c r="S235"/>
  <c r="T237"/>
  <c r="S237"/>
  <c r="T239"/>
  <c r="S239"/>
  <c r="T241"/>
  <c r="S241"/>
  <c r="T243"/>
  <c r="S243"/>
  <c r="T245"/>
  <c r="S245"/>
  <c r="T247"/>
  <c r="S247"/>
  <c r="T249"/>
  <c r="S249"/>
  <c r="T251"/>
  <c r="S251"/>
  <c r="T253"/>
  <c r="S253"/>
  <c r="T255"/>
  <c r="S255"/>
  <c r="T257"/>
  <c r="S257"/>
  <c r="T259"/>
  <c r="S259"/>
  <c r="T261"/>
  <c r="S261"/>
  <c r="T263"/>
  <c r="S263"/>
  <c r="T265"/>
  <c r="S265"/>
  <c r="T267"/>
  <c r="S267"/>
  <c r="T269"/>
  <c r="S269"/>
  <c r="T271"/>
  <c r="S271"/>
  <c r="T273"/>
  <c r="S273"/>
  <c r="T275"/>
  <c r="S275"/>
  <c r="T277"/>
  <c r="S277"/>
  <c r="T279"/>
  <c r="S279"/>
  <c r="T281"/>
  <c r="S281"/>
  <c r="T283"/>
  <c r="S283"/>
  <c r="T285"/>
  <c r="S285"/>
  <c r="T287"/>
  <c r="S287"/>
  <c r="T289"/>
  <c r="S289"/>
  <c r="T291"/>
  <c r="S291"/>
  <c r="T293"/>
  <c r="S293"/>
  <c r="T295"/>
  <c r="S295"/>
  <c r="T297"/>
  <c r="S297"/>
  <c r="T299"/>
  <c r="S299"/>
  <c r="T301"/>
  <c r="S301"/>
  <c r="T303"/>
  <c r="S303"/>
  <c r="T305"/>
  <c r="S305"/>
  <c r="T307"/>
  <c r="S307"/>
  <c r="T309"/>
  <c r="S309"/>
  <c r="T311"/>
  <c r="S311"/>
  <c r="T313"/>
  <c r="S313"/>
  <c r="T315"/>
  <c r="S315"/>
  <c r="T317"/>
  <c r="S317"/>
  <c r="T319"/>
  <c r="S319"/>
  <c r="T321"/>
  <c r="S321"/>
  <c r="T323"/>
  <c r="S323"/>
  <c r="T325"/>
  <c r="S325"/>
  <c r="T327"/>
  <c r="S327"/>
  <c r="T329"/>
  <c r="S329"/>
  <c r="T331"/>
  <c r="S331"/>
  <c r="T335"/>
  <c r="S335"/>
  <c r="T337"/>
  <c r="S337"/>
  <c r="T339"/>
  <c r="S339"/>
  <c r="T341"/>
  <c r="S341"/>
  <c r="T343"/>
  <c r="S343"/>
  <c r="T345"/>
  <c r="S345"/>
  <c r="T347"/>
  <c r="S347"/>
  <c r="T349"/>
  <c r="S349"/>
  <c r="T351"/>
  <c r="S351"/>
  <c r="T353"/>
  <c r="S353"/>
  <c r="T355"/>
  <c r="S355"/>
  <c r="T357"/>
  <c r="S357"/>
  <c r="T359"/>
  <c r="S359"/>
  <c r="T361"/>
  <c r="S361"/>
  <c r="T363"/>
  <c r="S363"/>
  <c r="T365"/>
  <c r="S365"/>
  <c r="T367"/>
  <c r="S367"/>
  <c r="T369"/>
  <c r="S369"/>
  <c r="T370"/>
  <c r="S370"/>
  <c r="T372"/>
  <c r="S372"/>
  <c r="T374"/>
  <c r="S374"/>
  <c r="T376"/>
  <c r="S376"/>
  <c r="T378"/>
  <c r="S378"/>
  <c r="T380"/>
  <c r="S380"/>
  <c r="T382"/>
  <c r="S382"/>
  <c r="T398"/>
  <c r="S398"/>
  <c r="T400"/>
  <c r="S400"/>
  <c r="T402"/>
  <c r="S402"/>
  <c r="T404"/>
  <c r="S404"/>
  <c r="T406"/>
  <c r="S406"/>
  <c r="T408"/>
  <c r="S408"/>
  <c r="T410"/>
  <c r="S410"/>
  <c r="T412"/>
  <c r="S412"/>
  <c r="T414"/>
  <c r="S414"/>
  <c r="T416"/>
  <c r="S416"/>
  <c r="T418"/>
  <c r="S418"/>
  <c r="T420"/>
  <c r="S420"/>
  <c r="T421"/>
  <c r="S421"/>
  <c r="T423"/>
  <c r="S423"/>
  <c r="T425"/>
  <c r="S425"/>
  <c r="T427"/>
  <c r="S427"/>
  <c r="T429"/>
  <c r="S429"/>
  <c r="T431"/>
  <c r="S431"/>
  <c r="T433"/>
  <c r="S433"/>
  <c r="T435"/>
  <c r="S435"/>
  <c r="T437"/>
  <c r="S437"/>
  <c r="T439"/>
  <c r="S439"/>
  <c r="T441"/>
  <c r="S441"/>
  <c r="T443"/>
  <c r="S443"/>
  <c r="T445"/>
  <c r="S445"/>
  <c r="T447"/>
  <c r="S447"/>
  <c r="T449"/>
  <c r="S449"/>
  <c r="T451"/>
  <c r="S451"/>
  <c r="T453"/>
  <c r="S453"/>
  <c r="T455"/>
  <c r="S455"/>
  <c r="T457"/>
  <c r="S457"/>
  <c r="T459"/>
  <c r="S459"/>
  <c r="T461"/>
  <c r="S461"/>
  <c r="T463"/>
  <c r="S463"/>
  <c r="T465"/>
  <c r="S465"/>
  <c r="T467"/>
  <c r="S467"/>
  <c r="T469"/>
  <c r="S469"/>
  <c r="T473"/>
  <c r="S473"/>
  <c r="T475"/>
  <c r="S475"/>
  <c r="T477"/>
  <c r="S477"/>
  <c r="T479"/>
  <c r="S479"/>
  <c r="T481"/>
  <c r="S481"/>
  <c r="T483"/>
  <c r="S483"/>
  <c r="T485"/>
  <c r="S485"/>
  <c r="T487"/>
  <c r="S487"/>
  <c r="T489"/>
  <c r="S489"/>
  <c r="T491"/>
  <c r="S491"/>
  <c r="T493"/>
  <c r="S493"/>
  <c r="T495"/>
  <c r="S495"/>
  <c r="T497"/>
  <c r="S497"/>
  <c r="T499"/>
  <c r="S499"/>
  <c r="T502"/>
  <c r="S502"/>
  <c r="T504"/>
  <c r="S504"/>
  <c r="T506"/>
  <c r="S506"/>
  <c r="T508"/>
  <c r="S508"/>
  <c r="T510"/>
  <c r="S510"/>
  <c r="T512"/>
  <c r="S512"/>
  <c r="T514"/>
  <c r="S514"/>
  <c r="T516"/>
  <c r="S516"/>
  <c r="T519"/>
  <c r="S519"/>
  <c r="T521"/>
  <c r="S521"/>
  <c r="T523"/>
  <c r="S523"/>
  <c r="T525"/>
  <c r="S525"/>
  <c r="T527"/>
  <c r="S527"/>
  <c r="T529"/>
  <c r="S529"/>
  <c r="T531"/>
  <c r="S531"/>
  <c r="T533"/>
  <c r="S533"/>
  <c r="T535"/>
  <c r="S535"/>
  <c r="T537"/>
  <c r="S537"/>
  <c r="T539"/>
  <c r="S539"/>
  <c r="T541"/>
  <c r="S541"/>
  <c r="T543"/>
  <c r="S543"/>
  <c r="T545"/>
  <c r="S545"/>
  <c r="T547"/>
  <c r="S547"/>
  <c r="T549"/>
  <c r="S549"/>
  <c r="T551"/>
  <c r="S551"/>
  <c r="T553"/>
  <c r="S553"/>
  <c r="T555"/>
  <c r="S555"/>
  <c r="T557"/>
  <c r="S557"/>
  <c r="T559"/>
  <c r="S559"/>
  <c r="T561"/>
  <c r="S561"/>
  <c r="T563"/>
  <c r="S563"/>
  <c r="T565"/>
  <c r="S565"/>
  <c r="T567"/>
  <c r="S567"/>
  <c r="T569"/>
  <c r="S569"/>
  <c r="T571"/>
  <c r="S571"/>
  <c r="T573"/>
  <c r="S573"/>
  <c r="T397"/>
  <c r="S397"/>
  <c r="T399"/>
  <c r="S399"/>
  <c r="T401"/>
  <c r="S401"/>
  <c r="T403"/>
  <c r="S403"/>
  <c r="T405"/>
  <c r="S405"/>
  <c r="T407"/>
  <c r="S407"/>
  <c r="T409"/>
  <c r="S409"/>
  <c r="T411"/>
  <c r="S411"/>
  <c r="T413"/>
  <c r="S413"/>
  <c r="T415"/>
  <c r="S415"/>
  <c r="T417"/>
  <c r="S417"/>
  <c r="T419"/>
  <c r="S419"/>
  <c r="T422"/>
  <c r="S422"/>
  <c r="T424"/>
  <c r="S424"/>
  <c r="T426"/>
  <c r="S426"/>
  <c r="T428"/>
  <c r="S428"/>
  <c r="T430"/>
  <c r="S430"/>
  <c r="T432"/>
  <c r="S432"/>
  <c r="T434"/>
  <c r="S434"/>
  <c r="T436"/>
  <c r="S436"/>
  <c r="T438"/>
  <c r="S438"/>
  <c r="T440"/>
  <c r="S440"/>
  <c r="T442"/>
  <c r="S442"/>
  <c r="T444"/>
  <c r="S444"/>
  <c r="T446"/>
  <c r="S446"/>
  <c r="T448"/>
  <c r="S448"/>
  <c r="T450"/>
  <c r="S450"/>
  <c r="T452"/>
  <c r="S452"/>
  <c r="T454"/>
  <c r="S454"/>
  <c r="T456"/>
  <c r="S456"/>
  <c r="T458"/>
  <c r="S458"/>
  <c r="T460"/>
  <c r="S460"/>
  <c r="T462"/>
  <c r="S462"/>
  <c r="T464"/>
  <c r="S464"/>
  <c r="T466"/>
  <c r="S466"/>
  <c r="T468"/>
  <c r="S468"/>
  <c r="T472"/>
  <c r="S472"/>
  <c r="T474"/>
  <c r="S474"/>
  <c r="T476"/>
  <c r="S476"/>
  <c r="T478"/>
  <c r="S478"/>
  <c r="T480"/>
  <c r="S480"/>
  <c r="T482"/>
  <c r="S482"/>
  <c r="T484"/>
  <c r="S484"/>
  <c r="T486"/>
  <c r="S486"/>
  <c r="T488"/>
  <c r="S488"/>
  <c r="T490"/>
  <c r="S490"/>
  <c r="T492"/>
  <c r="S492"/>
  <c r="T494"/>
  <c r="S494"/>
  <c r="T496"/>
  <c r="S496"/>
  <c r="T498"/>
  <c r="S498"/>
  <c r="T501"/>
  <c r="S501"/>
  <c r="T503"/>
  <c r="S503"/>
  <c r="T505"/>
  <c r="S505"/>
  <c r="T507"/>
  <c r="S507"/>
  <c r="T509"/>
  <c r="S509"/>
  <c r="T511"/>
  <c r="S511"/>
  <c r="T513"/>
  <c r="S513"/>
  <c r="T515"/>
  <c r="S515"/>
  <c r="T517"/>
  <c r="S517"/>
  <c r="T518"/>
  <c r="S518"/>
  <c r="T520"/>
  <c r="S520"/>
  <c r="T522"/>
  <c r="S522"/>
  <c r="T524"/>
  <c r="S524"/>
  <c r="T526"/>
  <c r="S526"/>
  <c r="T528"/>
  <c r="S528"/>
  <c r="T530"/>
  <c r="S530"/>
  <c r="T532"/>
  <c r="S532"/>
  <c r="T534"/>
  <c r="S534"/>
  <c r="T536"/>
  <c r="S536"/>
  <c r="T538"/>
  <c r="S538"/>
  <c r="T540"/>
  <c r="S540"/>
  <c r="T542"/>
  <c r="S542"/>
  <c r="T544"/>
  <c r="S544"/>
  <c r="T546"/>
  <c r="S546"/>
  <c r="T548"/>
  <c r="S548"/>
  <c r="T550"/>
  <c r="S550"/>
  <c r="T552"/>
  <c r="S552"/>
  <c r="T554"/>
  <c r="S554"/>
  <c r="T556"/>
  <c r="S556"/>
  <c r="T558"/>
  <c r="S558"/>
  <c r="T560"/>
  <c r="S560"/>
  <c r="T562"/>
  <c r="S562"/>
  <c r="T564"/>
  <c r="S564"/>
  <c r="T566"/>
  <c r="S566"/>
  <c r="T568"/>
  <c r="S568"/>
  <c r="T570"/>
  <c r="S570"/>
  <c r="T572"/>
  <c r="S572"/>
  <c r="S780"/>
  <c r="T780"/>
  <c r="S784"/>
  <c r="T784"/>
  <c r="S788"/>
  <c r="T788"/>
  <c r="S792"/>
  <c r="T792"/>
  <c r="S796"/>
  <c r="T796"/>
  <c r="S800"/>
  <c r="T800"/>
  <c r="S804"/>
  <c r="T804"/>
  <c r="S808"/>
  <c r="T808"/>
  <c r="S812"/>
  <c r="T812"/>
  <c r="S816"/>
  <c r="T816"/>
  <c r="S823"/>
  <c r="T823"/>
  <c r="S827"/>
  <c r="T827"/>
  <c r="S831"/>
  <c r="T831"/>
  <c r="S835"/>
  <c r="T835"/>
  <c r="S839"/>
  <c r="T839"/>
  <c r="S843"/>
  <c r="T843"/>
  <c r="S847"/>
  <c r="T847"/>
  <c r="S851"/>
  <c r="T851"/>
  <c r="S855"/>
  <c r="T855"/>
  <c r="S859"/>
  <c r="T859"/>
  <c r="S863"/>
  <c r="T863"/>
  <c r="S867"/>
  <c r="T867"/>
  <c r="S871"/>
  <c r="T871"/>
  <c r="S875"/>
  <c r="T875"/>
  <c r="S879"/>
  <c r="T879"/>
  <c r="S883"/>
  <c r="T883"/>
  <c r="S887"/>
  <c r="T887"/>
  <c r="S891"/>
  <c r="T891"/>
  <c r="S895"/>
  <c r="T895"/>
  <c r="S899"/>
  <c r="T899"/>
  <c r="S903"/>
  <c r="T903"/>
  <c r="S907"/>
  <c r="T907"/>
  <c r="S911"/>
  <c r="T911"/>
  <c r="S915"/>
  <c r="T915"/>
  <c r="S919"/>
  <c r="T919"/>
  <c r="S923"/>
  <c r="T923"/>
  <c r="S927"/>
  <c r="T927"/>
  <c r="S931"/>
  <c r="T931"/>
  <c r="S935"/>
  <c r="T935"/>
  <c r="S939"/>
  <c r="T939"/>
  <c r="S943"/>
  <c r="T943"/>
  <c r="S947"/>
  <c r="T947"/>
  <c r="S951"/>
  <c r="T951"/>
  <c r="S955"/>
  <c r="T955"/>
  <c r="S959"/>
  <c r="T959"/>
  <c r="S963"/>
  <c r="T963"/>
  <c r="S967"/>
  <c r="T967"/>
  <c r="S970"/>
  <c r="T970"/>
  <c r="S974"/>
  <c r="T974"/>
  <c r="S977"/>
  <c r="T977"/>
  <c r="S981"/>
  <c r="T981"/>
  <c r="S985"/>
  <c r="T985"/>
  <c r="S989"/>
  <c r="T989"/>
  <c r="S993"/>
  <c r="T993"/>
  <c r="S997"/>
  <c r="T997"/>
  <c r="S1001"/>
  <c r="T1001"/>
  <c r="S1005"/>
  <c r="T1005"/>
  <c r="S1009"/>
  <c r="T1009"/>
  <c r="S1013"/>
  <c r="T1013"/>
  <c r="S1017"/>
  <c r="T1017"/>
  <c r="S1021"/>
  <c r="T1021"/>
  <c r="S1025"/>
  <c r="T1025"/>
  <c r="S1029"/>
  <c r="T1029"/>
  <c r="S1033"/>
  <c r="T1033"/>
  <c r="S574"/>
  <c r="S575"/>
  <c r="S576"/>
  <c r="S577"/>
  <c r="S578"/>
  <c r="S579"/>
  <c r="S580"/>
  <c r="S581"/>
  <c r="S582"/>
  <c r="S583"/>
  <c r="S584"/>
  <c r="S585"/>
  <c r="S586"/>
  <c r="S587"/>
  <c r="S588"/>
  <c r="S589"/>
  <c r="S590"/>
  <c r="S591"/>
  <c r="S592"/>
  <c r="S593"/>
  <c r="S594"/>
  <c r="S595"/>
  <c r="S596"/>
  <c r="S597"/>
  <c r="S598"/>
  <c r="S599"/>
  <c r="S600"/>
  <c r="S601"/>
  <c r="S602"/>
  <c r="S603"/>
  <c r="S604"/>
  <c r="S605"/>
  <c r="S606"/>
  <c r="S609"/>
  <c r="S610"/>
  <c r="S611"/>
  <c r="S612"/>
  <c r="S613"/>
  <c r="S614"/>
  <c r="S615"/>
  <c r="S616"/>
  <c r="S617"/>
  <c r="S618"/>
  <c r="S619"/>
  <c r="S620"/>
  <c r="S621"/>
  <c r="S622"/>
  <c r="S623"/>
  <c r="S624"/>
  <c r="S625"/>
  <c r="S626"/>
  <c r="S627"/>
  <c r="S628"/>
  <c r="S629"/>
  <c r="S630"/>
  <c r="S631"/>
  <c r="S632"/>
  <c r="S633"/>
  <c r="S634"/>
  <c r="S635"/>
  <c r="S636"/>
  <c r="S637"/>
  <c r="S638"/>
  <c r="S639"/>
  <c r="S640"/>
  <c r="S641"/>
  <c r="S642"/>
  <c r="S643"/>
  <c r="S644"/>
  <c r="S645"/>
  <c r="S646"/>
  <c r="S647"/>
  <c r="S648"/>
  <c r="S649"/>
  <c r="S650"/>
  <c r="S651"/>
  <c r="S652"/>
  <c r="S653"/>
  <c r="S654"/>
  <c r="S655"/>
  <c r="S656"/>
  <c r="S657"/>
  <c r="S658"/>
  <c r="S659"/>
  <c r="S660"/>
  <c r="S661"/>
  <c r="S662"/>
  <c r="S663"/>
  <c r="S664"/>
  <c r="S665"/>
  <c r="S666"/>
  <c r="S667"/>
  <c r="S668"/>
  <c r="S669"/>
  <c r="S670"/>
  <c r="S671"/>
  <c r="S672"/>
  <c r="S673"/>
  <c r="S674"/>
  <c r="S675"/>
  <c r="S676"/>
  <c r="S677"/>
  <c r="S678"/>
  <c r="S679"/>
  <c r="S680"/>
  <c r="S681"/>
  <c r="S682"/>
  <c r="S683"/>
  <c r="S684"/>
  <c r="S685"/>
  <c r="S686"/>
  <c r="S687"/>
  <c r="S688"/>
  <c r="S689"/>
  <c r="S690"/>
  <c r="S691"/>
  <c r="S692"/>
  <c r="S693"/>
  <c r="S695"/>
  <c r="S696"/>
  <c r="S697"/>
  <c r="S698"/>
  <c r="S699"/>
  <c r="S700"/>
  <c r="S701"/>
  <c r="S702"/>
  <c r="S703"/>
  <c r="S704"/>
  <c r="S705"/>
  <c r="S706"/>
  <c r="S707"/>
  <c r="S708"/>
  <c r="S709"/>
  <c r="S710"/>
  <c r="S711"/>
  <c r="S712"/>
  <c r="S713"/>
  <c r="S714"/>
  <c r="S715"/>
  <c r="S716"/>
  <c r="S717"/>
  <c r="S718"/>
  <c r="S719"/>
  <c r="S720"/>
  <c r="S721"/>
  <c r="S722"/>
  <c r="S723"/>
  <c r="S724"/>
  <c r="S725"/>
  <c r="S726"/>
  <c r="S727"/>
  <c r="S728"/>
  <c r="S729"/>
  <c r="S730"/>
  <c r="S731"/>
  <c r="S734"/>
  <c r="S735"/>
  <c r="S736"/>
  <c r="S737"/>
  <c r="S738"/>
  <c r="S739"/>
  <c r="S740"/>
  <c r="S741"/>
  <c r="S742"/>
  <c r="S743"/>
  <c r="S744"/>
  <c r="S745"/>
  <c r="S746"/>
  <c r="S747"/>
  <c r="S748"/>
  <c r="S749"/>
  <c r="S750"/>
  <c r="S751"/>
  <c r="S752"/>
  <c r="S753"/>
  <c r="S754"/>
  <c r="S755"/>
  <c r="S756"/>
  <c r="S782"/>
  <c r="T782"/>
  <c r="S786"/>
  <c r="T786"/>
  <c r="S790"/>
  <c r="T790"/>
  <c r="S794"/>
  <c r="T794"/>
  <c r="S798"/>
  <c r="T798"/>
  <c r="S802"/>
  <c r="T802"/>
  <c r="S806"/>
  <c r="T806"/>
  <c r="S810"/>
  <c r="T810"/>
  <c r="S814"/>
  <c r="T814"/>
  <c r="S818"/>
  <c r="T818"/>
  <c r="S825"/>
  <c r="T825"/>
  <c r="S829"/>
  <c r="T829"/>
  <c r="S833"/>
  <c r="T833"/>
  <c r="S837"/>
  <c r="T837"/>
  <c r="S841"/>
  <c r="T841"/>
  <c r="S845"/>
  <c r="T845"/>
  <c r="S849"/>
  <c r="T849"/>
  <c r="S853"/>
  <c r="T853"/>
  <c r="S857"/>
  <c r="T857"/>
  <c r="S861"/>
  <c r="T861"/>
  <c r="S865"/>
  <c r="T865"/>
  <c r="S869"/>
  <c r="T869"/>
  <c r="S873"/>
  <c r="T873"/>
  <c r="S877"/>
  <c r="T877"/>
  <c r="S881"/>
  <c r="T881"/>
  <c r="S885"/>
  <c r="T885"/>
  <c r="S889"/>
  <c r="T889"/>
  <c r="S893"/>
  <c r="T893"/>
  <c r="S897"/>
  <c r="T897"/>
  <c r="S901"/>
  <c r="T901"/>
  <c r="S905"/>
  <c r="T905"/>
  <c r="S909"/>
  <c r="T909"/>
  <c r="S913"/>
  <c r="T913"/>
  <c r="S917"/>
  <c r="T917"/>
  <c r="S921"/>
  <c r="T921"/>
  <c r="S925"/>
  <c r="T925"/>
  <c r="S929"/>
  <c r="T929"/>
  <c r="S933"/>
  <c r="T933"/>
  <c r="S937"/>
  <c r="T937"/>
  <c r="S941"/>
  <c r="T941"/>
  <c r="S945"/>
  <c r="T945"/>
  <c r="S949"/>
  <c r="T949"/>
  <c r="S953"/>
  <c r="T953"/>
  <c r="S957"/>
  <c r="T957"/>
  <c r="S961"/>
  <c r="T961"/>
  <c r="S965"/>
  <c r="T965"/>
  <c r="S972"/>
  <c r="T972"/>
  <c r="S975"/>
  <c r="T975"/>
  <c r="S979"/>
  <c r="T979"/>
  <c r="S983"/>
  <c r="T983"/>
  <c r="S987"/>
  <c r="T987"/>
  <c r="S991"/>
  <c r="T991"/>
  <c r="S995"/>
  <c r="T995"/>
  <c r="S999"/>
  <c r="T999"/>
  <c r="S1003"/>
  <c r="T1003"/>
  <c r="S1007"/>
  <c r="T1007"/>
  <c r="S1011"/>
  <c r="T1011"/>
  <c r="S1015"/>
  <c r="T1015"/>
  <c r="S1019"/>
  <c r="T1019"/>
  <c r="S1023"/>
  <c r="T1023"/>
  <c r="S1027"/>
  <c r="T1027"/>
  <c r="S1031"/>
  <c r="T1031"/>
  <c r="T837" i="2"/>
  <c r="U837"/>
  <c r="U836"/>
  <c r="T836"/>
  <c r="U834"/>
  <c r="T834"/>
  <c r="U835"/>
  <c r="T835"/>
  <c r="U833"/>
  <c r="T833"/>
  <c r="O832"/>
  <c r="S832" s="1"/>
  <c r="O831"/>
  <c r="S831" s="1"/>
  <c r="O830"/>
  <c r="S830" s="1"/>
  <c r="O829"/>
  <c r="S829" s="1"/>
  <c r="O828"/>
  <c r="S828" s="1"/>
  <c r="T51" i="3" l="1"/>
  <c r="T1035" s="1"/>
  <c r="S51"/>
  <c r="S1035" s="1"/>
  <c r="T832" i="2"/>
  <c r="U832"/>
  <c r="U831"/>
  <c r="T831"/>
  <c r="U830"/>
  <c r="T830"/>
  <c r="U829"/>
  <c r="T829"/>
  <c r="T828"/>
  <c r="U828"/>
  <c r="O827" l="1"/>
  <c r="S827" s="1"/>
  <c r="O826"/>
  <c r="S826" s="1"/>
  <c r="O825"/>
  <c r="S825" s="1"/>
  <c r="O823"/>
  <c r="S823" s="1"/>
  <c r="O822"/>
  <c r="S822" s="1"/>
  <c r="O821"/>
  <c r="S821" s="1"/>
  <c r="O820"/>
  <c r="S820" s="1"/>
  <c r="O819"/>
  <c r="S819" s="1"/>
  <c r="O818"/>
  <c r="S818" s="1"/>
  <c r="O817"/>
  <c r="S817" s="1"/>
  <c r="O816"/>
  <c r="S816" s="1"/>
  <c r="O815"/>
  <c r="S815" s="1"/>
  <c r="O814"/>
  <c r="S814" s="1"/>
  <c r="O813"/>
  <c r="S813" s="1"/>
  <c r="P811"/>
  <c r="T811" s="1"/>
  <c r="P810"/>
  <c r="T810" s="1"/>
  <c r="P809"/>
  <c r="T809" s="1"/>
  <c r="P808"/>
  <c r="T808" s="1"/>
  <c r="P807"/>
  <c r="T807" s="1"/>
  <c r="P806"/>
  <c r="T806" s="1"/>
  <c r="P805"/>
  <c r="T805" s="1"/>
  <c r="P804"/>
  <c r="T804" s="1"/>
  <c r="P803"/>
  <c r="T803" s="1"/>
  <c r="P802"/>
  <c r="T802" s="1"/>
  <c r="P801"/>
  <c r="T801" s="1"/>
  <c r="P800"/>
  <c r="T800" s="1"/>
  <c r="P799"/>
  <c r="T799" s="1"/>
  <c r="P798"/>
  <c r="T798" s="1"/>
  <c r="P797"/>
  <c r="T797" s="1"/>
  <c r="P796"/>
  <c r="T796" s="1"/>
  <c r="U796" s="1"/>
  <c r="P794"/>
  <c r="T794" s="1"/>
  <c r="U794" s="1"/>
  <c r="O792"/>
  <c r="S792" s="1"/>
  <c r="O791"/>
  <c r="S791" s="1"/>
  <c r="U827" l="1"/>
  <c r="T827"/>
  <c r="U826"/>
  <c r="T826"/>
  <c r="T825"/>
  <c r="U825"/>
  <c r="U823"/>
  <c r="T823"/>
  <c r="U822"/>
  <c r="T822"/>
  <c r="U821"/>
  <c r="T821"/>
  <c r="U820"/>
  <c r="T820"/>
  <c r="U819"/>
  <c r="T819"/>
  <c r="U818"/>
  <c r="T818"/>
  <c r="T817"/>
  <c r="U817"/>
  <c r="U816"/>
  <c r="T816"/>
  <c r="U815"/>
  <c r="T815"/>
  <c r="U814"/>
  <c r="T814"/>
  <c r="U813"/>
  <c r="T813"/>
  <c r="V811"/>
  <c r="U811"/>
  <c r="U810"/>
  <c r="V810"/>
  <c r="V809"/>
  <c r="U809"/>
  <c r="V808"/>
  <c r="U808"/>
  <c r="U807"/>
  <c r="V807"/>
  <c r="U806"/>
  <c r="V806"/>
  <c r="U805"/>
  <c r="V805"/>
  <c r="V804"/>
  <c r="U804"/>
  <c r="V803"/>
  <c r="U803"/>
  <c r="U802"/>
  <c r="V802"/>
  <c r="U801"/>
  <c r="V801"/>
  <c r="U800"/>
  <c r="V800"/>
  <c r="U799"/>
  <c r="V799"/>
  <c r="U798"/>
  <c r="V798"/>
  <c r="V797"/>
  <c r="U797"/>
  <c r="V796"/>
  <c r="V794"/>
  <c r="U792"/>
  <c r="T792"/>
  <c r="U791"/>
  <c r="T791"/>
  <c r="O789"/>
  <c r="S789" s="1"/>
  <c r="U789" l="1"/>
  <c r="T789"/>
  <c r="O787"/>
  <c r="S787" s="1"/>
  <c r="T787" s="1"/>
  <c r="U787" l="1"/>
  <c r="N785"/>
  <c r="R785" s="1"/>
  <c r="N783"/>
  <c r="R783" s="1"/>
  <c r="N782"/>
  <c r="R782" s="1"/>
  <c r="N780"/>
  <c r="R780" s="1"/>
  <c r="N779"/>
  <c r="R779" s="1"/>
  <c r="N777"/>
  <c r="R777" s="1"/>
  <c r="S777" s="1"/>
  <c r="N776"/>
  <c r="R776" s="1"/>
  <c r="N774"/>
  <c r="R774" s="1"/>
  <c r="N773"/>
  <c r="R773" s="1"/>
  <c r="N772"/>
  <c r="R772" s="1"/>
  <c r="N771"/>
  <c r="R771" s="1"/>
  <c r="N770"/>
  <c r="R770" s="1"/>
  <c r="S770" s="1"/>
  <c r="N769"/>
  <c r="R769" s="1"/>
  <c r="N768"/>
  <c r="R768" s="1"/>
  <c r="N767"/>
  <c r="R767" s="1"/>
  <c r="N765"/>
  <c r="R765" s="1"/>
  <c r="N764"/>
  <c r="R764" s="1"/>
  <c r="N763"/>
  <c r="R763" s="1"/>
  <c r="N762"/>
  <c r="R762" s="1"/>
  <c r="N761"/>
  <c r="R761" s="1"/>
  <c r="N760"/>
  <c r="R760" s="1"/>
  <c r="N759"/>
  <c r="R759" s="1"/>
  <c r="N758"/>
  <c r="R758" s="1"/>
  <c r="N757"/>
  <c r="R757" s="1"/>
  <c r="N755"/>
  <c r="R755" s="1"/>
  <c r="N754"/>
  <c r="R754" s="1"/>
  <c r="N751"/>
  <c r="R751" s="1"/>
  <c r="N750"/>
  <c r="R750" s="1"/>
  <c r="N749"/>
  <c r="R749" s="1"/>
  <c r="N746"/>
  <c r="R746" s="1"/>
  <c r="N745"/>
  <c r="R745" s="1"/>
  <c r="N744"/>
  <c r="R744" s="1"/>
  <c r="N743"/>
  <c r="R743" s="1"/>
  <c r="N742"/>
  <c r="R742" s="1"/>
  <c r="N741"/>
  <c r="R741" s="1"/>
  <c r="N739"/>
  <c r="R739" s="1"/>
  <c r="N738"/>
  <c r="R738" s="1"/>
  <c r="N737"/>
  <c r="R737" s="1"/>
  <c r="N736"/>
  <c r="R736" s="1"/>
  <c r="N735"/>
  <c r="R735" s="1"/>
  <c r="N733"/>
  <c r="R733" s="1"/>
  <c r="N732"/>
  <c r="R732" s="1"/>
  <c r="M730"/>
  <c r="Q730" s="1"/>
  <c r="M729"/>
  <c r="Q729" s="1"/>
  <c r="M728"/>
  <c r="Q728" s="1"/>
  <c r="M727"/>
  <c r="Q727" s="1"/>
  <c r="L725"/>
  <c r="P725" s="1"/>
  <c r="L723"/>
  <c r="P723" s="1"/>
  <c r="L722"/>
  <c r="P722" s="1"/>
  <c r="L720"/>
  <c r="P720" s="1"/>
  <c r="M718"/>
  <c r="Q718" s="1"/>
  <c r="M717"/>
  <c r="Q717" s="1"/>
  <c r="M716"/>
  <c r="Q716" s="1"/>
  <c r="M715"/>
  <c r="Q715" s="1"/>
  <c r="M714"/>
  <c r="Q714" s="1"/>
  <c r="M713"/>
  <c r="Q713" s="1"/>
  <c r="M712"/>
  <c r="Q712" s="1"/>
  <c r="L710"/>
  <c r="P710" s="1"/>
  <c r="K709"/>
  <c r="O709" s="1"/>
  <c r="K708"/>
  <c r="O708" s="1"/>
  <c r="K707"/>
  <c r="O707" s="1"/>
  <c r="K706"/>
  <c r="O706" s="1"/>
  <c r="K705"/>
  <c r="O705" s="1"/>
  <c r="K704"/>
  <c r="O704" s="1"/>
  <c r="K703"/>
  <c r="O703" s="1"/>
  <c r="K702"/>
  <c r="O702" s="1"/>
  <c r="K700"/>
  <c r="O700" s="1"/>
  <c r="K699"/>
  <c r="O699" s="1"/>
  <c r="K698"/>
  <c r="O698" s="1"/>
  <c r="K697"/>
  <c r="O697" s="1"/>
  <c r="K696"/>
  <c r="O696" s="1"/>
  <c r="K695"/>
  <c r="O695" s="1"/>
  <c r="K694"/>
  <c r="O694" s="1"/>
  <c r="K693"/>
  <c r="O693" s="1"/>
  <c r="K692"/>
  <c r="O692" s="1"/>
  <c r="K691"/>
  <c r="O691" s="1"/>
  <c r="K690"/>
  <c r="O690" s="1"/>
  <c r="K689"/>
  <c r="O689" s="1"/>
  <c r="K687"/>
  <c r="O687" s="1"/>
  <c r="K686"/>
  <c r="O686" s="1"/>
  <c r="K685"/>
  <c r="O685" s="1"/>
  <c r="K683"/>
  <c r="O683" s="1"/>
  <c r="K682"/>
  <c r="O682" s="1"/>
  <c r="K681"/>
  <c r="O681" s="1"/>
  <c r="K680"/>
  <c r="O680" s="1"/>
  <c r="N679"/>
  <c r="R679" s="1"/>
  <c r="N678"/>
  <c r="R678" s="1"/>
  <c r="N677"/>
  <c r="R677" s="1"/>
  <c r="N676"/>
  <c r="R676" s="1"/>
  <c r="N675"/>
  <c r="R675" s="1"/>
  <c r="N674"/>
  <c r="R674" s="1"/>
  <c r="N673"/>
  <c r="R673" s="1"/>
  <c r="N671"/>
  <c r="R671" s="1"/>
  <c r="N670"/>
  <c r="R670" s="1"/>
  <c r="N669"/>
  <c r="R669" s="1"/>
  <c r="N668"/>
  <c r="R668" s="1"/>
  <c r="N667"/>
  <c r="R667" s="1"/>
  <c r="M666"/>
  <c r="Q666" s="1"/>
  <c r="M665"/>
  <c r="Q665" s="1"/>
  <c r="M664"/>
  <c r="Q664" s="1"/>
  <c r="M663"/>
  <c r="Q663" s="1"/>
  <c r="M662"/>
  <c r="Q662" s="1"/>
  <c r="M661"/>
  <c r="Q661" s="1"/>
  <c r="M660"/>
  <c r="Q660" s="1"/>
  <c r="M659"/>
  <c r="Q659" s="1"/>
  <c r="M658"/>
  <c r="Q658" s="1"/>
  <c r="M657"/>
  <c r="Q657" s="1"/>
  <c r="M656"/>
  <c r="Q656" s="1"/>
  <c r="M655"/>
  <c r="Q655" s="1"/>
  <c r="M654"/>
  <c r="Q654" s="1"/>
  <c r="M653"/>
  <c r="Q653" s="1"/>
  <c r="M652"/>
  <c r="Q652" s="1"/>
  <c r="M651"/>
  <c r="Q651" s="1"/>
  <c r="M650"/>
  <c r="Q650" s="1"/>
  <c r="M649"/>
  <c r="Q649" s="1"/>
  <c r="M648"/>
  <c r="Q648" s="1"/>
  <c r="M647"/>
  <c r="Q647" s="1"/>
  <c r="M646"/>
  <c r="Q646" s="1"/>
  <c r="M645"/>
  <c r="Q645" s="1"/>
  <c r="M644"/>
  <c r="Q644" s="1"/>
  <c r="M643"/>
  <c r="Q643" s="1"/>
  <c r="M642"/>
  <c r="Q642" s="1"/>
  <c r="M641"/>
  <c r="Q641" s="1"/>
  <c r="M640"/>
  <c r="Q640" s="1"/>
  <c r="M639"/>
  <c r="Q639" s="1"/>
  <c r="M638"/>
  <c r="Q638" s="1"/>
  <c r="M637"/>
  <c r="Q637" s="1"/>
  <c r="M636"/>
  <c r="Q636" s="1"/>
  <c r="M635"/>
  <c r="Q635" s="1"/>
  <c r="M634"/>
  <c r="Q634" s="1"/>
  <c r="M633"/>
  <c r="Q633" s="1"/>
  <c r="M632"/>
  <c r="Q632" s="1"/>
  <c r="M631"/>
  <c r="Q631" s="1"/>
  <c r="M630"/>
  <c r="Q630" s="1"/>
  <c r="M629"/>
  <c r="Q629" s="1"/>
  <c r="M628"/>
  <c r="Q628" s="1"/>
  <c r="M627"/>
  <c r="Q627" s="1"/>
  <c r="M626"/>
  <c r="Q626" s="1"/>
  <c r="M625"/>
  <c r="Q625" s="1"/>
  <c r="M624"/>
  <c r="Q624" s="1"/>
  <c r="M623"/>
  <c r="Q623" s="1"/>
  <c r="M622"/>
  <c r="Q622" s="1"/>
  <c r="M621"/>
  <c r="Q621" s="1"/>
  <c r="S621" s="1"/>
  <c r="M620"/>
  <c r="Q620" s="1"/>
  <c r="S620" s="1"/>
  <c r="M619"/>
  <c r="Q619" s="1"/>
  <c r="S619" s="1"/>
  <c r="M618"/>
  <c r="Q618" s="1"/>
  <c r="S618" s="1"/>
  <c r="M617"/>
  <c r="Q617" s="1"/>
  <c r="S617" s="1"/>
  <c r="M616"/>
  <c r="Q616" s="1"/>
  <c r="S616" s="1"/>
  <c r="M615"/>
  <c r="Q615" s="1"/>
  <c r="S615" s="1"/>
  <c r="M614"/>
  <c r="Q614" s="1"/>
  <c r="S614" s="1"/>
  <c r="M613"/>
  <c r="Q613" s="1"/>
  <c r="S613" s="1"/>
  <c r="M612"/>
  <c r="Q612" s="1"/>
  <c r="S612" s="1"/>
  <c r="M611"/>
  <c r="Q611" s="1"/>
  <c r="S611" s="1"/>
  <c r="M610"/>
  <c r="Q610" s="1"/>
  <c r="M608"/>
  <c r="Q608" s="1"/>
  <c r="M606"/>
  <c r="Q606" s="1"/>
  <c r="M605"/>
  <c r="Q605" s="1"/>
  <c r="M604"/>
  <c r="Q604" s="1"/>
  <c r="M602"/>
  <c r="Q602" s="1"/>
  <c r="O446"/>
  <c r="N446"/>
  <c r="O448" s="1"/>
  <c r="M445"/>
  <c r="L445"/>
  <c r="I428"/>
  <c r="I423"/>
  <c r="I422"/>
  <c r="I421"/>
  <c r="G420"/>
  <c r="I420" s="1"/>
  <c r="I419"/>
  <c r="I418"/>
  <c r="N416"/>
  <c r="M416"/>
  <c r="O415"/>
  <c r="I400"/>
  <c r="I399"/>
  <c r="I398"/>
  <c r="I397"/>
  <c r="I396"/>
  <c r="I395"/>
  <c r="I394"/>
  <c r="I393"/>
  <c r="O388"/>
  <c r="I369"/>
  <c r="I368"/>
  <c r="I367"/>
  <c r="I366"/>
  <c r="I359"/>
  <c r="I356"/>
  <c r="I355"/>
  <c r="I354"/>
  <c r="I353"/>
  <c r="I352"/>
  <c r="I351"/>
  <c r="I350"/>
  <c r="I349"/>
  <c r="I348"/>
  <c r="I347"/>
  <c r="I346"/>
  <c r="I345"/>
  <c r="I344"/>
  <c r="I343"/>
  <c r="O327"/>
  <c r="O293"/>
  <c r="O259"/>
  <c r="O229"/>
  <c r="O199"/>
  <c r="O173"/>
  <c r="O147"/>
  <c r="N124"/>
  <c r="M124"/>
  <c r="L124"/>
  <c r="O123"/>
  <c r="O92"/>
  <c r="N60"/>
  <c r="M60"/>
  <c r="L60"/>
  <c r="O59"/>
  <c r="T785" l="1"/>
  <c r="S785"/>
  <c r="T783"/>
  <c r="S783"/>
  <c r="S782"/>
  <c r="T782"/>
  <c r="T780"/>
  <c r="S780"/>
  <c r="T779"/>
  <c r="S779"/>
  <c r="O60"/>
  <c r="T777"/>
  <c r="O416"/>
  <c r="S776"/>
  <c r="T776"/>
  <c r="T770"/>
  <c r="S774"/>
  <c r="T774"/>
  <c r="S773"/>
  <c r="T773"/>
  <c r="S772"/>
  <c r="T772"/>
  <c r="S771"/>
  <c r="T771"/>
  <c r="S769"/>
  <c r="T769"/>
  <c r="S768"/>
  <c r="T768"/>
  <c r="S767"/>
  <c r="T767"/>
  <c r="S765"/>
  <c r="T765"/>
  <c r="S764"/>
  <c r="T764"/>
  <c r="S763"/>
  <c r="T763"/>
  <c r="S762"/>
  <c r="T762"/>
  <c r="S761"/>
  <c r="T761"/>
  <c r="S760"/>
  <c r="T760"/>
  <c r="S759"/>
  <c r="T759"/>
  <c r="S758"/>
  <c r="T758"/>
  <c r="S757"/>
  <c r="T757"/>
  <c r="R602"/>
  <c r="S602"/>
  <c r="R605"/>
  <c r="S605"/>
  <c r="R608"/>
  <c r="S608"/>
  <c r="R604"/>
  <c r="S604"/>
  <c r="R606"/>
  <c r="S606"/>
  <c r="R610"/>
  <c r="S610"/>
  <c r="R623"/>
  <c r="S623"/>
  <c r="R625"/>
  <c r="S625"/>
  <c r="R627"/>
  <c r="S627"/>
  <c r="R629"/>
  <c r="S629"/>
  <c r="R631"/>
  <c r="S631"/>
  <c r="R635"/>
  <c r="S635"/>
  <c r="R637"/>
  <c r="S637"/>
  <c r="R639"/>
  <c r="S639"/>
  <c r="R641"/>
  <c r="S641"/>
  <c r="R643"/>
  <c r="S643"/>
  <c r="R645"/>
  <c r="S645"/>
  <c r="R647"/>
  <c r="S647"/>
  <c r="R649"/>
  <c r="S649"/>
  <c r="R651"/>
  <c r="S651"/>
  <c r="R653"/>
  <c r="S653"/>
  <c r="R655"/>
  <c r="S655"/>
  <c r="R657"/>
  <c r="S657"/>
  <c r="R659"/>
  <c r="S659"/>
  <c r="R661"/>
  <c r="S661"/>
  <c r="R663"/>
  <c r="S663"/>
  <c r="R665"/>
  <c r="S665"/>
  <c r="S667"/>
  <c r="T667"/>
  <c r="S669"/>
  <c r="T669"/>
  <c r="S671"/>
  <c r="T671"/>
  <c r="S674"/>
  <c r="T674"/>
  <c r="S676"/>
  <c r="T676"/>
  <c r="S678"/>
  <c r="T678"/>
  <c r="P680"/>
  <c r="Q680"/>
  <c r="P682"/>
  <c r="Q682"/>
  <c r="P685"/>
  <c r="Q685"/>
  <c r="P687"/>
  <c r="Q687"/>
  <c r="P690"/>
  <c r="Q690"/>
  <c r="P692"/>
  <c r="Q692"/>
  <c r="P694"/>
  <c r="Q694"/>
  <c r="P696"/>
  <c r="Q696"/>
  <c r="P698"/>
  <c r="Q698"/>
  <c r="P700"/>
  <c r="Q700"/>
  <c r="P703"/>
  <c r="Q703"/>
  <c r="P705"/>
  <c r="Q705"/>
  <c r="P707"/>
  <c r="Q707"/>
  <c r="P709"/>
  <c r="Q709"/>
  <c r="R712"/>
  <c r="S712"/>
  <c r="R714"/>
  <c r="S714"/>
  <c r="R716"/>
  <c r="S716"/>
  <c r="R718"/>
  <c r="S718"/>
  <c r="Q722"/>
  <c r="R722"/>
  <c r="Q725"/>
  <c r="R725"/>
  <c r="R728"/>
  <c r="S728"/>
  <c r="R730"/>
  <c r="S730"/>
  <c r="S733"/>
  <c r="T733"/>
  <c r="S736"/>
  <c r="T736"/>
  <c r="S738"/>
  <c r="T738"/>
  <c r="S741"/>
  <c r="T741"/>
  <c r="S743"/>
  <c r="T743"/>
  <c r="S745"/>
  <c r="T745"/>
  <c r="S749"/>
  <c r="T749"/>
  <c r="S751"/>
  <c r="T751"/>
  <c r="S755"/>
  <c r="T755"/>
  <c r="R611"/>
  <c r="R612"/>
  <c r="R613"/>
  <c r="R614"/>
  <c r="R615"/>
  <c r="R616"/>
  <c r="R617"/>
  <c r="R618"/>
  <c r="R619"/>
  <c r="R620"/>
  <c r="R621"/>
  <c r="R622"/>
  <c r="S622"/>
  <c r="R624"/>
  <c r="S624"/>
  <c r="R626"/>
  <c r="S626"/>
  <c r="R628"/>
  <c r="S628"/>
  <c r="R630"/>
  <c r="S630"/>
  <c r="R632"/>
  <c r="S632"/>
  <c r="R634"/>
  <c r="S634"/>
  <c r="R636"/>
  <c r="S636"/>
  <c r="R638"/>
  <c r="S638"/>
  <c r="R640"/>
  <c r="S640"/>
  <c r="R642"/>
  <c r="S642"/>
  <c r="R644"/>
  <c r="S644"/>
  <c r="R646"/>
  <c r="S646"/>
  <c r="R648"/>
  <c r="S648"/>
  <c r="R650"/>
  <c r="S650"/>
  <c r="R652"/>
  <c r="S652"/>
  <c r="R654"/>
  <c r="S654"/>
  <c r="R656"/>
  <c r="S656"/>
  <c r="R658"/>
  <c r="S658"/>
  <c r="R660"/>
  <c r="S660"/>
  <c r="R662"/>
  <c r="S662"/>
  <c r="R664"/>
  <c r="S664"/>
  <c r="R666"/>
  <c r="S666"/>
  <c r="S668"/>
  <c r="T668"/>
  <c r="S670"/>
  <c r="T670"/>
  <c r="S673"/>
  <c r="T673"/>
  <c r="S675"/>
  <c r="T675"/>
  <c r="S677"/>
  <c r="T677"/>
  <c r="S679"/>
  <c r="T679"/>
  <c r="P681"/>
  <c r="Q681"/>
  <c r="P683"/>
  <c r="Q683"/>
  <c r="P686"/>
  <c r="Q686"/>
  <c r="P689"/>
  <c r="Q689"/>
  <c r="P691"/>
  <c r="Q691"/>
  <c r="P693"/>
  <c r="Q693"/>
  <c r="P695"/>
  <c r="Q695"/>
  <c r="P697"/>
  <c r="Q697"/>
  <c r="P699"/>
  <c r="Q699"/>
  <c r="P702"/>
  <c r="Q702"/>
  <c r="P706"/>
  <c r="Q706"/>
  <c r="P708"/>
  <c r="Q708"/>
  <c r="Q710"/>
  <c r="R710"/>
  <c r="R713"/>
  <c r="S713"/>
  <c r="R715"/>
  <c r="S715"/>
  <c r="R717"/>
  <c r="S717"/>
  <c r="Q720"/>
  <c r="R720"/>
  <c r="Q723"/>
  <c r="R723"/>
  <c r="R727"/>
  <c r="S727"/>
  <c r="R729"/>
  <c r="S729"/>
  <c r="S732"/>
  <c r="T732"/>
  <c r="S735"/>
  <c r="T735"/>
  <c r="S737"/>
  <c r="T737"/>
  <c r="S739"/>
  <c r="T739"/>
  <c r="S742"/>
  <c r="T742"/>
  <c r="S744"/>
  <c r="T744"/>
  <c r="S746"/>
  <c r="T746"/>
  <c r="S750"/>
  <c r="T750"/>
  <c r="S754"/>
  <c r="T754"/>
</calcChain>
</file>

<file path=xl/sharedStrings.xml><?xml version="1.0" encoding="utf-8"?>
<sst xmlns="http://schemas.openxmlformats.org/spreadsheetml/2006/main" count="9278" uniqueCount="4222">
  <si>
    <t>Sr.</t>
  </si>
  <si>
    <t xml:space="preserve">Adm. # </t>
  </si>
  <si>
    <t xml:space="preserve">Student's Name </t>
  </si>
  <si>
    <t xml:space="preserve">Father's Name </t>
  </si>
  <si>
    <t>Class</t>
  </si>
  <si>
    <t>Actual Fee</t>
  </si>
  <si>
    <t>Arrears</t>
  </si>
  <si>
    <t>Misc.</t>
  </si>
  <si>
    <t>Misc 2025-26</t>
  </si>
  <si>
    <t>Grand Total</t>
  </si>
  <si>
    <t>Late 11-20th</t>
  </si>
  <si>
    <t>Late 21-30</t>
  </si>
  <si>
    <t xml:space="preserve">Note </t>
  </si>
  <si>
    <t>Contact</t>
  </si>
  <si>
    <t>Muhammad Yahya Sultan</t>
  </si>
  <si>
    <t>Gulraiz Maan</t>
  </si>
  <si>
    <t>P.G-A</t>
  </si>
  <si>
    <t>دیا گیا ووچر سکول فیس ماہ اکتوبر تقریباً 10فیصد فیس اضافہ کے ساتھ دیا گیا ہے جو کہ اساتذہ کرام /سکول سٹاف کا  سالانہ 10فیصد تنخواہ میں اضافہ کیا جانا مجبوری ہے ۔ سکول فیس مورخہ 07اکتوبر 2025ء  تک لازمی جمع کروائیں۔ شکریہ</t>
  </si>
  <si>
    <t>0314-3136323  0347-3392745</t>
  </si>
  <si>
    <t>Muhammad Abaid-Ur-Rahman</t>
  </si>
  <si>
    <t>Habib-Ur-Rehman</t>
  </si>
  <si>
    <t>0312-1403908</t>
  </si>
  <si>
    <t xml:space="preserve">Eshmal Fatima </t>
  </si>
  <si>
    <t>Muhammad Siddique</t>
  </si>
  <si>
    <t xml:space="preserve">0309-2123674 </t>
  </si>
  <si>
    <t>Kainat Bhatti</t>
  </si>
  <si>
    <t xml:space="preserve">Naeem Ur Rehman </t>
  </si>
  <si>
    <t>0303-6007924 0305-4818882</t>
  </si>
  <si>
    <t>Mah Noor Fatima</t>
  </si>
  <si>
    <t>Ghayyoor Husain</t>
  </si>
  <si>
    <t>0333-4005150  0321-7005320</t>
  </si>
  <si>
    <t>Muhammad Subhan</t>
  </si>
  <si>
    <t xml:space="preserve">M. Shehzad Ahmad </t>
  </si>
  <si>
    <t>0322-7000236  0322-1875022</t>
  </si>
  <si>
    <t xml:space="preserve">Aiza Fatima </t>
  </si>
  <si>
    <t xml:space="preserve">Amjad Ali </t>
  </si>
  <si>
    <t>0318-6709621  0301-9871197</t>
  </si>
  <si>
    <t>Muhammad Ayan Khan</t>
  </si>
  <si>
    <t>M. Ismail Khan</t>
  </si>
  <si>
    <t>0300-4179265  0345-4877292</t>
  </si>
  <si>
    <t xml:space="preserve">Muhammad Umair </t>
  </si>
  <si>
    <t>Abdul Rehman</t>
  </si>
  <si>
    <t xml:space="preserve">Muhammad Tahir </t>
  </si>
  <si>
    <t>0301-05696803 0309-8547250</t>
  </si>
  <si>
    <t>Abdul Moeez</t>
  </si>
  <si>
    <t>Muhammad Adnan</t>
  </si>
  <si>
    <t>0301-7197198</t>
  </si>
  <si>
    <t>Abdul Ahad</t>
  </si>
  <si>
    <t xml:space="preserve">Zia Zaib Akhtar </t>
  </si>
  <si>
    <t>0348-8739230  0300-1414730</t>
  </si>
  <si>
    <t xml:space="preserve">Malaika </t>
  </si>
  <si>
    <t xml:space="preserve">Sufyan Ali </t>
  </si>
  <si>
    <t>0303-6007924  0310-4507403</t>
  </si>
  <si>
    <t xml:space="preserve">Luqman </t>
  </si>
  <si>
    <t>Muhammad Ansar</t>
  </si>
  <si>
    <t>0370-6037562</t>
  </si>
  <si>
    <t>Fee paid Upto April to Jan 2025-26</t>
  </si>
  <si>
    <t>Anaya Fatima</t>
  </si>
  <si>
    <t>Imtiaz Ishaq</t>
  </si>
  <si>
    <t>0318-4553020</t>
  </si>
  <si>
    <t>Zohaib Hassan</t>
  </si>
  <si>
    <t>0343-8437711  0307-9172270</t>
  </si>
  <si>
    <t xml:space="preserve">Sakhi Muhammad </t>
  </si>
  <si>
    <t>Iftikhar</t>
  </si>
  <si>
    <t>0315-7091598 0300-8122501</t>
  </si>
  <si>
    <t xml:space="preserve">Zaman Ali </t>
  </si>
  <si>
    <t>Ali Husain</t>
  </si>
  <si>
    <t>0349-0501914  0308-0468200</t>
  </si>
  <si>
    <t>Fee paid for March 2025</t>
  </si>
  <si>
    <t xml:space="preserve">Moeez Ahmad </t>
  </si>
  <si>
    <t>Muhammad Nasir</t>
  </si>
  <si>
    <t>0310-4767038 0344-5442923</t>
  </si>
  <si>
    <t>Kashaf Ali</t>
  </si>
  <si>
    <t>Uswa Zainab</t>
  </si>
  <si>
    <t>Muhammad Kashif</t>
  </si>
  <si>
    <t>Muhammad Taqi</t>
  </si>
  <si>
    <t>Muhammad Asif Ali</t>
  </si>
  <si>
    <t>0316-2976246</t>
  </si>
  <si>
    <t>Fee paid for April 2025</t>
  </si>
  <si>
    <t>Harram Shehzad</t>
  </si>
  <si>
    <t>Shehzad Jammal</t>
  </si>
  <si>
    <t>0308-6972351 0317-4387741</t>
  </si>
  <si>
    <t>Zainab Bibi</t>
  </si>
  <si>
    <t>Safdar Ali</t>
  </si>
  <si>
    <t>0324-9697428 0345-6554263</t>
  </si>
  <si>
    <t xml:space="preserve">Abdullah </t>
  </si>
  <si>
    <t xml:space="preserve">Attique-Ur- Rehman </t>
  </si>
  <si>
    <t>0302-8474714 0318-7152011</t>
  </si>
  <si>
    <t xml:space="preserve">Arfa Fatima </t>
  </si>
  <si>
    <t xml:space="preserve">Ishaq </t>
  </si>
  <si>
    <t>0302-4662174  0311-4662174</t>
  </si>
  <si>
    <t xml:space="preserve">Zunaira </t>
  </si>
  <si>
    <t>Muhammad Irfan</t>
  </si>
  <si>
    <t>0348-6209224 0310-4048446</t>
  </si>
  <si>
    <t>Muhammad Alyan</t>
  </si>
  <si>
    <t>Aleeza Batool</t>
  </si>
  <si>
    <t>Muhammad Tariq</t>
  </si>
  <si>
    <t>0301-4082054</t>
  </si>
  <si>
    <t>Fee paid for May 2025</t>
  </si>
  <si>
    <t xml:space="preserve">Ali Hamza </t>
  </si>
  <si>
    <t xml:space="preserve">Asad Umar </t>
  </si>
  <si>
    <t>0300-9486864 0305-4095644</t>
  </si>
  <si>
    <t>Misc. Fund paid  2025</t>
  </si>
  <si>
    <t>Mirha Aqib</t>
  </si>
  <si>
    <t>Aqib Nazir</t>
  </si>
  <si>
    <t>0334-0726200</t>
  </si>
  <si>
    <t xml:space="preserve">Minaal Fatima </t>
  </si>
  <si>
    <t>Zeeshan Raza</t>
  </si>
  <si>
    <t>Zoha Aqib</t>
  </si>
  <si>
    <t>Anaya Amir</t>
  </si>
  <si>
    <t>Amir Shehzad</t>
  </si>
  <si>
    <t>0311-4799281  0345-5699515</t>
  </si>
  <si>
    <t xml:space="preserve">Zoha </t>
  </si>
  <si>
    <t>Kashif Ali</t>
  </si>
  <si>
    <t>0301-5443716 0343-8418750</t>
  </si>
  <si>
    <t xml:space="preserve">Ali Muhammad </t>
  </si>
  <si>
    <t xml:space="preserve">Pervaiz Ahmad </t>
  </si>
  <si>
    <t>0325-4408087</t>
  </si>
  <si>
    <t xml:space="preserve">Momina </t>
  </si>
  <si>
    <t xml:space="preserve">Muhammad Faisal </t>
  </si>
  <si>
    <t>0345-6344008</t>
  </si>
  <si>
    <t>Muhammad Ibrahim</t>
  </si>
  <si>
    <t xml:space="preserve">Babar Ali </t>
  </si>
  <si>
    <t>0303-8418750  0327-1868105</t>
  </si>
  <si>
    <t>Fee paid Sep 2025</t>
  </si>
  <si>
    <t xml:space="preserve">Faqiha </t>
  </si>
  <si>
    <t xml:space="preserve">Muhammad Usman </t>
  </si>
  <si>
    <t>0322-8500050  0321-3536002</t>
  </si>
  <si>
    <t xml:space="preserve">Umar Farooq </t>
  </si>
  <si>
    <t>Farooq Asif</t>
  </si>
  <si>
    <t>0302-9511658</t>
  </si>
  <si>
    <t>Muhammad Almeer</t>
  </si>
  <si>
    <t xml:space="preserve">Athar Liaqat </t>
  </si>
  <si>
    <t>0308-6808809  0330-5949414</t>
  </si>
  <si>
    <t>Fabeeha Shahraiz</t>
  </si>
  <si>
    <t>Shahraiz Ahmad</t>
  </si>
  <si>
    <t>0335-4425354  0334-4968797</t>
  </si>
  <si>
    <t>Fee paid October and Fund 2025</t>
  </si>
  <si>
    <t>Muhammad Moeen</t>
  </si>
  <si>
    <t xml:space="preserve">Muhammad Niaz </t>
  </si>
  <si>
    <t>0318-4334018    0346-6349628</t>
  </si>
  <si>
    <t xml:space="preserve">Wali Muhammad </t>
  </si>
  <si>
    <t>M. Fiaz</t>
  </si>
  <si>
    <t>0333-4007097</t>
  </si>
  <si>
    <t>Fee paid October  2025</t>
  </si>
  <si>
    <t xml:space="preserve">Ibrahim </t>
  </si>
  <si>
    <t>Muhammad Abdullah</t>
  </si>
  <si>
    <t>Nursery- A</t>
  </si>
  <si>
    <t>0310-2398909  0327-0932093</t>
  </si>
  <si>
    <t>Abdul Rafay Virk</t>
  </si>
  <si>
    <t>Habeeb-ur-Rehman</t>
  </si>
  <si>
    <t>0321-8410671  0311-4447016</t>
  </si>
  <si>
    <t>Muhammad Hussain Najaf</t>
  </si>
  <si>
    <t xml:space="preserve">Abdul Rauf </t>
  </si>
  <si>
    <t>0300-2966668</t>
  </si>
  <si>
    <t xml:space="preserve">Seeraj Fatima </t>
  </si>
  <si>
    <t xml:space="preserve">Adeel Ahmad </t>
  </si>
  <si>
    <t>0332-4996038    0322-7282834</t>
  </si>
  <si>
    <t>Muhammad Sami Ullah</t>
  </si>
  <si>
    <t>0318-6709621  0316-6445088</t>
  </si>
  <si>
    <t xml:space="preserve">Pakeeza Fatima </t>
  </si>
  <si>
    <t>0318-6709621 0316-6445088</t>
  </si>
  <si>
    <t xml:space="preserve">Hoorain Fatima </t>
  </si>
  <si>
    <t>0316-0041013  0312-1403908</t>
  </si>
  <si>
    <t>Huzaifah Bin Waqas</t>
  </si>
  <si>
    <t xml:space="preserve">Muhammad Waqas </t>
  </si>
  <si>
    <t xml:space="preserve">Ali Hassan </t>
  </si>
  <si>
    <t>Bilal Hussain</t>
  </si>
  <si>
    <t>0304-4076808</t>
  </si>
  <si>
    <t>Masooma</t>
  </si>
  <si>
    <t>Zaigham Abbas</t>
  </si>
  <si>
    <t>Abdur-Rafay</t>
  </si>
  <si>
    <t>Ghulam Hussain</t>
  </si>
  <si>
    <t>0303-5160220  0305-4783861</t>
  </si>
  <si>
    <t>Jannat Dawood</t>
  </si>
  <si>
    <t>Muhammad Dawood</t>
  </si>
  <si>
    <t>0321-4835178</t>
  </si>
  <si>
    <t>Zahra Nawaz</t>
  </si>
  <si>
    <t>Muhammad Nawaz</t>
  </si>
  <si>
    <t>0313-4585505</t>
  </si>
  <si>
    <t>Noor-ul-Hassan</t>
  </si>
  <si>
    <t>Muhammad Ali</t>
  </si>
  <si>
    <t>0301-4182431</t>
  </si>
  <si>
    <t>M.Feroz Tariq</t>
  </si>
  <si>
    <t>Tariq Javed</t>
  </si>
  <si>
    <t>0342-6734225</t>
  </si>
  <si>
    <t>Muhammad Suleman</t>
  </si>
  <si>
    <t>Usman Ali</t>
  </si>
  <si>
    <t>0306-7359514  0344-8194800</t>
  </si>
  <si>
    <t xml:space="preserve">Shehar Bano  </t>
  </si>
  <si>
    <t>Imran Asif</t>
  </si>
  <si>
    <t>0308-9148545  0302-9511658</t>
  </si>
  <si>
    <t>Abdul Wahid</t>
  </si>
  <si>
    <t>0308-6796445</t>
  </si>
  <si>
    <t>Sumaira Fatima</t>
  </si>
  <si>
    <t>0324-0305281</t>
  </si>
  <si>
    <t>Fee paid for October 2025 on old fee</t>
  </si>
  <si>
    <t>Ali Sher</t>
  </si>
  <si>
    <t>Iftikhar Hussain</t>
  </si>
  <si>
    <t>0307-4008873  0300-6210491</t>
  </si>
  <si>
    <t>Anaya Ansir</t>
  </si>
  <si>
    <t>Ansir Ahmad</t>
  </si>
  <si>
    <t>0321-7514172</t>
  </si>
  <si>
    <t xml:space="preserve">Samiha Hoorain </t>
  </si>
  <si>
    <t xml:space="preserve">Shabbir Ahmad </t>
  </si>
  <si>
    <t>0315-4024305    0309-7949681</t>
  </si>
  <si>
    <t>M.Umar Abu Bakar</t>
  </si>
  <si>
    <t>Abu Bakar</t>
  </si>
  <si>
    <t>0300-6317817</t>
  </si>
  <si>
    <t xml:space="preserve">Anaya </t>
  </si>
  <si>
    <t>Raza Ali Khan</t>
  </si>
  <si>
    <t>0300-8850948  0328-4588939</t>
  </si>
  <si>
    <t>Muhammad Musa</t>
  </si>
  <si>
    <t>Saqib Raza</t>
  </si>
  <si>
    <t xml:space="preserve">Eshal Fatima </t>
  </si>
  <si>
    <t>Asad Rasool</t>
  </si>
  <si>
    <t>0336-7343932  0304-4242420   0342-4407144</t>
  </si>
  <si>
    <t>Muhammad Musa Khan</t>
  </si>
  <si>
    <t>Muhammad Amir Khan</t>
  </si>
  <si>
    <t>0308-2010809 0349-6667265</t>
  </si>
  <si>
    <t>Fee &amp; misc Fund paid upto March 2025 to Feb 2026</t>
  </si>
  <si>
    <t>Dua Fatima</t>
  </si>
  <si>
    <t>Ghulam Mohayyudin</t>
  </si>
  <si>
    <t>0311-4373492  0344-8226355</t>
  </si>
  <si>
    <t>Rohab Yousaf</t>
  </si>
  <si>
    <t xml:space="preserve">Juniad Ammar </t>
  </si>
  <si>
    <t>0300-6127100</t>
  </si>
  <si>
    <t xml:space="preserve">Izan Fatima </t>
  </si>
  <si>
    <t>Waqas Ali</t>
  </si>
  <si>
    <t>0325-4876354 0328-5992483</t>
  </si>
  <si>
    <t>Nida Fatima Noor</t>
  </si>
  <si>
    <t xml:space="preserve">Hafiz Noor-ul-Hassan </t>
  </si>
  <si>
    <t>0321-4257120</t>
  </si>
  <si>
    <t>Muhammad Imran</t>
  </si>
  <si>
    <t>0308-7184363 0304-4999843</t>
  </si>
  <si>
    <t>Muhammad Ammar Saeed</t>
  </si>
  <si>
    <t>Saeed Ullah Khan</t>
  </si>
  <si>
    <t>0302-4205060 0307-1020182</t>
  </si>
  <si>
    <t xml:space="preserve">Dua Fatima </t>
  </si>
  <si>
    <t xml:space="preserve">Abdul Sufian </t>
  </si>
  <si>
    <t>0344-433365  0334-9960765</t>
  </si>
  <si>
    <t xml:space="preserve">Maheen Fatima </t>
  </si>
  <si>
    <t>Asif Akram</t>
  </si>
  <si>
    <t>0321-4679420</t>
  </si>
  <si>
    <t>Fee paid for Sep and Fund Paid 2025</t>
  </si>
  <si>
    <t>Ashmal Fatima</t>
  </si>
  <si>
    <t>0321-4597420</t>
  </si>
  <si>
    <t xml:space="preserve">Arsh Noor </t>
  </si>
  <si>
    <t>Umair Saboor</t>
  </si>
  <si>
    <t>0345-4268867  0327-4740059</t>
  </si>
  <si>
    <t>Ayesha Salma</t>
  </si>
  <si>
    <t>Hafiz Faisal Sarfraz</t>
  </si>
  <si>
    <t>0333-4020844  0313-4020844</t>
  </si>
  <si>
    <t>Muhammad Moaeez</t>
  </si>
  <si>
    <t>Faisal liaqat</t>
  </si>
  <si>
    <t>Nursery- B</t>
  </si>
  <si>
    <t>0342-7225416</t>
  </si>
  <si>
    <t>Fee paid upto Sept 2024</t>
  </si>
  <si>
    <t xml:space="preserve">Muhammad </t>
  </si>
  <si>
    <t xml:space="preserve">Muhammad Rizwan </t>
  </si>
  <si>
    <t>0333-4405259</t>
  </si>
  <si>
    <t>0303-8418750 0327-1868105</t>
  </si>
  <si>
    <t xml:space="preserve">Kameer Fatima </t>
  </si>
  <si>
    <t>Jamil Asghar</t>
  </si>
  <si>
    <t>0331-4292090</t>
  </si>
  <si>
    <t>Fateh Sher</t>
  </si>
  <si>
    <t xml:space="preserve">Amjad Iqbal </t>
  </si>
  <si>
    <t>0312-4460625  0307-4754262</t>
  </si>
  <si>
    <t>Momina Naseer</t>
  </si>
  <si>
    <t xml:space="preserve">Naseer Ahmad </t>
  </si>
  <si>
    <t>0342-4071617  0345-1457421</t>
  </si>
  <si>
    <t xml:space="preserve">Muhammad Ali </t>
  </si>
  <si>
    <t>Tahir Manzoor</t>
  </si>
  <si>
    <t>0347-8865187</t>
  </si>
  <si>
    <t>Fee paid upto 2200 April 2025</t>
  </si>
  <si>
    <t>Ayat Fatima</t>
  </si>
  <si>
    <t>M. Asim Sohail</t>
  </si>
  <si>
    <t>0317-1450388</t>
  </si>
  <si>
    <t>Muhammad Khizar</t>
  </si>
  <si>
    <t>Zagham Nawaz</t>
  </si>
  <si>
    <t>Taqi Jawad</t>
  </si>
  <si>
    <t>Irfan Haider</t>
  </si>
  <si>
    <t>0305-6185776</t>
  </si>
  <si>
    <t xml:space="preserve">Muhammad Nauman </t>
  </si>
  <si>
    <t>0300-4844381</t>
  </si>
  <si>
    <t>Ali Saif Ullah</t>
  </si>
  <si>
    <t>0321-4513614    0349-8847701</t>
  </si>
  <si>
    <t>Fee paid upto October 2024</t>
  </si>
  <si>
    <t xml:space="preserve">Insha Fatima </t>
  </si>
  <si>
    <t>0302-5646435</t>
  </si>
  <si>
    <t xml:space="preserve">Eshal Amir </t>
  </si>
  <si>
    <t>0300-4723193</t>
  </si>
  <si>
    <t>Umaima Umar</t>
  </si>
  <si>
    <t>Umar Shehzad</t>
  </si>
  <si>
    <t xml:space="preserve">Ayat Fatima </t>
  </si>
  <si>
    <t xml:space="preserve">Muhammad Nabeel </t>
  </si>
  <si>
    <t>0306-6891003</t>
  </si>
  <si>
    <t>Aish Fatima</t>
  </si>
  <si>
    <t>Kashif zulifqar</t>
  </si>
  <si>
    <t>0331-4169008  0300-4169008</t>
  </si>
  <si>
    <t>Rs180 of summer work</t>
  </si>
  <si>
    <t>Ruhab Fatima</t>
  </si>
  <si>
    <t>Ch Nouman Ahmed Saeed</t>
  </si>
  <si>
    <t>0334-4084630</t>
  </si>
  <si>
    <t xml:space="preserve">Safi Ur Rehman </t>
  </si>
  <si>
    <t>Muhammad Ilyas</t>
  </si>
  <si>
    <t>Muhammad Shaheer</t>
  </si>
  <si>
    <t>Qaiser Naseem Ahmad</t>
  </si>
  <si>
    <t>0304-2266937</t>
  </si>
  <si>
    <t xml:space="preserve">Fee paid for November 2024 </t>
  </si>
  <si>
    <t xml:space="preserve">Iftikhar Ahmad </t>
  </si>
  <si>
    <t>0333-4667649  0304-4789265</t>
  </si>
  <si>
    <t xml:space="preserve">Muhammad Essa </t>
  </si>
  <si>
    <t>Nasir Mehmood</t>
  </si>
  <si>
    <t>0300-4743978  0344-4747335</t>
  </si>
  <si>
    <t>Farhan Rafi</t>
  </si>
  <si>
    <t xml:space="preserve">Naqash Hussain </t>
  </si>
  <si>
    <t>0346-6302743</t>
  </si>
  <si>
    <t xml:space="preserve">Fee paid for December 2024 </t>
  </si>
  <si>
    <t>Maryam Naqash</t>
  </si>
  <si>
    <t>Naqash Masih</t>
  </si>
  <si>
    <t>Hussain Mohsin</t>
  </si>
  <si>
    <t>Mohsin Siddique</t>
  </si>
  <si>
    <t>0300-1452019  0348-5765012</t>
  </si>
  <si>
    <t xml:space="preserve">Syed Murtaza Bukhari </t>
  </si>
  <si>
    <t>Syed Mubasher Husain</t>
  </si>
  <si>
    <t>0306-5040488  0331-1405522</t>
  </si>
  <si>
    <t>Atiqa Malik</t>
  </si>
  <si>
    <t>Muhammad Malik</t>
  </si>
  <si>
    <t>0341-1432421</t>
  </si>
  <si>
    <t>Noor -e-Haram</t>
  </si>
  <si>
    <t>0343-8437711 0307-9172270</t>
  </si>
  <si>
    <t xml:space="preserve">Khadija Shehzad </t>
  </si>
  <si>
    <t>0308-6972351  0317-4387741</t>
  </si>
  <si>
    <t xml:space="preserve">Bisma Moazzam </t>
  </si>
  <si>
    <t>Moazzam Hussain</t>
  </si>
  <si>
    <t>0321-7001310</t>
  </si>
  <si>
    <t xml:space="preserve">Aliza Naveed </t>
  </si>
  <si>
    <t xml:space="preserve">Muhammad Naveed </t>
  </si>
  <si>
    <t>0307-3024747  0346-1015656</t>
  </si>
  <si>
    <t>Kaaifa iteshal</t>
  </si>
  <si>
    <t>Nasir Nadeem</t>
  </si>
  <si>
    <t>0314-4300056  0321-9509929</t>
  </si>
  <si>
    <t>Fee paid for september 2025</t>
  </si>
  <si>
    <t>Um-e-Rubab</t>
  </si>
  <si>
    <t>Rai Sabir Hussain Kharal</t>
  </si>
  <si>
    <t>0300-8852827  0305-7988871</t>
  </si>
  <si>
    <t xml:space="preserve">Bareen Fatima </t>
  </si>
  <si>
    <t xml:space="preserve">Chaman Abbas </t>
  </si>
  <si>
    <t>0316-3393836  0319-4122928</t>
  </si>
  <si>
    <t>Fee and fund paid for september  2025</t>
  </si>
  <si>
    <t>Abdul Rafay Bhatti</t>
  </si>
  <si>
    <t>Zafar Iqbal Bhatti</t>
  </si>
  <si>
    <t>0300-9486864  0305-4095644</t>
  </si>
  <si>
    <t xml:space="preserve">Muhammad Salih </t>
  </si>
  <si>
    <t>Luqman Ali</t>
  </si>
  <si>
    <t>0325-4967643  0312-4328960</t>
  </si>
  <si>
    <t>Fee  paid for september  2025</t>
  </si>
  <si>
    <t>Abdul Wahab</t>
  </si>
  <si>
    <t>Muhammad Ajmal</t>
  </si>
  <si>
    <t>0308-4287885  0305-4567100</t>
  </si>
  <si>
    <t xml:space="preserve">Ghawer Abbas  </t>
  </si>
  <si>
    <t>Ghulam Hussain Awan</t>
  </si>
  <si>
    <t>Prep- A</t>
  </si>
  <si>
    <t>0321-8181834</t>
  </si>
  <si>
    <t>Muhammad Ibrahim Virk</t>
  </si>
  <si>
    <t>Waqas Akbar</t>
  </si>
  <si>
    <t>0300-4873016</t>
  </si>
  <si>
    <t>Manat Imran</t>
  </si>
  <si>
    <t>Imran Sarwar</t>
  </si>
  <si>
    <t>0311-4073741</t>
  </si>
  <si>
    <t>Muhammad Umer</t>
  </si>
  <si>
    <t>Ijaz Ahmad</t>
  </si>
  <si>
    <t>0302-4099360</t>
  </si>
  <si>
    <t>Ayat Ansir</t>
  </si>
  <si>
    <t>Muhammad Ansir Mehmood</t>
  </si>
  <si>
    <t>0300-4465649  0335-4096141</t>
  </si>
  <si>
    <t>Zainab Fatima</t>
  </si>
  <si>
    <t>Khuram Shahzad Riaz</t>
  </si>
  <si>
    <t>0301-6750643  0346-6338915</t>
  </si>
  <si>
    <t>Kanwal Shahzadi</t>
  </si>
  <si>
    <t>0348-4076776  0304-4076808</t>
  </si>
  <si>
    <t>Muhammad Usman</t>
  </si>
  <si>
    <t>0303-4484125</t>
  </si>
  <si>
    <t>Jannat Rasool</t>
  </si>
  <si>
    <t>0336-7343932  0304-4242420  0342-4407144</t>
  </si>
  <si>
    <t>Zaman Rafi</t>
  </si>
  <si>
    <t>Javed Hussain</t>
  </si>
  <si>
    <t xml:space="preserve"> 0346-6302743</t>
  </si>
  <si>
    <t>Abdullah Bin Waqas</t>
  </si>
  <si>
    <t>Muhammad Waqas Murad</t>
  </si>
  <si>
    <t>0300-4841119  0333-6326888</t>
  </si>
  <si>
    <t>Fee paid upto May 2025</t>
  </si>
  <si>
    <t>Nayab Rafi</t>
  </si>
  <si>
    <t>Muhammad Nauman Haider</t>
  </si>
  <si>
    <t>0324-4028430  0320-1453380</t>
  </si>
  <si>
    <t>Sadaf Wahid</t>
  </si>
  <si>
    <t>Wahid Riaz</t>
  </si>
  <si>
    <t>0308-4421308  0341-8652900</t>
  </si>
  <si>
    <t>Muhammad Hussain Naseem</t>
  </si>
  <si>
    <t>Muhammad Naseem Abid</t>
  </si>
  <si>
    <t>0315-6057190  0316-1463737</t>
  </si>
  <si>
    <t>Hamad Afzal</t>
  </si>
  <si>
    <t>Muhammad Afzal Shaheen</t>
  </si>
  <si>
    <t>0300-4723152</t>
  </si>
  <si>
    <t>Minahal Fatima</t>
  </si>
  <si>
    <t>Muhammad Rizwan Hameed</t>
  </si>
  <si>
    <t>0308-7347154  0302-4348129</t>
  </si>
  <si>
    <t xml:space="preserve">Ghulam Hussain </t>
  </si>
  <si>
    <t>0349-4675241</t>
  </si>
  <si>
    <t>Hareem Fatima</t>
  </si>
  <si>
    <t>Muhammad Shahbaz</t>
  </si>
  <si>
    <t>0301-4966540  0311-4966540</t>
  </si>
  <si>
    <t>Memona Fatima</t>
  </si>
  <si>
    <t>Muhammad Ameen</t>
  </si>
  <si>
    <t>0340-3402990</t>
  </si>
  <si>
    <t>Muhammad Jahangir</t>
  </si>
  <si>
    <t>0313-4003214</t>
  </si>
  <si>
    <t xml:space="preserve">Abeeha Zainab </t>
  </si>
  <si>
    <t>Muhammad Azeem</t>
  </si>
  <si>
    <t>0321-7169584   0307-0143081</t>
  </si>
  <si>
    <t xml:space="preserve">Maryam Maqbool </t>
  </si>
  <si>
    <t>M. Maqbool</t>
  </si>
  <si>
    <t>Fee paid upto April 2025</t>
  </si>
  <si>
    <t xml:space="preserve">Faizan Ahmad </t>
  </si>
  <si>
    <t>Abdul Qadus</t>
  </si>
  <si>
    <t>0310-4765279</t>
  </si>
  <si>
    <t>Ali Haider</t>
  </si>
  <si>
    <t>Muhammad Mujtaba</t>
  </si>
  <si>
    <t>0345-6297309  0333-4068167</t>
  </si>
  <si>
    <t>Fee paid septe 2025</t>
  </si>
  <si>
    <t>Muhammad Hussain</t>
  </si>
  <si>
    <t>Prep-B</t>
  </si>
  <si>
    <t>Ali Hassan</t>
  </si>
  <si>
    <t>Shahid Husain</t>
  </si>
  <si>
    <t>0300-8166753  0345-6291165</t>
  </si>
  <si>
    <t>Meerab Shehzadi</t>
  </si>
  <si>
    <t>Saleem Akhtar</t>
  </si>
  <si>
    <t>0326-5362013  0321-6468967</t>
  </si>
  <si>
    <t xml:space="preserve">Maham Naveed </t>
  </si>
  <si>
    <t>Naveed Ahmed</t>
  </si>
  <si>
    <t>0307-8203738</t>
  </si>
  <si>
    <t>Raheen  Fatima</t>
  </si>
  <si>
    <t>Muhammad Rizwan</t>
  </si>
  <si>
    <t xml:space="preserve">Muhammad Ahmad </t>
  </si>
  <si>
    <t>0327-5787732</t>
  </si>
  <si>
    <t>Muhammad Shayan</t>
  </si>
  <si>
    <t>Muzaffar Hussain</t>
  </si>
  <si>
    <t>0344-6605611  0321-5555503</t>
  </si>
  <si>
    <t>Ayesha Tariq</t>
  </si>
  <si>
    <t>Muhammad Tariq Kamboh</t>
  </si>
  <si>
    <t>0314-6964818  0302-9664640</t>
  </si>
  <si>
    <t>Hoorain Fatima</t>
  </si>
  <si>
    <t>Muhammad Ghafran</t>
  </si>
  <si>
    <t>0304-4468428</t>
  </si>
  <si>
    <t>Qalab Abbas</t>
  </si>
  <si>
    <t>Muhammad Faisal</t>
  </si>
  <si>
    <t>0306-2541797</t>
  </si>
  <si>
    <t>Faizan Ali</t>
  </si>
  <si>
    <t>Sadaqat Ali</t>
  </si>
  <si>
    <t>0331-8832663  0303-0845388</t>
  </si>
  <si>
    <t>Muhammad Awais</t>
  </si>
  <si>
    <t>0307-4760219</t>
  </si>
  <si>
    <t>Muhammad Khuzaima</t>
  </si>
  <si>
    <t>Muhammad Rashid</t>
  </si>
  <si>
    <t>0301-4586725</t>
  </si>
  <si>
    <t>Muhammad Daud</t>
  </si>
  <si>
    <t>Faizan Ahmad</t>
  </si>
  <si>
    <t>0304-8421193</t>
  </si>
  <si>
    <t>Maryam Rana</t>
  </si>
  <si>
    <t xml:space="preserve">Naseeb Ali </t>
  </si>
  <si>
    <t>0300-8824091  0321-1678779</t>
  </si>
  <si>
    <t>M. Rizwan</t>
  </si>
  <si>
    <t>0300-8139798</t>
  </si>
  <si>
    <t>Rabia Noor</t>
  </si>
  <si>
    <t>0344-4347816   0334-4071611</t>
  </si>
  <si>
    <t>Muhammad Uzair</t>
  </si>
  <si>
    <t>Shafqat Ullah</t>
  </si>
  <si>
    <t>0300-8035327   0332-6562945</t>
  </si>
  <si>
    <t xml:space="preserve">Arib Nouman </t>
  </si>
  <si>
    <t xml:space="preserve">Nouman Sheikh </t>
  </si>
  <si>
    <t>0325-9878804  0309-4078376</t>
  </si>
  <si>
    <t xml:space="preserve">Musa Naqash </t>
  </si>
  <si>
    <t xml:space="preserve">Fatima Zahra </t>
  </si>
  <si>
    <t xml:space="preserve">Tousifurrehman </t>
  </si>
  <si>
    <t>0301-7310967 0343-6500152</t>
  </si>
  <si>
    <t xml:space="preserve">Marij Ali Akbar </t>
  </si>
  <si>
    <t>Ali Akbar</t>
  </si>
  <si>
    <t>0306-4778629  0321-4257120</t>
  </si>
  <si>
    <t>Harram Fatima</t>
  </si>
  <si>
    <t xml:space="preserve">Muhammad Asghar </t>
  </si>
  <si>
    <t>0319-4551173 0329-4305695</t>
  </si>
  <si>
    <t xml:space="preserve">Arooj Fatima </t>
  </si>
  <si>
    <t>0300-8852827  0305-7986871</t>
  </si>
  <si>
    <t>Fee paid upto September 2025</t>
  </si>
  <si>
    <t>Hassan Raza</t>
  </si>
  <si>
    <t xml:space="preserve">Ali Raza </t>
  </si>
  <si>
    <t>0303-9904125</t>
  </si>
  <si>
    <t>Ayesha Naveed</t>
  </si>
  <si>
    <t>0345-1241135 0345-4186114</t>
  </si>
  <si>
    <t>Fee and fund  paid upto September 2025</t>
  </si>
  <si>
    <t xml:space="preserve">Riasat Javed </t>
  </si>
  <si>
    <t>Prep -C</t>
  </si>
  <si>
    <t>0345-0418387    0316-4749275</t>
  </si>
  <si>
    <t>Shazib Nawaz</t>
  </si>
  <si>
    <t>Shahid Iqbal</t>
  </si>
  <si>
    <t xml:space="preserve"> </t>
  </si>
  <si>
    <t>0321-3721122  03040-1042010</t>
  </si>
  <si>
    <t>Fajar Fatima</t>
  </si>
  <si>
    <t>Sibbghatullah</t>
  </si>
  <si>
    <t>0345-0456770  00971-504733021</t>
  </si>
  <si>
    <t xml:space="preserve">Hurrain Fatima </t>
  </si>
  <si>
    <t>0322-7282834   0332-4996038</t>
  </si>
  <si>
    <t>Muhammad Abdul Rehman</t>
  </si>
  <si>
    <t>Muhammad Ashfaq</t>
  </si>
  <si>
    <t>0300-4010820</t>
  </si>
  <si>
    <t xml:space="preserve">Hoorain </t>
  </si>
  <si>
    <t xml:space="preserve">Muhammad Salman </t>
  </si>
  <si>
    <t>0320-9171642</t>
  </si>
  <si>
    <t>Abyan Bin Faisal</t>
  </si>
  <si>
    <t>H. Faisal Sarfraz</t>
  </si>
  <si>
    <t>0333-4020844</t>
  </si>
  <si>
    <t>Eshal Fatima</t>
  </si>
  <si>
    <t>0327-4008873  0300-6210491  0340-2829700</t>
  </si>
  <si>
    <t>Muhammad Bin Ahmad</t>
  </si>
  <si>
    <t>Muhammad Ahmad Sultan</t>
  </si>
  <si>
    <t>0336-7868353  0345-5111696</t>
  </si>
  <si>
    <t>Noor-ul-Aain</t>
  </si>
  <si>
    <t>Muhammad Ali Raza</t>
  </si>
  <si>
    <t>0303-4772292</t>
  </si>
  <si>
    <t>Ayesha Fatima</t>
  </si>
  <si>
    <t>Faryad Ali</t>
  </si>
  <si>
    <t>0314-4381416  0324-4381767</t>
  </si>
  <si>
    <t>Muhammad Ali Mirza</t>
  </si>
  <si>
    <t>Muhammad Ramzan Javed</t>
  </si>
  <si>
    <t>0300-4990090</t>
  </si>
  <si>
    <t>Abdul Basit</t>
  </si>
  <si>
    <t>Attiq-ur-Rehman</t>
  </si>
  <si>
    <t>Adan Fatima Khan</t>
  </si>
  <si>
    <t>Tariq Mehmood Khan</t>
  </si>
  <si>
    <t>0301-4501440</t>
  </si>
  <si>
    <t>Rahul Masih</t>
  </si>
  <si>
    <t>Atif Masih</t>
  </si>
  <si>
    <t>0301-9154497</t>
  </si>
  <si>
    <t>Nauman Ali</t>
  </si>
  <si>
    <t>Ishaq</t>
  </si>
  <si>
    <t>Huda Naeem</t>
  </si>
  <si>
    <t>Muhammad Naeem</t>
  </si>
  <si>
    <t>0322-8063968  0310-4568372</t>
  </si>
  <si>
    <t>Husain Ali</t>
  </si>
  <si>
    <t>Shahbaz Ahmad</t>
  </si>
  <si>
    <t>0300-8126635  0340-0043686</t>
  </si>
  <si>
    <t xml:space="preserve">Areeba Raza </t>
  </si>
  <si>
    <t>Ali Raza</t>
  </si>
  <si>
    <t>0309-2724208  0340-0405082</t>
  </si>
  <si>
    <t>Um-e-Hania</t>
  </si>
  <si>
    <t>Muhammad Bilal</t>
  </si>
  <si>
    <t>0308-4279001  0321-4821747</t>
  </si>
  <si>
    <t xml:space="preserve">Muhamamd Ayan </t>
  </si>
  <si>
    <t xml:space="preserve">Kashif Ali </t>
  </si>
  <si>
    <t>0301-5443716</t>
  </si>
  <si>
    <t>Fee paid upto Sept2024</t>
  </si>
  <si>
    <t>Shamraiz Ahmad</t>
  </si>
  <si>
    <t>Zubair Nawaz</t>
  </si>
  <si>
    <t>0343-8407500</t>
  </si>
  <si>
    <t>Abdul Hadi</t>
  </si>
  <si>
    <t>Khuram Shahzad</t>
  </si>
  <si>
    <t xml:space="preserve">0321-4187566  </t>
  </si>
  <si>
    <t xml:space="preserve">Ghulam Mustafa Imran </t>
  </si>
  <si>
    <t>Imarn Safder</t>
  </si>
  <si>
    <t>0308-8030001</t>
  </si>
  <si>
    <t>Mah Noor Zaheer</t>
  </si>
  <si>
    <t xml:space="preserve">Zaheer Abbas </t>
  </si>
  <si>
    <t>0326-4299165  0300-4069111 0335-4069111</t>
  </si>
  <si>
    <t>Faisal Umar</t>
  </si>
  <si>
    <t>0300-4457082  0335-4457082</t>
  </si>
  <si>
    <t>Muhammad Shazim</t>
  </si>
  <si>
    <t>One- A</t>
  </si>
  <si>
    <t xml:space="preserve">0302-9664604 0311-7959021  0314-6964818 </t>
  </si>
  <si>
    <t>Zomar Alvi</t>
  </si>
  <si>
    <t xml:space="preserve">0301-7197198  </t>
  </si>
  <si>
    <t>Rehan Ali</t>
  </si>
  <si>
    <t>0331-8832663</t>
  </si>
  <si>
    <t>Muhammad Azan</t>
  </si>
  <si>
    <t>Husnain Murtaza</t>
  </si>
  <si>
    <t>0335-1122567</t>
  </si>
  <si>
    <t>Shuja Haider</t>
  </si>
  <si>
    <t>0301-4182431  0300-2116857</t>
  </si>
  <si>
    <t>Muntaha</t>
  </si>
  <si>
    <t>0324-8406817</t>
  </si>
  <si>
    <t xml:space="preserve">Daim Manzoor </t>
  </si>
  <si>
    <t>Manzoor Masih</t>
  </si>
  <si>
    <t>0321-4187387</t>
  </si>
  <si>
    <t>Waqqas Mahmood</t>
  </si>
  <si>
    <t>0307-4030447  0321-4030447</t>
  </si>
  <si>
    <t>Asma Zaib</t>
  </si>
  <si>
    <t>0348-8739230  0340-1414730</t>
  </si>
  <si>
    <t>Muhammad Ayan</t>
  </si>
  <si>
    <t>Muzammal Naeem</t>
  </si>
  <si>
    <t>0342-1503821</t>
  </si>
  <si>
    <t>0345-6268867  -   0342-6704295</t>
  </si>
  <si>
    <t>Eshaal Khan Sherwani</t>
  </si>
  <si>
    <t>0332-6488847  -  056-3793499</t>
  </si>
  <si>
    <t>0300-7240042</t>
  </si>
  <si>
    <t>Maheer Fatima</t>
  </si>
  <si>
    <t>Muhammad Arjummand Sultan</t>
  </si>
  <si>
    <t>0334-4985099</t>
  </si>
  <si>
    <t>Muhammad Ibraheem</t>
  </si>
  <si>
    <t>0300-4743978  0303-6964185</t>
  </si>
  <si>
    <t>Aymen Fatima</t>
  </si>
  <si>
    <t>Muhammad Imran Kambo</t>
  </si>
  <si>
    <t>0302-4348129</t>
  </si>
  <si>
    <t>Aman Fatima</t>
  </si>
  <si>
    <t>Muhammad Javed</t>
  </si>
  <si>
    <t>0302-8893536  0349-4614408</t>
  </si>
  <si>
    <t xml:space="preserve">Muhammad Abdullah </t>
  </si>
  <si>
    <t xml:space="preserve">Yasir Iftikhar </t>
  </si>
  <si>
    <t>0320-0854385   -  0308-5044313</t>
  </si>
  <si>
    <t>Abdul Rauf</t>
  </si>
  <si>
    <t>Qaisar Javed</t>
  </si>
  <si>
    <t>Irha Falak Sher</t>
  </si>
  <si>
    <t>Falak Sher</t>
  </si>
  <si>
    <t>0300-0113112  0303-4347819</t>
  </si>
  <si>
    <t>Jannat</t>
  </si>
  <si>
    <t>Fida Husain</t>
  </si>
  <si>
    <t>0302-4515152  0304-4119572</t>
  </si>
  <si>
    <t>Neha Tanveer</t>
  </si>
  <si>
    <t xml:space="preserve">Tanveer Ahmad </t>
  </si>
  <si>
    <t>Taimor Abu Bakar</t>
  </si>
  <si>
    <t>0300-6317828</t>
  </si>
  <si>
    <t>Muhamamd Zakria Nadir</t>
  </si>
  <si>
    <t>Muhammad Nadir Hafeez</t>
  </si>
  <si>
    <t>0321-6019218</t>
  </si>
  <si>
    <t xml:space="preserve"> fee paid upto Sept 2024</t>
  </si>
  <si>
    <t xml:space="preserve">Muhammad Abubakar </t>
  </si>
  <si>
    <t>0306-9702108   0323-6029573</t>
  </si>
  <si>
    <t xml:space="preserve">Fakhar Abbas </t>
  </si>
  <si>
    <t>0325-9878804    0309-4078377</t>
  </si>
  <si>
    <t>Haseeb-Ur-Rehman Mustafa</t>
  </si>
  <si>
    <t xml:space="preserve">  0343-7019295</t>
  </si>
  <si>
    <t>Eman Fatima</t>
  </si>
  <si>
    <t>Rashid Ali</t>
  </si>
  <si>
    <t>0300-2524123  0301-4633322</t>
  </si>
  <si>
    <t xml:space="preserve">Rehmat Fatima </t>
  </si>
  <si>
    <t>Faizan Ahsan</t>
  </si>
  <si>
    <t>Ehsan ul Haq</t>
  </si>
  <si>
    <t>0321-7277080  0325-8118280</t>
  </si>
  <si>
    <t xml:space="preserve">Muhammad Luqman </t>
  </si>
  <si>
    <t>0346-6349628  0318-4334018</t>
  </si>
  <si>
    <t>Areej Bint-e-Waqas</t>
  </si>
  <si>
    <t xml:space="preserve">Waqas Khursheed </t>
  </si>
  <si>
    <t>0309-5671234  0315-6111007</t>
  </si>
  <si>
    <t>Arham Nawaz</t>
  </si>
  <si>
    <t>One -B</t>
  </si>
  <si>
    <t>Luqman Anayat</t>
  </si>
  <si>
    <t>0304-7878851</t>
  </si>
  <si>
    <t>Abeeha Siddique</t>
  </si>
  <si>
    <t>0347-5840102  0309-2123674</t>
  </si>
  <si>
    <t>Irtaza Zubair</t>
  </si>
  <si>
    <t>Muhammad Yasir Islam</t>
  </si>
  <si>
    <t xml:space="preserve"> 0312-8368363 036-4472721</t>
  </si>
  <si>
    <t xml:space="preserve">Um-e-Habiba </t>
  </si>
  <si>
    <t xml:space="preserve">Muhammad Nadeem </t>
  </si>
  <si>
    <t xml:space="preserve">  0334-4988162 </t>
  </si>
  <si>
    <t>Maham Wadood</t>
  </si>
  <si>
    <t>Atta-ul-Wadood</t>
  </si>
  <si>
    <t>0321-3607067 0323-9613143</t>
  </si>
  <si>
    <t>Azal Fatima</t>
  </si>
  <si>
    <t>Tahir Nadeem</t>
  </si>
  <si>
    <t>0301-4841650  0348-7802930  0341-6567006</t>
  </si>
  <si>
    <t>Ehsan Ullah</t>
  </si>
  <si>
    <t>0305-4031208</t>
  </si>
  <si>
    <t>Anaya Shehzadi</t>
  </si>
  <si>
    <t>Hafeezullah</t>
  </si>
  <si>
    <t>0324-4427721</t>
  </si>
  <si>
    <t xml:space="preserve">Muhammad Azan Irfan </t>
  </si>
  <si>
    <t>0333-0477544</t>
  </si>
  <si>
    <t>Muhammad Salman</t>
  </si>
  <si>
    <t>Sharafat Ali</t>
  </si>
  <si>
    <t>0321-3222604</t>
  </si>
  <si>
    <t>Ayesha Sohail</t>
  </si>
  <si>
    <t>Sohail Ahmad</t>
  </si>
  <si>
    <t>0303-8641080 0307-7145274</t>
  </si>
  <si>
    <t>Ahmad Sohail</t>
  </si>
  <si>
    <t>Shahid Imran</t>
  </si>
  <si>
    <t>0333-9785524  0345-9285524</t>
  </si>
  <si>
    <t xml:space="preserve">Arbab Ahmad </t>
  </si>
  <si>
    <t>Ahmad Ali</t>
  </si>
  <si>
    <t>0304-0852745</t>
  </si>
  <si>
    <t>Haram Fatima</t>
  </si>
  <si>
    <t>Sultan Husain</t>
  </si>
  <si>
    <t>0301-6340809</t>
  </si>
  <si>
    <t>Tahir Nadeem Bhatti</t>
  </si>
  <si>
    <t>0301-4114650  0341-6567007</t>
  </si>
  <si>
    <t xml:space="preserve">Asad Ali </t>
  </si>
  <si>
    <t>0301-4988647  0325-4618450</t>
  </si>
  <si>
    <t xml:space="preserve">Abdul Rehman </t>
  </si>
  <si>
    <t xml:space="preserve">Muhammad Muteeb </t>
  </si>
  <si>
    <t>Muhammad Abbas</t>
  </si>
  <si>
    <t>0301-4170794  0302-4735970</t>
  </si>
  <si>
    <t>Muhammad Huzaifa</t>
  </si>
  <si>
    <t>Umar Zia</t>
  </si>
  <si>
    <t>0327-0712600  0304-5165587</t>
  </si>
  <si>
    <t>1000 Misc Fund for new session 2025-26</t>
  </si>
  <si>
    <t xml:space="preserve">Muhammad Almeer Bukhari </t>
  </si>
  <si>
    <t>Muhammad Ibrahim Awan</t>
  </si>
  <si>
    <t>Tanveer Husain  Awan</t>
  </si>
  <si>
    <t>0300-4053991  0346-4405529</t>
  </si>
  <si>
    <t>Ayyan Asif</t>
  </si>
  <si>
    <t>Asif Ali</t>
  </si>
  <si>
    <t>0328-0495472  0323-7085052</t>
  </si>
  <si>
    <t>Irtaza Ali</t>
  </si>
  <si>
    <t>0325-4876354  0328-5992483</t>
  </si>
  <si>
    <t xml:space="preserve">Sarfraz Ahmad </t>
  </si>
  <si>
    <t>0316-4161395  0304-4161434</t>
  </si>
  <si>
    <t xml:space="preserve">Jabeen Zahra </t>
  </si>
  <si>
    <t xml:space="preserve">Mujahid Husain </t>
  </si>
  <si>
    <t>0300-4792157</t>
  </si>
  <si>
    <t>Ayesha Amir</t>
  </si>
  <si>
    <t>Amir Nawaz</t>
  </si>
  <si>
    <t>One- C</t>
  </si>
  <si>
    <t>0301-0010201  0335-1420823</t>
  </si>
  <si>
    <t>Subhan Ali</t>
  </si>
  <si>
    <t>0302-4662174</t>
  </si>
  <si>
    <t>Paris Fatima</t>
  </si>
  <si>
    <t>Syed Muhammad Zulqarnain</t>
  </si>
  <si>
    <t>0321-4187058</t>
  </si>
  <si>
    <t>Ahmad Jahangir</t>
  </si>
  <si>
    <t>Syed Muaz Ali</t>
  </si>
  <si>
    <t>Syed Amjad Ali</t>
  </si>
  <si>
    <t>0300-4674712</t>
  </si>
  <si>
    <t>Fatima Tariq</t>
  </si>
  <si>
    <t>Tariq Mehmood</t>
  </si>
  <si>
    <t>0303-4772292  0343-5292924</t>
  </si>
  <si>
    <t>Muhammad Ismail</t>
  </si>
  <si>
    <t>Muhammad Adil</t>
  </si>
  <si>
    <t>0322-4673096 966-548200231</t>
  </si>
  <si>
    <t>Jannat Fatima</t>
  </si>
  <si>
    <t>Ume Abeeha</t>
  </si>
  <si>
    <t>Faiz Ullah</t>
  </si>
  <si>
    <t>Saif Ullah</t>
  </si>
  <si>
    <t>0300-4365168</t>
  </si>
  <si>
    <t>Amina Tayyaba</t>
  </si>
  <si>
    <t>Muhammad Nafees</t>
  </si>
  <si>
    <t>0321-5447614  0310-4001396</t>
  </si>
  <si>
    <t>Hania Naveed</t>
  </si>
  <si>
    <t>Muhammad Naveed</t>
  </si>
  <si>
    <t>Aira Ismail</t>
  </si>
  <si>
    <t>Ismail Khan</t>
  </si>
  <si>
    <t>0345-4877292  0300-4179265</t>
  </si>
  <si>
    <t>Fareeha Shahid</t>
  </si>
  <si>
    <t>Shahid Ali</t>
  </si>
  <si>
    <t>0303-4515152  0304-4119573</t>
  </si>
  <si>
    <t>Muhammad Asif</t>
  </si>
  <si>
    <t>0305-5718980   0300-8824091</t>
  </si>
  <si>
    <t xml:space="preserve">Hania Nawaz </t>
  </si>
  <si>
    <t>0306-4423841</t>
  </si>
  <si>
    <t>Shahzaib Bhatti</t>
  </si>
  <si>
    <t>0309-9148545  0302-9511658</t>
  </si>
  <si>
    <t>Uswa Fatima</t>
  </si>
  <si>
    <t>Saleem Ahmad</t>
  </si>
  <si>
    <t>0345-6341758  0308-0046758</t>
  </si>
  <si>
    <t xml:space="preserve">Abdul Raheem Khan </t>
  </si>
  <si>
    <t>0308-2010809  0347-6667265</t>
  </si>
  <si>
    <t xml:space="preserve">Ayesha </t>
  </si>
  <si>
    <t>Hussnain Azam</t>
  </si>
  <si>
    <t>0319-4551173  0329-4305695</t>
  </si>
  <si>
    <t>Haram Murtaza</t>
  </si>
  <si>
    <t xml:space="preserve">Ghulam Murtaza </t>
  </si>
  <si>
    <t>0300-7534686  0303-44147889</t>
  </si>
  <si>
    <t xml:space="preserve">Tehreem Ehsan </t>
  </si>
  <si>
    <t>Muhammad Ehsan</t>
  </si>
  <si>
    <t>0326-6005060  0301-7000433</t>
  </si>
  <si>
    <t xml:space="preserve">Zoya Arshad </t>
  </si>
  <si>
    <t>Muhammad Arshad</t>
  </si>
  <si>
    <t>Ayesha Sadiqa Fatima</t>
  </si>
  <si>
    <t>Sakhawat Ali</t>
  </si>
  <si>
    <t>0307-4022846  0303-4040358</t>
  </si>
  <si>
    <t xml:space="preserve">Hamza Shehzad </t>
  </si>
  <si>
    <t>Meerab Fatima</t>
  </si>
  <si>
    <t>Afzal Hussain</t>
  </si>
  <si>
    <t>0326-4781156  0341-1498875</t>
  </si>
  <si>
    <t xml:space="preserve">Muhammad Musa Saeed </t>
  </si>
  <si>
    <t>0302-4205060   0307-1020182</t>
  </si>
  <si>
    <t>Muhammad Ayyan</t>
  </si>
  <si>
    <t>0348-6209224  0310-4048446</t>
  </si>
  <si>
    <t>Minal Fatima</t>
  </si>
  <si>
    <t xml:space="preserve">Ehsanullah </t>
  </si>
  <si>
    <t>0344-4333652  0334-9960765</t>
  </si>
  <si>
    <t>Fee and fund paid for September  2025</t>
  </si>
  <si>
    <t xml:space="preserve">Ali Hashim </t>
  </si>
  <si>
    <t xml:space="preserve">Adan Bukhari </t>
  </si>
  <si>
    <t>Syed Tabasum Bukhari</t>
  </si>
  <si>
    <t>Two -A</t>
  </si>
  <si>
    <t>0336-4140354</t>
  </si>
  <si>
    <t>Noor-ul-Huda</t>
  </si>
  <si>
    <t>Muhammad Zaman</t>
  </si>
  <si>
    <t>0304-9546795 0306-0485696</t>
  </si>
  <si>
    <t>Fatima Batool</t>
  </si>
  <si>
    <t>0304-0852746  0343-0030490</t>
  </si>
  <si>
    <t>Usman Umar</t>
  </si>
  <si>
    <t>Umar Shahzad</t>
  </si>
  <si>
    <t>346-6032646  0302-4514381</t>
  </si>
  <si>
    <t xml:space="preserve">Nouman  Saeed </t>
  </si>
  <si>
    <t>0336-4011643</t>
  </si>
  <si>
    <t>Zaman Fatima</t>
  </si>
  <si>
    <t>Amir Zaman</t>
  </si>
  <si>
    <t>Maryam</t>
  </si>
  <si>
    <t>Falak sher</t>
  </si>
  <si>
    <t>0322-7208334 0309-8304657</t>
  </si>
  <si>
    <t>Fee Paid  Upto Feb 2025</t>
  </si>
  <si>
    <t>Muhammad Haris</t>
  </si>
  <si>
    <t>0309-8304657 0322-7208334</t>
  </si>
  <si>
    <t>Fee paid upto Feb.2025</t>
  </si>
  <si>
    <t>M. Faizan-ul-Hassan</t>
  </si>
  <si>
    <t xml:space="preserve">Hadi Hussain </t>
  </si>
  <si>
    <t>Abid Hussain</t>
  </si>
  <si>
    <t>0300-4477973 0302-6667189</t>
  </si>
  <si>
    <t>Zahra Tariq</t>
  </si>
  <si>
    <t>0347-9891721 0347-4512232</t>
  </si>
  <si>
    <t>Horain Awan</t>
  </si>
  <si>
    <t>Sajjad Ahmad</t>
  </si>
  <si>
    <t>0309-9153410  0309-5454818</t>
  </si>
  <si>
    <t>Abeeha</t>
  </si>
  <si>
    <t>Muhammad Hafeez</t>
  </si>
  <si>
    <t>0307-5494118</t>
  </si>
  <si>
    <t>Minaal Masood</t>
  </si>
  <si>
    <t>Rana Masood Ahmad</t>
  </si>
  <si>
    <t>0333-4027574 0305-7550010</t>
  </si>
  <si>
    <t>Inaya</t>
  </si>
  <si>
    <t>Shabbir Ahmad</t>
  </si>
  <si>
    <t>0315-4024305  0309-7949681</t>
  </si>
  <si>
    <t>Talib Hussain</t>
  </si>
  <si>
    <t>Ehsan Ali</t>
  </si>
  <si>
    <t>0307-4900129</t>
  </si>
  <si>
    <t>Zumar Fatima</t>
  </si>
  <si>
    <t>Farwa Yasir</t>
  </si>
  <si>
    <t>0312-8368363</t>
  </si>
  <si>
    <t>Muhammad Abu bakar</t>
  </si>
  <si>
    <t>Muhammad Shamim</t>
  </si>
  <si>
    <t>0300-7682291  0301-4242219</t>
  </si>
  <si>
    <t>Urva-E-Wusqaa</t>
  </si>
  <si>
    <t>Muhammad Abu Zar Gill</t>
  </si>
  <si>
    <t>Azeem Shehzad</t>
  </si>
  <si>
    <t>0348-4857180 0319-4553303</t>
  </si>
  <si>
    <t>Hamad Raza Gill</t>
  </si>
  <si>
    <t>Khurram Sajjad</t>
  </si>
  <si>
    <t>Maiza Safdar</t>
  </si>
  <si>
    <t>Muhammad Salaik Farooq</t>
  </si>
  <si>
    <t>Farooq Nasir</t>
  </si>
  <si>
    <t xml:space="preserve">0312-1963074 </t>
  </si>
  <si>
    <t xml:space="preserve">Zuha Ali </t>
  </si>
  <si>
    <t>0335-0413366</t>
  </si>
  <si>
    <t>Fee paid upto July 2025</t>
  </si>
  <si>
    <t>Madina Sattar</t>
  </si>
  <si>
    <t>Abdul Sattar</t>
  </si>
  <si>
    <t>0322-6497234   0345-6287616</t>
  </si>
  <si>
    <t>Mateen Jamshaid</t>
  </si>
  <si>
    <t>Jamshaid Akhtar</t>
  </si>
  <si>
    <t>0309-8304537  03013-4564476</t>
  </si>
  <si>
    <t>Hadia Murtaza</t>
  </si>
  <si>
    <t>0300-7534686  0303-4414798</t>
  </si>
  <si>
    <t xml:space="preserve">Ammara Fiaz </t>
  </si>
  <si>
    <t>Fiaz Husain</t>
  </si>
  <si>
    <t>0309-2729672  0346-6700661</t>
  </si>
  <si>
    <t xml:space="preserve">Zainab Ali </t>
  </si>
  <si>
    <t>Muhammad Nadeem Ahmad</t>
  </si>
  <si>
    <t>0334-1714419  0336-4969423</t>
  </si>
  <si>
    <t xml:space="preserve">M. Ahmad Shehzad </t>
  </si>
  <si>
    <t xml:space="preserve">Hamid Tanveer </t>
  </si>
  <si>
    <t>Muhammad Tanveer</t>
  </si>
  <si>
    <t>0321-7142617  0344-4396165</t>
  </si>
  <si>
    <t xml:space="preserve">Hareem Fatima </t>
  </si>
  <si>
    <t>Muhammad Asjad</t>
  </si>
  <si>
    <t>0320-8802240 0302-6429454</t>
  </si>
  <si>
    <t>Fee and fund  paid for October 2025</t>
  </si>
  <si>
    <t>Azan Adul</t>
  </si>
  <si>
    <t>Muhammad Adul</t>
  </si>
  <si>
    <t>Two-B</t>
  </si>
  <si>
    <t>Muhammad Ihtesham Raza</t>
  </si>
  <si>
    <t>0324-4381767</t>
  </si>
  <si>
    <t>Hajra Umar</t>
  </si>
  <si>
    <t>Muhammad Umar Razzaq</t>
  </si>
  <si>
    <t>0322-8500052 0321-3536002</t>
  </si>
  <si>
    <t>Hurma Usman</t>
  </si>
  <si>
    <t>0322-8500050 0321-3536002</t>
  </si>
  <si>
    <t>Hadia Fatima</t>
  </si>
  <si>
    <t>Rana Khizar Hayyat</t>
  </si>
  <si>
    <t>0312-4609885</t>
  </si>
  <si>
    <t>Muhammad Mohid</t>
  </si>
  <si>
    <t xml:space="preserve">Khadija Binyamin </t>
  </si>
  <si>
    <t>Muhammad Binyamin</t>
  </si>
  <si>
    <t>0300-4727216</t>
  </si>
  <si>
    <t>Khubaib Ahmad</t>
  </si>
  <si>
    <t>Muhammad Umar Farooq</t>
  </si>
  <si>
    <t>0306-9816353 0321-5966316</t>
  </si>
  <si>
    <t>Abdul Hannan</t>
  </si>
  <si>
    <t>0342-0541812  0302-5646435  03145025784</t>
  </si>
  <si>
    <t>Haram</t>
  </si>
  <si>
    <t>Sanan Zahoor Ahmed</t>
  </si>
  <si>
    <t>0322-7959036 0309-4639747</t>
  </si>
  <si>
    <t>Uswa Noor</t>
  </si>
  <si>
    <t>Muhammad Usman Babar</t>
  </si>
  <si>
    <t>0306-4906323</t>
  </si>
  <si>
    <t>Eshal Shahzadi</t>
  </si>
  <si>
    <t>0308-4279001  0315-4549445</t>
  </si>
  <si>
    <t>Areeba Naveed</t>
  </si>
  <si>
    <t>Mustaqeem Ahmad</t>
  </si>
  <si>
    <t>Nazakat Ali Anjum</t>
  </si>
  <si>
    <t>0343-6161789</t>
  </si>
  <si>
    <t>Mutahir Hashir Mujtaba</t>
  </si>
  <si>
    <t xml:space="preserve">Junaid Ammar </t>
  </si>
  <si>
    <t xml:space="preserve">Fatima Shahzadi </t>
  </si>
  <si>
    <t>Muhammad Shehzad Anwar</t>
  </si>
  <si>
    <t>0300-8122526 -  0311-9273991</t>
  </si>
  <si>
    <t>Fabeeha Fatima</t>
  </si>
  <si>
    <t>Muhammad Naeem Akhtar</t>
  </si>
  <si>
    <t>0306-0653989   0334-4106851</t>
  </si>
  <si>
    <t>Ibrar Hussain Javaid</t>
  </si>
  <si>
    <t>0308-6331098</t>
  </si>
  <si>
    <t>Sahib Jamil</t>
  </si>
  <si>
    <t>0302-4861574</t>
  </si>
  <si>
    <t>Syed Muhammad .Kazim Husain Kazmi</t>
  </si>
  <si>
    <t xml:space="preserve">Syed Muhammad Zulqarnain </t>
  </si>
  <si>
    <t>Abeeha Fatima</t>
  </si>
  <si>
    <t>Izat  Fatima</t>
  </si>
  <si>
    <t>0306-4928226</t>
  </si>
  <si>
    <t>Sabeeha Fatima</t>
  </si>
  <si>
    <t>Yashfa Fatima</t>
  </si>
  <si>
    <t>Rs50of summer work</t>
  </si>
  <si>
    <t xml:space="preserve">Muhammad Naeem </t>
  </si>
  <si>
    <t>0322-8063968</t>
  </si>
  <si>
    <t>Abdullah Sarfraz</t>
  </si>
  <si>
    <t xml:space="preserve">Sarfraz Siddique </t>
  </si>
  <si>
    <t>0318-4634053</t>
  </si>
  <si>
    <t>Muhammad Ahmad</t>
  </si>
  <si>
    <t>Meharma</t>
  </si>
  <si>
    <t>Muhammad Shehzad Ali</t>
  </si>
  <si>
    <t>0309-7824343  0307-7824343</t>
  </si>
  <si>
    <t>Sultan Abu Bakar</t>
  </si>
  <si>
    <t>0300-6317827</t>
  </si>
  <si>
    <t>M. Arham Mudassar</t>
  </si>
  <si>
    <t>M. Mudassar Bashir</t>
  </si>
  <si>
    <t>0304-0940785  0307-8833495</t>
  </si>
  <si>
    <t>Mubashrah Attique</t>
  </si>
  <si>
    <t>0308-4905743  0311-4905743</t>
  </si>
  <si>
    <t>Ali Hassan Bhatti</t>
  </si>
  <si>
    <t xml:space="preserve">Muhammad Dawood </t>
  </si>
  <si>
    <t>0306-9702108 0323-6029573</t>
  </si>
  <si>
    <t>M .Umar Khurram</t>
  </si>
  <si>
    <t xml:space="preserve">Khuram Shahzad </t>
  </si>
  <si>
    <t>0321-4187566</t>
  </si>
  <si>
    <t>Muhammad Haider Ali Azeem</t>
  </si>
  <si>
    <t>0321-7169584 0307-0143081</t>
  </si>
  <si>
    <t xml:space="preserve">Abdullah Ajmal </t>
  </si>
  <si>
    <t>0327-4424712  0305-4567100</t>
  </si>
  <si>
    <t>Muhammad Fahad Farooq</t>
  </si>
  <si>
    <t xml:space="preserve">Farooq Ahmad </t>
  </si>
  <si>
    <t>0302-4453748  0301-5435198</t>
  </si>
  <si>
    <t>Ayyan Ali</t>
  </si>
  <si>
    <t>Naveed Ahmad Sikander</t>
  </si>
  <si>
    <t>0301-3968528  0347-6587924</t>
  </si>
  <si>
    <t>Kinza Fatima</t>
  </si>
  <si>
    <t>Umar Daraz</t>
  </si>
  <si>
    <t>Three- A</t>
  </si>
  <si>
    <t>0305-9656532</t>
  </si>
  <si>
    <t>Zaheer Ahmad</t>
  </si>
  <si>
    <t>0323-9200026</t>
  </si>
  <si>
    <t xml:space="preserve">No Vaccine </t>
  </si>
  <si>
    <t>Dania Nawaz</t>
  </si>
  <si>
    <t>Rub Nawaz</t>
  </si>
  <si>
    <t>0334-6506391  0304-6894713</t>
  </si>
  <si>
    <t>Fatima-tul-Zahra</t>
  </si>
  <si>
    <t>Niamat Rasool</t>
  </si>
  <si>
    <t>0307-7034611</t>
  </si>
  <si>
    <t>Bisma Kashif</t>
  </si>
  <si>
    <t xml:space="preserve">0347-5819701  0343-4866758  </t>
  </si>
  <si>
    <t>Muhammad Mehfooz</t>
  </si>
  <si>
    <t>0342-4150963  0301-3553285</t>
  </si>
  <si>
    <t>Mah Noor</t>
  </si>
  <si>
    <t>Seerat Habib</t>
  </si>
  <si>
    <t>Habib-ur-Rehman</t>
  </si>
  <si>
    <t>Muhammad Abid Khan</t>
  </si>
  <si>
    <t>0300-4652819 0336-2423849</t>
  </si>
  <si>
    <t>Jannat Riaz</t>
  </si>
  <si>
    <t>Riaz Ahmad</t>
  </si>
  <si>
    <t>0301-4378681  0301-4778318</t>
  </si>
  <si>
    <t>Faisal Javed</t>
  </si>
  <si>
    <t>0308-5427856</t>
  </si>
  <si>
    <t xml:space="preserve">Fareeha Faisal </t>
  </si>
  <si>
    <t>Seerat Fatima</t>
  </si>
  <si>
    <t>Shahid Mahmood</t>
  </si>
  <si>
    <t>0346-4534029</t>
  </si>
  <si>
    <t>Sajjad Nabi</t>
  </si>
  <si>
    <t>0343-6251925  0321-5922540</t>
  </si>
  <si>
    <t>Anamta Ali Saif</t>
  </si>
  <si>
    <t>Ali Saif</t>
  </si>
  <si>
    <t>0345-4785288  0307-4230623</t>
  </si>
  <si>
    <t>Imran Safdar</t>
  </si>
  <si>
    <t>0308-8030001  0307-3265786</t>
  </si>
  <si>
    <t>Abeeha Amjad</t>
  </si>
  <si>
    <t>Amjad Iqbal</t>
  </si>
  <si>
    <t>0312-4460625</t>
  </si>
  <si>
    <t>Eshal Ahmad</t>
  </si>
  <si>
    <t>0300-7866050  03295000875</t>
  </si>
  <si>
    <t>Fee Paid for March 2300 &amp;  Fund paid 3000 for 2025</t>
  </si>
  <si>
    <t>Mahdia Noor</t>
  </si>
  <si>
    <t xml:space="preserve">Mudassar Ali Rehan </t>
  </si>
  <si>
    <t>0346-4367678  0302-4367678</t>
  </si>
  <si>
    <t>Meerab Tanveer</t>
  </si>
  <si>
    <t>Seerat Bibi</t>
  </si>
  <si>
    <t>0309-1046674   0302-3581602</t>
  </si>
  <si>
    <t>Fee Paid  Upto June to August 2025</t>
  </si>
  <si>
    <t>Insha Khan</t>
  </si>
  <si>
    <t>Sher Aslam</t>
  </si>
  <si>
    <t>0311-4706190  0325-4438900</t>
  </si>
  <si>
    <t>Saima Bibi</t>
  </si>
  <si>
    <t xml:space="preserve">Aayat Khadija </t>
  </si>
  <si>
    <t xml:space="preserve">Ume Roman </t>
  </si>
  <si>
    <t>0320-7378202</t>
  </si>
  <si>
    <t xml:space="preserve">Zainab </t>
  </si>
  <si>
    <t xml:space="preserve">Ayesha Abid </t>
  </si>
  <si>
    <t>Abid Hussain Bhangoo</t>
  </si>
  <si>
    <t>0342-5868838  0323-7509352</t>
  </si>
  <si>
    <t>Fazila Niaz</t>
  </si>
  <si>
    <t xml:space="preserve">0346-6349628  0318-4334018 </t>
  </si>
  <si>
    <t>Zimal Fatima</t>
  </si>
  <si>
    <t>Ali Ashraf</t>
  </si>
  <si>
    <t>Three- B</t>
  </si>
  <si>
    <t>0335-4052412  0321-4574052</t>
  </si>
  <si>
    <t>Muhammad Moviz</t>
  </si>
  <si>
    <t>0322-2228279   0322-2228079</t>
  </si>
  <si>
    <t>Muhammad Saim</t>
  </si>
  <si>
    <t>0300-6744071  0333-7069400</t>
  </si>
  <si>
    <t>Muhammad Ahmad Hassan</t>
  </si>
  <si>
    <t>Fee paid upto 1150 April    2025</t>
  </si>
  <si>
    <t>Arham Luqman</t>
  </si>
  <si>
    <t>Muhammad Luqman</t>
  </si>
  <si>
    <t>0321-2888853  0301-2795588</t>
  </si>
  <si>
    <t>M.Saad Rizwan</t>
  </si>
  <si>
    <t>Rizwan Virk</t>
  </si>
  <si>
    <t>0301-4608718</t>
  </si>
  <si>
    <t>Muhammad Faiq Shakeel</t>
  </si>
  <si>
    <t>Abdul Shakeel</t>
  </si>
  <si>
    <t>0305-6916305</t>
  </si>
  <si>
    <t>Syed Muhammad Ahmad Shehzad</t>
  </si>
  <si>
    <t>Syed Shehzad Munir</t>
  </si>
  <si>
    <t>0322-4533898 0322-7599601</t>
  </si>
  <si>
    <t>Muhammad Hadeed</t>
  </si>
  <si>
    <t>0308-7946502</t>
  </si>
  <si>
    <t xml:space="preserve">Khaqan Moazzam </t>
  </si>
  <si>
    <t>Moazzam Ali Bhatti</t>
  </si>
  <si>
    <t>0302-6672745</t>
  </si>
  <si>
    <t>Relief Rs 3000 Session 2025-26</t>
  </si>
  <si>
    <t>Muhammad Burhan Ashraf</t>
  </si>
  <si>
    <t>Muhammad Afzal</t>
  </si>
  <si>
    <t>0332-4740829</t>
  </si>
  <si>
    <t>Ghulam Mustafa</t>
  </si>
  <si>
    <t>Suftan Ali</t>
  </si>
  <si>
    <t>0316-4068756  0307-6497208 0315-6497208</t>
  </si>
  <si>
    <t>0309-6093676  0320-0432484</t>
  </si>
  <si>
    <t>Muhammad Hannan</t>
  </si>
  <si>
    <t>Saqib Israr</t>
  </si>
  <si>
    <t>0305-6369003</t>
  </si>
  <si>
    <t>M. Abdul Rehman Nafees</t>
  </si>
  <si>
    <t>0321-5447614 0310-4001396</t>
  </si>
  <si>
    <t>Muhammad Umair Akram</t>
  </si>
  <si>
    <t>Muhammad Akram</t>
  </si>
  <si>
    <t>0300-4429163 0300-5245591</t>
  </si>
  <si>
    <t>Dawood Javed</t>
  </si>
  <si>
    <t>Javed Anwar</t>
  </si>
  <si>
    <t>0307-1623763 0349-3176905</t>
  </si>
  <si>
    <t>Muhammad Jazim</t>
  </si>
  <si>
    <t>Mansab Ali Bhatti</t>
  </si>
  <si>
    <t>0310-8609786</t>
  </si>
  <si>
    <t>0305-4031208  0307-4914759</t>
  </si>
  <si>
    <t>Muhammad Haroon Babar</t>
  </si>
  <si>
    <t>Muhammad Babar Luqman</t>
  </si>
  <si>
    <t xml:space="preserve">0305-4803193  </t>
  </si>
  <si>
    <t>Hamad Ali</t>
  </si>
  <si>
    <t>Mudassir Ali</t>
  </si>
  <si>
    <t>Muhammad Hashim</t>
  </si>
  <si>
    <t>Hashim Ali</t>
  </si>
  <si>
    <t xml:space="preserve">Farhan Ali </t>
  </si>
  <si>
    <t xml:space="preserve">Allah Rakha </t>
  </si>
  <si>
    <t xml:space="preserve">Ali Asghar </t>
  </si>
  <si>
    <t xml:space="preserve">Abdur Rehman </t>
  </si>
  <si>
    <t>M. Ahmad Naveed</t>
  </si>
  <si>
    <t>M. Shahid Naveed</t>
  </si>
  <si>
    <t>0308-4421765  03345-7076710</t>
  </si>
  <si>
    <t>Darain Abbas</t>
  </si>
  <si>
    <t>Chaman Abbas</t>
  </si>
  <si>
    <t>0305-8746305</t>
  </si>
  <si>
    <t>Muhammad Balaj Hassan</t>
  </si>
  <si>
    <t>Imran Hafeez</t>
  </si>
  <si>
    <t>0301-6565645</t>
  </si>
  <si>
    <t>Hanan Ali Bhatti</t>
  </si>
  <si>
    <t xml:space="preserve">0300-4934975  </t>
  </si>
  <si>
    <t>Muhammad Fasih</t>
  </si>
  <si>
    <t>0309-4956743</t>
  </si>
  <si>
    <t>Saim Bin Waqas</t>
  </si>
  <si>
    <t>Muhammad Waqas</t>
  </si>
  <si>
    <t>0309-5671234     0315-6111007</t>
  </si>
  <si>
    <t xml:space="preserve">Umar Haseeb </t>
  </si>
  <si>
    <t>Haseeb Ahmad</t>
  </si>
  <si>
    <t>0323-3002714  0300-8009040</t>
  </si>
  <si>
    <t>Abraiz Ali</t>
  </si>
  <si>
    <t>Manzoor Tufail</t>
  </si>
  <si>
    <t>0300-4427914  0321-4344976</t>
  </si>
  <si>
    <t>Tayyab Hassan</t>
  </si>
  <si>
    <t>Muhammad Jafar Husain</t>
  </si>
  <si>
    <t>0300-4109699  0300-4605947</t>
  </si>
  <si>
    <t xml:space="preserve">Muhammad Arib </t>
  </si>
  <si>
    <t xml:space="preserve">Muhammad Sarfraz </t>
  </si>
  <si>
    <t>0319-7122491  0326-5318574</t>
  </si>
  <si>
    <t>Muhammad Binyamin Saeed</t>
  </si>
  <si>
    <t xml:space="preserve">Atif Ali </t>
  </si>
  <si>
    <t>Akhtar Hussain</t>
  </si>
  <si>
    <t xml:space="preserve">0300-9486864  0305-4095644 </t>
  </si>
  <si>
    <t xml:space="preserve">Shahryar </t>
  </si>
  <si>
    <t xml:space="preserve">Shahid Iqbal </t>
  </si>
  <si>
    <t xml:space="preserve">Ismaeel Zeeshan </t>
  </si>
  <si>
    <t xml:space="preserve">Muhammad Zeeshan </t>
  </si>
  <si>
    <t>0305-9984737</t>
  </si>
  <si>
    <t>Ibrahim Zeeshan</t>
  </si>
  <si>
    <t>Maida</t>
  </si>
  <si>
    <t>Binya Meen</t>
  </si>
  <si>
    <t>Four-A</t>
  </si>
  <si>
    <t>0312-1409375</t>
  </si>
  <si>
    <t xml:space="preserve">Zahid Siddique </t>
  </si>
  <si>
    <t>0321-6633390</t>
  </si>
  <si>
    <t>Muzayyan Fatima</t>
  </si>
  <si>
    <t>0340-0043686</t>
  </si>
  <si>
    <t>Amna Imran</t>
  </si>
  <si>
    <t>0345-7641432</t>
  </si>
  <si>
    <t xml:space="preserve">Zymal Nasrullah </t>
  </si>
  <si>
    <t>Nasrullah</t>
  </si>
  <si>
    <t>0300-4139347  0300-4139347</t>
  </si>
  <si>
    <t>Fee Paid  Upto July 2024</t>
  </si>
  <si>
    <t>Maheen Fatima</t>
  </si>
  <si>
    <t>Ali Asghar</t>
  </si>
  <si>
    <t>0344-4735500  0343-6045736</t>
  </si>
  <si>
    <t xml:space="preserve">Areesha </t>
  </si>
  <si>
    <t>Muhammad Zubair</t>
  </si>
  <si>
    <t>0346-6000641</t>
  </si>
  <si>
    <t>Mishal Sohail</t>
  </si>
  <si>
    <t>Sohail Afzal</t>
  </si>
  <si>
    <t>0346-8040503</t>
  </si>
  <si>
    <t>Syeda Anaya Fatima</t>
  </si>
  <si>
    <t>Faryal Mozzam</t>
  </si>
  <si>
    <t>Mozzam Ali Bhatti</t>
  </si>
  <si>
    <t xml:space="preserve">  0321-7001310</t>
  </si>
  <si>
    <t>Aatiqa Batool</t>
  </si>
  <si>
    <t>Qamar-ul-Zaman</t>
  </si>
  <si>
    <t>0303-4271214</t>
  </si>
  <si>
    <t>Dua Khalid</t>
  </si>
  <si>
    <t>Khalid Mehmood</t>
  </si>
  <si>
    <t>0300-7174670</t>
  </si>
  <si>
    <t>Iqra</t>
  </si>
  <si>
    <t>Faqeer Hussain</t>
  </si>
  <si>
    <t>0307--5316303</t>
  </si>
  <si>
    <t>Minahil Yasin</t>
  </si>
  <si>
    <t>Yasin Bashir</t>
  </si>
  <si>
    <t>0300-8590330</t>
  </si>
  <si>
    <t>Bareera Fatima</t>
  </si>
  <si>
    <t>Haleema Sadia</t>
  </si>
  <si>
    <t>Pervez Iqbal</t>
  </si>
  <si>
    <t>0303-4319155</t>
  </si>
  <si>
    <t>Eashal Fatima</t>
  </si>
  <si>
    <t>0313-6368836  0307-4276953</t>
  </si>
  <si>
    <t>0333-9785524 0345-9285524</t>
  </si>
  <si>
    <t>Tassawar Hussain</t>
  </si>
  <si>
    <t>Mubarrah Safdar</t>
  </si>
  <si>
    <t>Anum Abbas</t>
  </si>
  <si>
    <t>Ghulam Abbas</t>
  </si>
  <si>
    <t>0346-4042221  0300-5062548</t>
  </si>
  <si>
    <t xml:space="preserve">Fatima Khan </t>
  </si>
  <si>
    <t xml:space="preserve">Adil Badshah </t>
  </si>
  <si>
    <t>0309-5703702   0344-7700473</t>
  </si>
  <si>
    <t xml:space="preserve">Samavia </t>
  </si>
  <si>
    <t xml:space="preserve">Arshia Fatima </t>
  </si>
  <si>
    <t>Ashfaq Ahmad Malik</t>
  </si>
  <si>
    <t>0313-4061944   0332-4874919</t>
  </si>
  <si>
    <t xml:space="preserve">Qandil Zahra </t>
  </si>
  <si>
    <t>Muhammad Usman Tahir</t>
  </si>
  <si>
    <t>0328-5391481    0345-764432</t>
  </si>
  <si>
    <t>fee paid upto june to August 2025</t>
  </si>
  <si>
    <t>Hania Nadir</t>
  </si>
  <si>
    <t>Fizza Kaneez Fatima</t>
  </si>
  <si>
    <t>0300-296668  0343-0755670</t>
  </si>
  <si>
    <t xml:space="preserve">Muhammad Abbas </t>
  </si>
  <si>
    <t xml:space="preserve">Kashaf Zahra </t>
  </si>
  <si>
    <t xml:space="preserve">Tousifurehman </t>
  </si>
  <si>
    <t>0301-7310967  0343-6500152</t>
  </si>
  <si>
    <t>Arfa Ali Akbar</t>
  </si>
  <si>
    <t xml:space="preserve">Ali Akbar </t>
  </si>
  <si>
    <t>Nayab Fatima Raza</t>
  </si>
  <si>
    <t xml:space="preserve">0341-4183123  0300-6513392 </t>
  </si>
  <si>
    <t>Fee Paid ForMay Month 2025</t>
  </si>
  <si>
    <t xml:space="preserve">Mishal Asjad </t>
  </si>
  <si>
    <t>0320-8802240   0302-6429454</t>
  </si>
  <si>
    <t>Fee Paid Octo 2025</t>
  </si>
  <si>
    <t>M. Umar Virk</t>
  </si>
  <si>
    <t>Four-B</t>
  </si>
  <si>
    <t>0300-8300825</t>
  </si>
  <si>
    <t>Abdul Razzaq</t>
  </si>
  <si>
    <t>0313-4368408</t>
  </si>
  <si>
    <t>0308-4279000</t>
  </si>
  <si>
    <t>Muhammad Rajab Subhani</t>
  </si>
  <si>
    <t>0300-4990012</t>
  </si>
  <si>
    <t>Abdul Rafay</t>
  </si>
  <si>
    <t>0309-7949681</t>
  </si>
  <si>
    <t>Muhammad Yousaf</t>
  </si>
  <si>
    <t>0316-4698306</t>
  </si>
  <si>
    <t>Muhammad Afnan Gill</t>
  </si>
  <si>
    <t xml:space="preserve">Tariq Javed </t>
  </si>
  <si>
    <t>0347-9891721</t>
  </si>
  <si>
    <t>Muhammad Ahmad Naseem</t>
  </si>
  <si>
    <t>Muhammad Ameen Iqbal</t>
  </si>
  <si>
    <t>0309-0463534  0309-8410185  0340-6747622</t>
  </si>
  <si>
    <t xml:space="preserve">Shahwaiz Ahmad </t>
  </si>
  <si>
    <t>Hamza Sultani</t>
  </si>
  <si>
    <t>Ali Saifullah</t>
  </si>
  <si>
    <t>0349-8847701</t>
  </si>
  <si>
    <t>Fee increase  Paid october 300 remain october fee 2025</t>
  </si>
  <si>
    <t>Muhammad Faiz</t>
  </si>
  <si>
    <t>0300-8880460 0345-8880460  0324-5674053</t>
  </si>
  <si>
    <t>Muhammad Arif</t>
  </si>
  <si>
    <t>0315-4798873</t>
  </si>
  <si>
    <t>Ali Hadi</t>
  </si>
  <si>
    <t>0305-4031208    0307-7491475</t>
  </si>
  <si>
    <t>Muhammad Mubeen Haider</t>
  </si>
  <si>
    <t>Muhammad Arham</t>
  </si>
  <si>
    <t>0311-4966540</t>
  </si>
  <si>
    <t>Muhammad Hussnain Ilyas</t>
  </si>
  <si>
    <t>0317-4318799</t>
  </si>
  <si>
    <t>Ghulam Mohayudin</t>
  </si>
  <si>
    <t>Falk Sher</t>
  </si>
  <si>
    <t>0322-5834291  0322-4356180  0315-4358180</t>
  </si>
  <si>
    <t>Husnain Awais</t>
  </si>
  <si>
    <t>Awais Riaz</t>
  </si>
  <si>
    <t>0318-8497758  0307-6490347</t>
  </si>
  <si>
    <t>Muhammad Muneeb</t>
  </si>
  <si>
    <t>H.Faisal Serfraz</t>
  </si>
  <si>
    <t>Ali Hamza</t>
  </si>
  <si>
    <t>0305-5718980  0300-8824091</t>
  </si>
  <si>
    <t>M.Hasnat Mudassar</t>
  </si>
  <si>
    <t>Ali Iqbal</t>
  </si>
  <si>
    <t>Adnan Muddassar</t>
  </si>
  <si>
    <t>0300-4436618</t>
  </si>
  <si>
    <t>Muhammad Faseeh Malik</t>
  </si>
  <si>
    <t>0313-061944   0332-4874919</t>
  </si>
  <si>
    <t>Fee paid upto August 2024</t>
  </si>
  <si>
    <t>Muhammad Hassan</t>
  </si>
  <si>
    <t xml:space="preserve">Umar Zia </t>
  </si>
  <si>
    <t>Muhammad Huzaifa Hassan</t>
  </si>
  <si>
    <t xml:space="preserve">Zahid Hussain </t>
  </si>
  <si>
    <t>0300-4477973</t>
  </si>
  <si>
    <t>Muhammad Saqib</t>
  </si>
  <si>
    <t>Four- C</t>
  </si>
  <si>
    <t>0348-1815140  0314-6964819</t>
  </si>
  <si>
    <t>Muhammad Sayyam</t>
  </si>
  <si>
    <t xml:space="preserve">Abdul Hanan </t>
  </si>
  <si>
    <t>0321-5444060</t>
  </si>
  <si>
    <t>0302-6450768</t>
  </si>
  <si>
    <t>Muhammad Azam</t>
  </si>
  <si>
    <t>0335-4147265</t>
  </si>
  <si>
    <t>Ali Raza Yasir</t>
  </si>
  <si>
    <t>0331-4887387  0322-5628125</t>
  </si>
  <si>
    <t>Muhammad Zaid</t>
  </si>
  <si>
    <t>Nisar Miran</t>
  </si>
  <si>
    <t>0307-5316303</t>
  </si>
  <si>
    <t>0344-6606100</t>
  </si>
  <si>
    <t>Duaa Fatima</t>
  </si>
  <si>
    <t>0301-6674479</t>
  </si>
  <si>
    <t>Noor Fatima</t>
  </si>
  <si>
    <t>0316-4068756  0320-0432484  0307-6497208</t>
  </si>
  <si>
    <t>Isma Noor</t>
  </si>
  <si>
    <t>Muhammad Yaseen</t>
  </si>
  <si>
    <t>Chashman Fatima</t>
  </si>
  <si>
    <t>Muhammad Javaid</t>
  </si>
  <si>
    <t xml:space="preserve">Muhammad Hafeez </t>
  </si>
  <si>
    <t>0307-5494118 0318-4268230</t>
  </si>
  <si>
    <t>Muhammad Adeeb</t>
  </si>
  <si>
    <t>0311-4026043  0321-9319786</t>
  </si>
  <si>
    <t>Areesha Naveed</t>
  </si>
  <si>
    <t>0306-4117476</t>
  </si>
  <si>
    <t>Rameen Wadood</t>
  </si>
  <si>
    <t>Atta-ul-Waood</t>
  </si>
  <si>
    <t>0321-3607067  0323-9613143</t>
  </si>
  <si>
    <t>Dua-i-Zahra</t>
  </si>
  <si>
    <t>Muhammad Akmal</t>
  </si>
  <si>
    <t>0300-4123619  0310-4238009</t>
  </si>
  <si>
    <t>0306-0653989  0334-4106851</t>
  </si>
  <si>
    <t>Kashif Zulifqar</t>
  </si>
  <si>
    <t>Rs60 of summer work</t>
  </si>
  <si>
    <t xml:space="preserve">Zain Mustafa </t>
  </si>
  <si>
    <t>Atta-ul-Mustafa</t>
  </si>
  <si>
    <t>0349-4109449  0322-5158472</t>
  </si>
  <si>
    <t>Zarkhan Imran</t>
  </si>
  <si>
    <t>Imran Ali Virk</t>
  </si>
  <si>
    <t>0306-42357966</t>
  </si>
  <si>
    <t>Meerab Farooq</t>
  </si>
  <si>
    <t>Faqia Farooq</t>
  </si>
  <si>
    <t>0334-9835662  0309-4006543</t>
  </si>
  <si>
    <t>Ahmad Murtaza Khan</t>
  </si>
  <si>
    <t>Mansoor Aziz Khan</t>
  </si>
  <si>
    <t>0324-8484547   0324-8469363</t>
  </si>
  <si>
    <t xml:space="preserve">Muhammad Saad Ullah </t>
  </si>
  <si>
    <t>Muhammad Arshad Ali</t>
  </si>
  <si>
    <t>0346-6329379  0303-7761972</t>
  </si>
  <si>
    <t xml:space="preserve">Muhammad Ansar </t>
  </si>
  <si>
    <t>Fee paid upto April to October 2025-26</t>
  </si>
  <si>
    <t xml:space="preserve">Nauman Ahmad </t>
  </si>
  <si>
    <t>Haram Ehsan</t>
  </si>
  <si>
    <t>Ehsan Ali Virk</t>
  </si>
  <si>
    <t>0301-4218473</t>
  </si>
  <si>
    <t>Fee Paid For April Month 2025</t>
  </si>
  <si>
    <t>Sakhi Muhammad Kashf Ul Arifeen</t>
  </si>
  <si>
    <t xml:space="preserve">Muhammad Atif Khalil </t>
  </si>
  <si>
    <t>0342-5084282</t>
  </si>
  <si>
    <t xml:space="preserve">Asmatullah </t>
  </si>
  <si>
    <t>0307-6362618  0332-6362618</t>
  </si>
  <si>
    <t>Farman Ali</t>
  </si>
  <si>
    <t>Naveed Ahmad Sikandar</t>
  </si>
  <si>
    <t>0301-3968528</t>
  </si>
  <si>
    <t>Mahab Akram</t>
  </si>
  <si>
    <t>Five-A</t>
  </si>
  <si>
    <t>0300-4429163</t>
  </si>
  <si>
    <t>Irha Nisar</t>
  </si>
  <si>
    <t xml:space="preserve">Nisar Meeran </t>
  </si>
  <si>
    <t>03O7-5316303</t>
  </si>
  <si>
    <t>Ayera Yasin</t>
  </si>
  <si>
    <t>Muhammad Yasin</t>
  </si>
  <si>
    <t>0301-1594488</t>
  </si>
  <si>
    <t>Tahreem Fatima</t>
  </si>
  <si>
    <t>0300-7086471  0321-4638180</t>
  </si>
  <si>
    <t>Pakiza Fatima</t>
  </si>
  <si>
    <t>0323-4642649</t>
  </si>
  <si>
    <t>Umm-e-Rooman</t>
  </si>
  <si>
    <t>Khadija Hussain Abid</t>
  </si>
  <si>
    <t>Nabiha Zahoor</t>
  </si>
  <si>
    <t>Zahoor Ahmad</t>
  </si>
  <si>
    <t>0321-7165016</t>
  </si>
  <si>
    <t>Bisma Tahir</t>
  </si>
  <si>
    <t>Fee paid upto 2300 April 2025</t>
  </si>
  <si>
    <t xml:space="preserve">Anabia Muzammal </t>
  </si>
  <si>
    <t>Zariya Umar</t>
  </si>
  <si>
    <t>Muhammad Umar</t>
  </si>
  <si>
    <t>0321-6490565</t>
  </si>
  <si>
    <t>Huda Fatima</t>
  </si>
  <si>
    <t>0333-3284040</t>
  </si>
  <si>
    <t>Zoha</t>
  </si>
  <si>
    <t>Rafaqat Ali</t>
  </si>
  <si>
    <t xml:space="preserve">   0322-7251006  0321-7034369</t>
  </si>
  <si>
    <t>Abeera Saif</t>
  </si>
  <si>
    <t>Saifullah</t>
  </si>
  <si>
    <t>0334-4962541</t>
  </si>
  <si>
    <t>Areeba Fatima</t>
  </si>
  <si>
    <t>0316-4068756 0324-8406817  0326-0432484</t>
  </si>
  <si>
    <t>Hijab Zahra</t>
  </si>
  <si>
    <t xml:space="preserve">Muhammad Nasrullah </t>
  </si>
  <si>
    <t xml:space="preserve">Fee paid for October 2024 </t>
  </si>
  <si>
    <t>Hamna Ashraf</t>
  </si>
  <si>
    <t xml:space="preserve">Ali Ashraf </t>
  </si>
  <si>
    <t>0335-4052412</t>
  </si>
  <si>
    <t>Falak Shair</t>
  </si>
  <si>
    <t>0319-0601811</t>
  </si>
  <si>
    <t>Ruman Fatima</t>
  </si>
  <si>
    <t>Masroor Saeed</t>
  </si>
  <si>
    <t>Saman Naveed</t>
  </si>
  <si>
    <t>0300-4723188 0349-6920415</t>
  </si>
  <si>
    <t>Dameesha Shakeel</t>
  </si>
  <si>
    <t xml:space="preserve">Shakeel Ahmad </t>
  </si>
  <si>
    <t>0333-4762159  0334-4762159</t>
  </si>
  <si>
    <t>Aroosh Fatima</t>
  </si>
  <si>
    <t>0307-4030447 0321-4030447</t>
  </si>
  <si>
    <t>Aleeha Faisal</t>
  </si>
  <si>
    <t>Zoya Hassan</t>
  </si>
  <si>
    <t>Hassan Khursheed</t>
  </si>
  <si>
    <t>0301-2260078 - 0326-4900644</t>
  </si>
  <si>
    <t>0343-5292924  0347-8698345</t>
  </si>
  <si>
    <t xml:space="preserve">Hadia </t>
  </si>
  <si>
    <t>0300-6587216</t>
  </si>
  <si>
    <t>Rahina Attique</t>
  </si>
  <si>
    <t>Attiq-ur- Rehman</t>
  </si>
  <si>
    <t>Mutiba Maqbool</t>
  </si>
  <si>
    <t>Muhammad Maqbool</t>
  </si>
  <si>
    <t>0345-8338136  0306-9604414</t>
  </si>
  <si>
    <t>Fee Paid Upto April 2025</t>
  </si>
  <si>
    <t>Anaya Noor</t>
  </si>
  <si>
    <t>M.Saleem Akhtar</t>
  </si>
  <si>
    <t>0340-1487140</t>
  </si>
  <si>
    <t>Ayesha Zahid</t>
  </si>
  <si>
    <t>Zahid Farooq</t>
  </si>
  <si>
    <t>0333-4563348  0304-9684780</t>
  </si>
  <si>
    <t xml:space="preserve">Ellaf Asif </t>
  </si>
  <si>
    <t>Rimal Fatimal</t>
  </si>
  <si>
    <t>0333-4765193</t>
  </si>
  <si>
    <t>Farheen Akhtar</t>
  </si>
  <si>
    <t>Naeem Akhtar</t>
  </si>
  <si>
    <t>0300-7990914 0313-7990914</t>
  </si>
  <si>
    <t>800 Fee Paid Upto July 2025</t>
  </si>
  <si>
    <t>Zainab Irfan</t>
  </si>
  <si>
    <t xml:space="preserve">Mahnoor Fatima </t>
  </si>
  <si>
    <t>Hussain Sarwar</t>
  </si>
  <si>
    <t>Naveed Sarwar</t>
  </si>
  <si>
    <t>Five -B</t>
  </si>
  <si>
    <t>0318-4061539</t>
  </si>
  <si>
    <t>Ahmad Raza</t>
  </si>
  <si>
    <t>0333-7069400</t>
  </si>
  <si>
    <t>Altaf Hussain</t>
  </si>
  <si>
    <t>0307-4578707</t>
  </si>
  <si>
    <t>Muhammad Mushtaq</t>
  </si>
  <si>
    <t>0300-4864308</t>
  </si>
  <si>
    <t>Hanzla Luqman</t>
  </si>
  <si>
    <t>Luqman Anyat</t>
  </si>
  <si>
    <t>0307-7878851</t>
  </si>
  <si>
    <t>Muhammad Farqan</t>
  </si>
  <si>
    <t>Muhammad Anwar</t>
  </si>
  <si>
    <t>0342-2850739  0341-9392643</t>
  </si>
  <si>
    <t>Abid Shakoor</t>
  </si>
  <si>
    <t>Shakoor Ahmad</t>
  </si>
  <si>
    <t>0307-1626734</t>
  </si>
  <si>
    <t>Muhammad Saad</t>
  </si>
  <si>
    <t>Muhammad Rafique</t>
  </si>
  <si>
    <t>0333-4915145</t>
  </si>
  <si>
    <t>Muhammad Yahya</t>
  </si>
  <si>
    <t xml:space="preserve">Muhammad Razwan </t>
  </si>
  <si>
    <t xml:space="preserve"> 0301-4608718</t>
  </si>
  <si>
    <t>Zurain Ammar</t>
  </si>
  <si>
    <t>Junaid Ammar</t>
  </si>
  <si>
    <t>0300-9462476</t>
  </si>
  <si>
    <t>Haras Manzoor Masih</t>
  </si>
  <si>
    <t>0342-4603023</t>
  </si>
  <si>
    <t>Fee paid uto August 2025</t>
  </si>
  <si>
    <t>Muhammad Hamid</t>
  </si>
  <si>
    <t>0302-4861574  0332-4006412</t>
  </si>
  <si>
    <t>Muhammad Danish</t>
  </si>
  <si>
    <t xml:space="preserve">Tariq Jameel </t>
  </si>
  <si>
    <t>0300-4709587</t>
  </si>
  <si>
    <t>Muhammad Hadi</t>
  </si>
  <si>
    <t>Muhammad Amir</t>
  </si>
  <si>
    <t>Alyan Amir</t>
  </si>
  <si>
    <t>0332-4006412</t>
  </si>
  <si>
    <t>Muhammad Shafay</t>
  </si>
  <si>
    <t>Nouman Saeed</t>
  </si>
  <si>
    <t>Muhammad Shahwaiz</t>
  </si>
  <si>
    <t>Yaseen Bashir</t>
  </si>
  <si>
    <t>Ibrahim Naveed</t>
  </si>
  <si>
    <t xml:space="preserve">0300-4723188 </t>
  </si>
  <si>
    <t>Muhammad Hanzala Tahir</t>
  </si>
  <si>
    <t>0313-4874542  0344-0651101  0347-1699599 (w)</t>
  </si>
  <si>
    <t>Haroon Hassan</t>
  </si>
  <si>
    <t>Rana Muhammad Amman Sohail</t>
  </si>
  <si>
    <t>FEE PAID UPTO SEPT 2024</t>
  </si>
  <si>
    <t>Qaisar Abbas</t>
  </si>
  <si>
    <t>0341-7221915</t>
  </si>
  <si>
    <t>Muhammad Shahzad</t>
  </si>
  <si>
    <t>0344-4782824  0300-4321796</t>
  </si>
  <si>
    <t>M.Talha Mudassar</t>
  </si>
  <si>
    <t>M.Mudassar Bashir</t>
  </si>
  <si>
    <t>Fee paid  upto  July.2024</t>
  </si>
  <si>
    <t>M. Abdullah Kamran</t>
  </si>
  <si>
    <t>Kamran Raza</t>
  </si>
  <si>
    <t>0321-4500025   03215600053</t>
  </si>
  <si>
    <t>M . Abdul Rehman</t>
  </si>
  <si>
    <t xml:space="preserve">Mushtaq Ali </t>
  </si>
  <si>
    <t>0345-6411829   0300-6411829</t>
  </si>
  <si>
    <t xml:space="preserve">Alyan Saif </t>
  </si>
  <si>
    <t>Habibullah Chattah</t>
  </si>
  <si>
    <t>0312-6037051</t>
  </si>
  <si>
    <t>Fee paid upto December 2024</t>
  </si>
  <si>
    <t xml:space="preserve">Ayan Faisal </t>
  </si>
  <si>
    <t>Faisal Iqbal</t>
  </si>
  <si>
    <t>0329-8720648  0300-7534686</t>
  </si>
  <si>
    <t>Naveed Ali</t>
  </si>
  <si>
    <t>Nayaz Ali</t>
  </si>
  <si>
    <t>0308-4164658  0341-0407434</t>
  </si>
  <si>
    <t>Ahsan Ali</t>
  </si>
  <si>
    <t>Muneeb Ul Rehman</t>
  </si>
  <si>
    <t>Rashid Mehmood</t>
  </si>
  <si>
    <t>0320-4575524  0326-4452909</t>
  </si>
  <si>
    <t>Muhammad Kamran Zahid</t>
  </si>
  <si>
    <t>Muhammad Zahid  Munir</t>
  </si>
  <si>
    <t>0335-4169319  0321-4257120</t>
  </si>
  <si>
    <t xml:space="preserve">Faseeh Haider </t>
  </si>
  <si>
    <t xml:space="preserve">M.Raheem Akhtar </t>
  </si>
  <si>
    <t>0300-7990914  0313-7990914</t>
  </si>
  <si>
    <t xml:space="preserve">Abdul Rafay </t>
  </si>
  <si>
    <t>Atteeq Ur Rehman</t>
  </si>
  <si>
    <t>0302-8474714</t>
  </si>
  <si>
    <t xml:space="preserve">Massawar Ahmad </t>
  </si>
  <si>
    <t xml:space="preserve">0341-4525257 0301-4215554  </t>
  </si>
  <si>
    <t xml:space="preserve">Rai Hassan Mujtaba </t>
  </si>
  <si>
    <t xml:space="preserve">0300-8852827  0305-7986871 </t>
  </si>
  <si>
    <t>Abdul Sufian</t>
  </si>
  <si>
    <t>Fee and fund paid upto September 2025</t>
  </si>
  <si>
    <t>0345-1241135  0345-4186114</t>
  </si>
  <si>
    <t>Dania Arshad</t>
  </si>
  <si>
    <t>Arshad Iqbal</t>
  </si>
  <si>
    <t>Six-A (Ayesha)</t>
  </si>
  <si>
    <t>0304-4861262</t>
  </si>
  <si>
    <t>Sadia Halima</t>
  </si>
  <si>
    <t>Esha Irfan</t>
  </si>
  <si>
    <t>Muhammad Irfan Dhilon</t>
  </si>
  <si>
    <t>0334-4223033  0334-9835662</t>
  </si>
  <si>
    <t>Faiza Sultan</t>
  </si>
  <si>
    <t>Sultan Ahmad</t>
  </si>
  <si>
    <t>0310-4549605</t>
  </si>
  <si>
    <t>Fee  paid upto July,2024</t>
  </si>
  <si>
    <t>Arfa Bukhari</t>
  </si>
  <si>
    <t>Syed Tabassum Bukhari</t>
  </si>
  <si>
    <t>Zimal Shabbir</t>
  </si>
  <si>
    <t>0315-4024305</t>
  </si>
  <si>
    <t>0335-4132620  0333-0447522</t>
  </si>
  <si>
    <t>Ume e Rubab</t>
  </si>
  <si>
    <t>0307-4900129  0304-1783462</t>
  </si>
  <si>
    <t>Fajar Ashraf</t>
  </si>
  <si>
    <t xml:space="preserve">  0308-5871370</t>
  </si>
  <si>
    <t>Um-e-Aiman</t>
  </si>
  <si>
    <t>0301-4114650 (w)</t>
  </si>
  <si>
    <t>Fizza Fatima</t>
  </si>
  <si>
    <t>Naseem-ul-Hassan Shah</t>
  </si>
  <si>
    <t>0303-0146832  0335-4636994</t>
  </si>
  <si>
    <t>Maria Amanullah</t>
  </si>
  <si>
    <t>Amanullah Khan</t>
  </si>
  <si>
    <t>0300-4130264  0345-6310055</t>
  </si>
  <si>
    <t>Anaya Asif</t>
  </si>
  <si>
    <t xml:space="preserve">Saman Khan </t>
  </si>
  <si>
    <t>Adan Gulzar</t>
  </si>
  <si>
    <t>Gulzar Ahmad</t>
  </si>
  <si>
    <t>0307-6492549</t>
  </si>
  <si>
    <t xml:space="preserve">Aroosh </t>
  </si>
  <si>
    <t>0300-4934975</t>
  </si>
  <si>
    <t>Eman Akbar</t>
  </si>
  <si>
    <t>Muhammad Akbar</t>
  </si>
  <si>
    <t>0322-7164029</t>
  </si>
  <si>
    <t>Hijab Akbar</t>
  </si>
  <si>
    <t xml:space="preserve">Khadija Abid </t>
  </si>
  <si>
    <t>0343-5868838  0323-7509352</t>
  </si>
  <si>
    <t xml:space="preserve">Ayesha Murtaza </t>
  </si>
  <si>
    <t>Ghulam Murtaza</t>
  </si>
  <si>
    <t>0300-7534686   0303-4414798</t>
  </si>
  <si>
    <t>Muhammad Saddique</t>
  </si>
  <si>
    <t>0307-6994291  0305-4413158</t>
  </si>
  <si>
    <t>0337-7055503  0345-6305552</t>
  </si>
  <si>
    <t>Eshal Ehsan</t>
  </si>
  <si>
    <t>Ehsan Haq</t>
  </si>
  <si>
    <t>0321-7277080 0325-8118280</t>
  </si>
  <si>
    <t>Ayesha Talib</t>
  </si>
  <si>
    <t>Six-A (Fatima)</t>
  </si>
  <si>
    <t>0333-4069134 (w)</t>
  </si>
  <si>
    <t>Daresha</t>
  </si>
  <si>
    <t>Babar Khalil</t>
  </si>
  <si>
    <t>0300-4320187</t>
  </si>
  <si>
    <t>Zainab Bint-e- Umer</t>
  </si>
  <si>
    <t>Muhammad Umer Razzaq Virk</t>
  </si>
  <si>
    <t>0333-4999961  0301-4857719</t>
  </si>
  <si>
    <t>Muhammad  Irfan</t>
  </si>
  <si>
    <t>334-9835612  0301-6674479</t>
  </si>
  <si>
    <t>Abeeha Shahzadi</t>
  </si>
  <si>
    <t>Hadiya Faryad Ali</t>
  </si>
  <si>
    <t>Muhammad Ejaz</t>
  </si>
  <si>
    <t>0302-4620536</t>
  </si>
  <si>
    <t>Hamna Shahzadi</t>
  </si>
  <si>
    <t>Ghaffar Ahmad</t>
  </si>
  <si>
    <t>0312-4344747</t>
  </si>
  <si>
    <t>Isha Fatima</t>
  </si>
  <si>
    <t>0309-8304657 0322-7208334  0309-8304657</t>
  </si>
  <si>
    <t>Fee paid  upto  Feb.2025</t>
  </si>
  <si>
    <t>Zumar Qundeel</t>
  </si>
  <si>
    <t>Saifur Rehman Virk</t>
  </si>
  <si>
    <t>03478017904  -  0341-4375610</t>
  </si>
  <si>
    <t>Tayyaba Ilyas</t>
  </si>
  <si>
    <t>Arooj Fatima</t>
  </si>
  <si>
    <t>0320-4309401  0344-0466704</t>
  </si>
  <si>
    <t>Malika Naseem</t>
  </si>
  <si>
    <t xml:space="preserve">Hira Batool </t>
  </si>
  <si>
    <t xml:space="preserve">Rumman Ahmad </t>
  </si>
  <si>
    <t>0345-5111696   0331-433996</t>
  </si>
  <si>
    <t>Ayat Imran</t>
  </si>
  <si>
    <t>0306-4357966</t>
  </si>
  <si>
    <t>Fee paid up to August,24</t>
  </si>
  <si>
    <t xml:space="preserve">Amna Ikram </t>
  </si>
  <si>
    <t>Muhammad Ikram</t>
  </si>
  <si>
    <t>Ume Habiba</t>
  </si>
  <si>
    <t>Fiaz Ahmad</t>
  </si>
  <si>
    <t>0325-4134818</t>
  </si>
  <si>
    <t>Khadija-tul-Kubra</t>
  </si>
  <si>
    <t>0300-4010820  0348-7364073</t>
  </si>
  <si>
    <t xml:space="preserve">Maheen Shahid Khan </t>
  </si>
  <si>
    <t>Muhammad Shahid Mehmood</t>
  </si>
  <si>
    <t>0332-4373963</t>
  </si>
  <si>
    <t>Fee paid upto March 2025-26</t>
  </si>
  <si>
    <t xml:space="preserve">Meerab Sharafat </t>
  </si>
  <si>
    <t>0344-6424723  0342-340000</t>
  </si>
  <si>
    <t xml:space="preserve">Mubeen Fatima </t>
  </si>
  <si>
    <t xml:space="preserve">Riaz Ahmad </t>
  </si>
  <si>
    <t>0323-1718499  0301-5568311</t>
  </si>
  <si>
    <t>Fee and MIcspaid upto May 2025-26</t>
  </si>
  <si>
    <t xml:space="preserve">Areeba Zeeshan </t>
  </si>
  <si>
    <t xml:space="preserve">Six -B </t>
  </si>
  <si>
    <t>Sultan Ali</t>
  </si>
  <si>
    <t>0345-6318391</t>
  </si>
  <si>
    <t>Fee paid upto July, 2024</t>
  </si>
  <si>
    <t>Matthew Manzoor</t>
  </si>
  <si>
    <t>Fee paid upto August2025</t>
  </si>
  <si>
    <t>M. Ahmar</t>
  </si>
  <si>
    <t>Sehram Ali</t>
  </si>
  <si>
    <t>0314-69644818</t>
  </si>
  <si>
    <t>Rohan Ali</t>
  </si>
  <si>
    <t>0303-4242223</t>
  </si>
  <si>
    <t>Asif Nazir</t>
  </si>
  <si>
    <t>056-3793540  0331-4282773</t>
  </si>
  <si>
    <t>M. Abdul Moeez</t>
  </si>
  <si>
    <t>Muhammad Imran Kamboh</t>
  </si>
  <si>
    <t>Muhamamd Ahmad</t>
  </si>
  <si>
    <t>0315-6641175  0321-7165016</t>
  </si>
  <si>
    <t>M. Faizan</t>
  </si>
  <si>
    <t>Mian Khan</t>
  </si>
  <si>
    <t>0332-6339852</t>
  </si>
  <si>
    <t>Muhammad Islam</t>
  </si>
  <si>
    <t>0307-4781337</t>
  </si>
  <si>
    <t>Syed Mesum Abbas Rizvi</t>
  </si>
  <si>
    <t>Syed Asghar Abbas Turmzi</t>
  </si>
  <si>
    <t xml:space="preserve"> 0324-9085348</t>
  </si>
  <si>
    <t>Fee deposited upto Sept to December (2025)</t>
  </si>
  <si>
    <t>Aryan Muzaffar</t>
  </si>
  <si>
    <t>0344-6605611</t>
  </si>
  <si>
    <t>Muhammad bin Junaid</t>
  </si>
  <si>
    <t>Taha Sohail</t>
  </si>
  <si>
    <t>0323-3586080</t>
  </si>
  <si>
    <t>Abdul Shafey Shahid</t>
  </si>
  <si>
    <t>Shahid Rafiq</t>
  </si>
  <si>
    <t>0332-4008498</t>
  </si>
  <si>
    <t>Muhammad Haseeb Waseem</t>
  </si>
  <si>
    <t xml:space="preserve">Muhammad Waseem Luqman </t>
  </si>
  <si>
    <t>0346-8427849</t>
  </si>
  <si>
    <t>Muhammad Afnan Ashraf</t>
  </si>
  <si>
    <t>Muhammad Abeel</t>
  </si>
  <si>
    <t>Muhammad Huzaifa Umar</t>
  </si>
  <si>
    <t xml:space="preserve">0301-4746910  </t>
  </si>
  <si>
    <t>Muhammad Farhan</t>
  </si>
  <si>
    <t xml:space="preserve">  0332-6339852</t>
  </si>
  <si>
    <t>Muhammad Hashim Hassan</t>
  </si>
  <si>
    <t>0301-2260078  -   0326-4900645</t>
  </si>
  <si>
    <t>Ghafoor Ahmad</t>
  </si>
  <si>
    <t>0340-0236459</t>
  </si>
  <si>
    <t>Muhammad Amaz Bukhari</t>
  </si>
  <si>
    <t>Syed Mubashir  Hussain Shah</t>
  </si>
  <si>
    <t>Sabyyal Saleem</t>
  </si>
  <si>
    <t>Muhammad Saleem</t>
  </si>
  <si>
    <t>0345-6314890  0346-6000815</t>
  </si>
  <si>
    <t>Mirza Muhammad Shazil Baig</t>
  </si>
  <si>
    <t>Mirza Waqas Aziz Baig</t>
  </si>
  <si>
    <t>0323-4400956</t>
  </si>
  <si>
    <t>Ayyan Bin Faisal</t>
  </si>
  <si>
    <t>H.Faisal Sarfraz</t>
  </si>
  <si>
    <t xml:space="preserve"> 0333-4020844</t>
  </si>
  <si>
    <t>0342-4150963</t>
  </si>
  <si>
    <t xml:space="preserve">Mahad Zulfiqar </t>
  </si>
  <si>
    <t xml:space="preserve">Zulfiqar Ahmad </t>
  </si>
  <si>
    <t>0313-4381270   0313-4501662</t>
  </si>
  <si>
    <t>Alyan Tahir</t>
  </si>
  <si>
    <t xml:space="preserve">Muhammad  Usman Tahir </t>
  </si>
  <si>
    <t>0300-4837400</t>
  </si>
  <si>
    <t xml:space="preserve">Sheharyar </t>
  </si>
  <si>
    <t>Zafar Iqbal</t>
  </si>
  <si>
    <t xml:space="preserve">  0311-4348862 0329-4413698 0347-6667961</t>
  </si>
  <si>
    <t>Qamar Husain</t>
  </si>
  <si>
    <t>Muzammal Hussain</t>
  </si>
  <si>
    <t xml:space="preserve">0345-6361134  0322-4095309 </t>
  </si>
  <si>
    <t xml:space="preserve">Muhammad Hassan Ahmad </t>
  </si>
  <si>
    <t xml:space="preserve">Muhammad Nadeem Ahmad </t>
  </si>
  <si>
    <t>0334-1714419   0336-4969423</t>
  </si>
  <si>
    <t>Habib Ur Rehman</t>
  </si>
  <si>
    <t>M.Tasneem Attiq Ur Rehman</t>
  </si>
  <si>
    <t>0300-4742446  0320-4742446</t>
  </si>
  <si>
    <t>Fee and fund paid for April 2025</t>
  </si>
  <si>
    <t>Zain Ul Abedin</t>
  </si>
  <si>
    <t xml:space="preserve">Rehman Ali </t>
  </si>
  <si>
    <t xml:space="preserve">Muhammad Nawaz </t>
  </si>
  <si>
    <t>0325-9692180  0328-4139329</t>
  </si>
  <si>
    <t>Fee and fund paid for june 2025</t>
  </si>
  <si>
    <t>Qasim Ali</t>
  </si>
  <si>
    <t>0334-9815103  0348-4882026</t>
  </si>
  <si>
    <t>Fee paid forMay 2025</t>
  </si>
  <si>
    <t>Aemin Fatima</t>
  </si>
  <si>
    <t>Seven-A</t>
  </si>
  <si>
    <t>0345-4200651</t>
  </si>
  <si>
    <t>Sheza Nawaz</t>
  </si>
  <si>
    <t>0301-4182431  0316-4698306</t>
  </si>
  <si>
    <t>Dua Muazzam</t>
  </si>
  <si>
    <t>Muazzam Ali Bhatti</t>
  </si>
  <si>
    <t>0302-6672745  0321-7001310</t>
  </si>
  <si>
    <t>Iman Fatima</t>
  </si>
  <si>
    <t>Muhammad Irshad</t>
  </si>
  <si>
    <t>0305-9656532  0301-</t>
  </si>
  <si>
    <t>Maryam Hussain Abid</t>
  </si>
  <si>
    <t>Bazigah Batool</t>
  </si>
  <si>
    <t>M. Ameen Iqbal</t>
  </si>
  <si>
    <t>0340-3402890  0309-8410185</t>
  </si>
  <si>
    <t>Zikra Nesar</t>
  </si>
  <si>
    <t>Nesar Miran</t>
  </si>
  <si>
    <t>0300-4254009  0307-5316303</t>
  </si>
  <si>
    <t>Adan Muzaffer</t>
  </si>
  <si>
    <t>Muzaffer Hussain</t>
  </si>
  <si>
    <t>Merab Fatima</t>
  </si>
  <si>
    <t>0304-6000641</t>
  </si>
  <si>
    <t>Asma Irfan</t>
  </si>
  <si>
    <t>Muhammad Irfan Yousaf</t>
  </si>
  <si>
    <t>0302-4144661</t>
  </si>
  <si>
    <t>Liza Sohail</t>
  </si>
  <si>
    <t>Sohail Saleem</t>
  </si>
  <si>
    <t>0347-4733325  0321-4124881</t>
  </si>
  <si>
    <t>Fee paid April to June 2025</t>
  </si>
  <si>
    <t>Syeda Eman Fatima</t>
  </si>
  <si>
    <t>Zainab Sarfraz</t>
  </si>
  <si>
    <t>M. Sarfraz Khan</t>
  </si>
  <si>
    <t>Fajar Imran</t>
  </si>
  <si>
    <t>Hareem Javed</t>
  </si>
  <si>
    <t xml:space="preserve"> Javed Anwar</t>
  </si>
  <si>
    <t xml:space="preserve"> 0349-3176905 0307-1623763  0307-1623763</t>
  </si>
  <si>
    <t>Madiha Arshad</t>
  </si>
  <si>
    <t>0332-8199372 0300-4485273  0341-1412672</t>
  </si>
  <si>
    <t>0310-2398909  0327-0932090</t>
  </si>
  <si>
    <t xml:space="preserve">Masooma Shahid </t>
  </si>
  <si>
    <t>0345-4877292  0300-4179266</t>
  </si>
  <si>
    <t xml:space="preserve">Adan Fatima </t>
  </si>
  <si>
    <t xml:space="preserve">Um-e-Ammarah </t>
  </si>
  <si>
    <t xml:space="preserve">Sakhawat Ali </t>
  </si>
  <si>
    <t>0307-4022846   0303-4040398</t>
  </si>
  <si>
    <t xml:space="preserve">Tuffasal Hussain </t>
  </si>
  <si>
    <t>0300-1822818</t>
  </si>
  <si>
    <t>Musfirah Shahzadi</t>
  </si>
  <si>
    <t>Shabbir Hussain</t>
  </si>
  <si>
    <t>0300-8139963  0345-6306230</t>
  </si>
  <si>
    <t xml:space="preserve">Zainab Talat </t>
  </si>
  <si>
    <t>Talat Rasool</t>
  </si>
  <si>
    <t>0344-4754841  0300-4754841</t>
  </si>
  <si>
    <t>Kanzul Eman</t>
  </si>
  <si>
    <t>Muhammad Ramzan</t>
  </si>
  <si>
    <t>0300-7291730</t>
  </si>
  <si>
    <t>Hifza Tariq</t>
  </si>
  <si>
    <t>0300-4852408</t>
  </si>
  <si>
    <t>0307-4022846</t>
  </si>
  <si>
    <t>Nafeesa Touseef</t>
  </si>
  <si>
    <t>Toseer-ur-Rehman</t>
  </si>
  <si>
    <t>0343-6500152  0301-7310967</t>
  </si>
  <si>
    <t xml:space="preserve">Fiza Fatima </t>
  </si>
  <si>
    <t>Imran Rafique</t>
  </si>
  <si>
    <t>0308-4329084  0302-4031829</t>
  </si>
  <si>
    <t xml:space="preserve">Hania Malala </t>
  </si>
  <si>
    <t>Mujahid Ali Virk</t>
  </si>
  <si>
    <t>0340-3709536  0300-4746984</t>
  </si>
  <si>
    <t xml:space="preserve">Irtiqa Kamran </t>
  </si>
  <si>
    <t>Asif Kamran Butt</t>
  </si>
  <si>
    <t>0333-4025964 0301-4930176 0305-4384708</t>
  </si>
  <si>
    <t xml:space="preserve">Arooj Sajid </t>
  </si>
  <si>
    <t xml:space="preserve">Muhammad Sajid Munir </t>
  </si>
  <si>
    <t>0331-0040620  0303-4298753</t>
  </si>
  <si>
    <t xml:space="preserve">Hadia Nawaz </t>
  </si>
  <si>
    <t>0319-4692427</t>
  </si>
  <si>
    <t>Hadia Fatima Raza</t>
  </si>
  <si>
    <t>Anil Raza</t>
  </si>
  <si>
    <t>0345-4183123  0300-6513392</t>
  </si>
  <si>
    <t>Fee and Misc paid upto May 2025</t>
  </si>
  <si>
    <t xml:space="preserve">Kisa Fatima </t>
  </si>
  <si>
    <t>Fee and Misc Paid upto September 2025</t>
  </si>
  <si>
    <t>Shehar Bano</t>
  </si>
  <si>
    <t xml:space="preserve">Ahmad Hussain </t>
  </si>
  <si>
    <t>0315-0615798  0300-7289195</t>
  </si>
  <si>
    <t>Fee upto September 2025</t>
  </si>
  <si>
    <t xml:space="preserve">Zimal Jamil </t>
  </si>
  <si>
    <t xml:space="preserve">Muhammad Jamil </t>
  </si>
  <si>
    <t>0300-4163210  0334-6247724</t>
  </si>
  <si>
    <t>Fee  and fund upto September 2025</t>
  </si>
  <si>
    <t xml:space="preserve">Tehreem Asjad </t>
  </si>
  <si>
    <t>0320-8802240  0302-6429454</t>
  </si>
  <si>
    <t>Fee  and fund upto Octo 2025</t>
  </si>
  <si>
    <t>Rehan Ali Awan</t>
  </si>
  <si>
    <t>Seven-B</t>
  </si>
  <si>
    <t>Hasnain Abdullah</t>
  </si>
  <si>
    <t>Ch. Najeeb Shahid</t>
  </si>
  <si>
    <t>0313-4219096</t>
  </si>
  <si>
    <t>Makhan Ali</t>
  </si>
  <si>
    <t>Sabir Ali</t>
  </si>
  <si>
    <t xml:space="preserve"> 0301-4141244</t>
  </si>
  <si>
    <t>Asad Tanveer</t>
  </si>
  <si>
    <t>Tanveer Fazal Haq Awan</t>
  </si>
  <si>
    <t>0333-4334749   0333-4947511</t>
  </si>
  <si>
    <t>Abdul Raheem</t>
  </si>
  <si>
    <t>0322-2228079</t>
  </si>
  <si>
    <t>Hassan</t>
  </si>
  <si>
    <t>M. Abbas</t>
  </si>
  <si>
    <t>0306-2210259</t>
  </si>
  <si>
    <t>300-4254009  0307-5316303</t>
  </si>
  <si>
    <t>Ghulam Haider</t>
  </si>
  <si>
    <t>0321-5729774  0305-7740305</t>
  </si>
  <si>
    <t>Muhamamd Ibrahim</t>
  </si>
  <si>
    <t>Shabib Ahmad</t>
  </si>
  <si>
    <t>Sanaullah</t>
  </si>
  <si>
    <t>0307-0050382</t>
  </si>
  <si>
    <t>0304-9706781</t>
  </si>
  <si>
    <t>Abdullah Yasin</t>
  </si>
  <si>
    <t>Muhammad Muteen Haider</t>
  </si>
  <si>
    <t>Khuram Shehzad Riaz</t>
  </si>
  <si>
    <t>Muhammad Faizan Haider</t>
  </si>
  <si>
    <t xml:space="preserve">Sultan Husain </t>
  </si>
  <si>
    <t>Muhammad Sumama</t>
  </si>
  <si>
    <t>0346-6384227</t>
  </si>
  <si>
    <t>0309-7824343  0307-78243423</t>
  </si>
  <si>
    <t>Awaab Bin Faisal</t>
  </si>
  <si>
    <t>Zohaib Khan</t>
  </si>
  <si>
    <t>Sher Aslam Khan</t>
  </si>
  <si>
    <t>0311-4706190</t>
  </si>
  <si>
    <t>Muhammad Saim Ali</t>
  </si>
  <si>
    <t>Zulfiqar Ali</t>
  </si>
  <si>
    <t>0300-7263879</t>
  </si>
  <si>
    <t>Mustafa Abbas</t>
  </si>
  <si>
    <t>Fazal Abbas</t>
  </si>
  <si>
    <t>0300-9400572</t>
  </si>
  <si>
    <t>Muhammad Zohaib Azhar</t>
  </si>
  <si>
    <t>Azhar Hussain</t>
  </si>
  <si>
    <t>0304-1910039  0331-4004426</t>
  </si>
  <si>
    <t xml:space="preserve">Muhammad Burhan </t>
  </si>
  <si>
    <t>Bilal Sarwar</t>
  </si>
  <si>
    <t>0333-4816216  0321-4816216</t>
  </si>
  <si>
    <t>Muhammad Hassan Ali</t>
  </si>
  <si>
    <t>Walyat-ur-Rehman</t>
  </si>
  <si>
    <t>0346-4081987  0321-6300057</t>
  </si>
  <si>
    <t xml:space="preserve">Salman Tahir </t>
  </si>
  <si>
    <t xml:space="preserve">0302-0900532 0300-4537400   </t>
  </si>
  <si>
    <t xml:space="preserve">M. Faizan </t>
  </si>
  <si>
    <t>0308-4329084   0302-4031829</t>
  </si>
  <si>
    <t>Muhammad Raza Baig</t>
  </si>
  <si>
    <t>Amjad Baig</t>
  </si>
  <si>
    <t>0301-6043822   0328-7013741</t>
  </si>
  <si>
    <t>Arslan Rasool</t>
  </si>
  <si>
    <t>Muhammad Aneeb</t>
  </si>
  <si>
    <t>Muhammad Saifullah</t>
  </si>
  <si>
    <t>0303-8035177  0317-4665868</t>
  </si>
  <si>
    <t xml:space="preserve">Muhammad Anas </t>
  </si>
  <si>
    <t>Muhammad Iqbal</t>
  </si>
  <si>
    <t>0307-7288147  0346-4726916</t>
  </si>
  <si>
    <t>Muhammad Waqar</t>
  </si>
  <si>
    <t>0341-1432421  0323-9751748</t>
  </si>
  <si>
    <t>M.Faheem Akhtar</t>
  </si>
  <si>
    <t>Hassan Kashif</t>
  </si>
  <si>
    <t>M. Kashif Tahir</t>
  </si>
  <si>
    <t>0305-7148995 0321-9192316</t>
  </si>
  <si>
    <t xml:space="preserve">Zain Ali </t>
  </si>
  <si>
    <t>Asim Ali</t>
  </si>
  <si>
    <t>0303-8210554  0370-4747468</t>
  </si>
  <si>
    <t>Fee paid Octo and Fund Paid 2025</t>
  </si>
  <si>
    <t>Aman Fatima Noor</t>
  </si>
  <si>
    <t>Pre-9th -A</t>
  </si>
  <si>
    <t>0322-4621686  0321-4257120</t>
  </si>
  <si>
    <t>Faiza Ansir Khan</t>
  </si>
  <si>
    <t>M. Ansir Mehmood</t>
  </si>
  <si>
    <t>Movaiz Akram</t>
  </si>
  <si>
    <t>Syeda Xaria Shahzad</t>
  </si>
  <si>
    <t>Syed Shahzad</t>
  </si>
  <si>
    <t>0322-7599601</t>
  </si>
  <si>
    <t>Horrain Fatima</t>
  </si>
  <si>
    <t>0305-7550010</t>
  </si>
  <si>
    <t>Laiba Naseem</t>
  </si>
  <si>
    <t>Zarmeen Fatima</t>
  </si>
  <si>
    <t>Bader Muhyud Din Khan</t>
  </si>
  <si>
    <t>0301-4804300</t>
  </si>
  <si>
    <t xml:space="preserve">Zimal Noor </t>
  </si>
  <si>
    <t>Zaigham Hussain</t>
  </si>
  <si>
    <t xml:space="preserve">0300-7800129 </t>
  </si>
  <si>
    <t>Adan Nawaz</t>
  </si>
  <si>
    <t>Hania Imran</t>
  </si>
  <si>
    <t>Shiza Bibi</t>
  </si>
  <si>
    <t>Asghar Ali</t>
  </si>
  <si>
    <t>0346-6603982</t>
  </si>
  <si>
    <t>Shehzadi Tariq</t>
  </si>
  <si>
    <t>Saif-ur- Rehman Virk</t>
  </si>
  <si>
    <t>0347-8017905  -  0341-7375610</t>
  </si>
  <si>
    <t>Ifrah Fatima</t>
  </si>
  <si>
    <t>M. Khurram Shahzad</t>
  </si>
  <si>
    <t>0321-8812767</t>
  </si>
  <si>
    <t>Farwa Batool</t>
  </si>
  <si>
    <t>0333-9785524    0345-9285524</t>
  </si>
  <si>
    <t>Marryam Fatima</t>
  </si>
  <si>
    <t>Ramisha Fatima</t>
  </si>
  <si>
    <t>Anwar-ul-Haq</t>
  </si>
  <si>
    <t>0302-7203210</t>
  </si>
  <si>
    <t>Zainab</t>
  </si>
  <si>
    <t>Ghulam Fatima</t>
  </si>
  <si>
    <t>Zoha Fatima</t>
  </si>
  <si>
    <t>Ghulam Fareed</t>
  </si>
  <si>
    <t>0347-7955822  0304-0494011</t>
  </si>
  <si>
    <t>Ruqia Essa</t>
  </si>
  <si>
    <t>Essa Khan</t>
  </si>
  <si>
    <t>Ayesha Bint-e-Umar</t>
  </si>
  <si>
    <t>0333-4999961    0301-4857719</t>
  </si>
  <si>
    <t xml:space="preserve">Eman Ahmad </t>
  </si>
  <si>
    <t>0345-5111696   0331-4339996</t>
  </si>
  <si>
    <t>Haram Rasheed</t>
  </si>
  <si>
    <t>M. Rasheed</t>
  </si>
  <si>
    <t>0321-6605481</t>
  </si>
  <si>
    <t>Hifza</t>
  </si>
  <si>
    <t>0321-4839325  0305-4857299</t>
  </si>
  <si>
    <t>Nibras Fatima</t>
  </si>
  <si>
    <t>Salamat Ali</t>
  </si>
  <si>
    <t>0301-4571940  0321-4239074</t>
  </si>
  <si>
    <t>Maheen Saleemi</t>
  </si>
  <si>
    <t>Adnan Ahmad Saleemi</t>
  </si>
  <si>
    <t>0316-2976220</t>
  </si>
  <si>
    <t xml:space="preserve">Amina Abid </t>
  </si>
  <si>
    <t>Nabiha Maqbool</t>
  </si>
  <si>
    <t xml:space="preserve">Meerab Afzal </t>
  </si>
  <si>
    <t xml:space="preserve">Muhammad Afzal </t>
  </si>
  <si>
    <t>0337-7055503 0345-6305552</t>
  </si>
  <si>
    <t xml:space="preserve">Zainab Sajjad </t>
  </si>
  <si>
    <t>Sajjad Hussain</t>
  </si>
  <si>
    <t>0315-4891645</t>
  </si>
  <si>
    <t>Zoha Ehsan</t>
  </si>
  <si>
    <t xml:space="preserve">Aleesha Zaheer </t>
  </si>
  <si>
    <t>0326-4299165  0300-4069111</t>
  </si>
  <si>
    <t>Fee paid for march 2025</t>
  </si>
  <si>
    <t xml:space="preserve">Khadija Noor </t>
  </si>
  <si>
    <t>Sarfraz Akbar</t>
  </si>
  <si>
    <t>0300-4877694  0333-8419055</t>
  </si>
  <si>
    <t>Muhammad Shakeel Ahmad</t>
  </si>
  <si>
    <t>0304-1379918  0349-1415335</t>
  </si>
  <si>
    <t xml:space="preserve">Minahil Raza  </t>
  </si>
  <si>
    <t xml:space="preserve">0343-4183123  0300-6513392 </t>
  </si>
  <si>
    <t>Fee paid for April and Misc Paid for 2025</t>
  </si>
  <si>
    <t>Roman Sakhawat</t>
  </si>
  <si>
    <t>0344-6424723  03042-034000</t>
  </si>
  <si>
    <t>Sadia Noor</t>
  </si>
  <si>
    <t>Aqib Saeed</t>
  </si>
  <si>
    <t>0314-3064842  0342-4264844</t>
  </si>
  <si>
    <t>Fee paid for october 2025</t>
  </si>
  <si>
    <t>Umar Javed</t>
  </si>
  <si>
    <t>Pre-9th B</t>
  </si>
  <si>
    <t>Kashan Hamza</t>
  </si>
  <si>
    <t>0345-7785040</t>
  </si>
  <si>
    <t>Haad Ali</t>
  </si>
  <si>
    <t>0322-5732760</t>
  </si>
  <si>
    <t>Muhammad Rehan Arfan</t>
  </si>
  <si>
    <t>Muhamamd Arfan</t>
  </si>
  <si>
    <t>0331-1485871  0301-6674479</t>
  </si>
  <si>
    <t>Usman Abid Lodhi</t>
  </si>
  <si>
    <t>M. Abid Khan Lodhi</t>
  </si>
  <si>
    <t>0300-4652819</t>
  </si>
  <si>
    <t>Jahanzaib Raza</t>
  </si>
  <si>
    <t>Mubarik Ali</t>
  </si>
  <si>
    <t>0345-6554263</t>
  </si>
  <si>
    <t>Fee paid March 2500 &amp; Fund paid 1500 for 2025</t>
  </si>
  <si>
    <t>Muhammad Ayan Babar</t>
  </si>
  <si>
    <t>Babar Ali</t>
  </si>
  <si>
    <t>0300-5105088</t>
  </si>
  <si>
    <t>0345-6554263  0324-9697428</t>
  </si>
  <si>
    <t>Muhammad Wahab</t>
  </si>
  <si>
    <t>M. Yasin</t>
  </si>
  <si>
    <t>0302-3373787</t>
  </si>
  <si>
    <t>Wahid Ali</t>
  </si>
  <si>
    <t>Muhammad Pervaiz</t>
  </si>
  <si>
    <t>0301-4714462  0323-1101727</t>
  </si>
  <si>
    <t>Mirza Muhammad Dabeer Baig</t>
  </si>
  <si>
    <t>Muhammad Yaqoob</t>
  </si>
  <si>
    <t>0307-4387221</t>
  </si>
  <si>
    <t>Zain-ul-Hassan</t>
  </si>
  <si>
    <t>0300-4459815</t>
  </si>
  <si>
    <t>Muhammad Awais Qadir</t>
  </si>
  <si>
    <t>Abdul Qadir</t>
  </si>
  <si>
    <t>0300-4077874</t>
  </si>
  <si>
    <t xml:space="preserve">Muhammad Abaidullah </t>
  </si>
  <si>
    <t xml:space="preserve">Pre-9th B </t>
  </si>
  <si>
    <t>0345-6411829  0300-6411829</t>
  </si>
  <si>
    <t xml:space="preserve">Umar Shehzad </t>
  </si>
  <si>
    <t>0310-4678802  0302-4135139</t>
  </si>
  <si>
    <t>Talha Maqbool</t>
  </si>
  <si>
    <t>0345-8338136  0306-9604416</t>
  </si>
  <si>
    <t xml:space="preserve">Muhammad Ayan Khan </t>
  </si>
  <si>
    <t>Azhar Saeed Khan</t>
  </si>
  <si>
    <t>0324-8484547  0324-8469363</t>
  </si>
  <si>
    <t xml:space="preserve">Muhammad Nazir </t>
  </si>
  <si>
    <t>0302-1099036  0303-4184596</t>
  </si>
  <si>
    <t>0333-4563348  03049684780</t>
  </si>
  <si>
    <t>Muhammad Muneeb Azhar</t>
  </si>
  <si>
    <t>0331-40044246 0304-1910039</t>
  </si>
  <si>
    <t>M.Ali Shabbir</t>
  </si>
  <si>
    <t>Shabbir Husain</t>
  </si>
  <si>
    <t>0300-8139963  0309-7350095</t>
  </si>
  <si>
    <t>Saim Ali</t>
  </si>
  <si>
    <t>Pre-9th-C</t>
  </si>
  <si>
    <t>0334-9835662</t>
  </si>
  <si>
    <t>M. Subhan</t>
  </si>
  <si>
    <t xml:space="preserve"> 0300-2910801  0321-7034369 </t>
  </si>
  <si>
    <t>Fee decieded 1000 at dated 12-07-2025 By Sir Asghar Ali Bhatti Sahab</t>
  </si>
  <si>
    <t>Muhammad Hamza</t>
  </si>
  <si>
    <t>Muhammad Haseeb Afzal</t>
  </si>
  <si>
    <t>0341-6642243</t>
  </si>
  <si>
    <t>Muhammad Saad Masroor</t>
  </si>
  <si>
    <t>0336-4011643  0333-6281304</t>
  </si>
  <si>
    <t xml:space="preserve">0300-9493578  </t>
  </si>
  <si>
    <t>Zohaib Arshad</t>
  </si>
  <si>
    <t>0332-8199372 0300-4485273</t>
  </si>
  <si>
    <t>Kashan Ali</t>
  </si>
  <si>
    <t>Haseem Tufail</t>
  </si>
  <si>
    <t>Muhammad Tufail</t>
  </si>
  <si>
    <t>0302-4510056</t>
  </si>
  <si>
    <t>Husain  Qaisar</t>
  </si>
  <si>
    <t>Qaisar Shahzad</t>
  </si>
  <si>
    <t>0300-4517595  0300-8804952</t>
  </si>
  <si>
    <t>Azeem Arshad</t>
  </si>
  <si>
    <t>0303-4045594  0315-1904120</t>
  </si>
  <si>
    <t xml:space="preserve">Rana Muhammad Faizan </t>
  </si>
  <si>
    <t>Rana Khalid Saif</t>
  </si>
  <si>
    <t>0349-0743920</t>
  </si>
  <si>
    <t xml:space="preserve">Abdul Muqeet </t>
  </si>
  <si>
    <t xml:space="preserve">Kashif Mehmood </t>
  </si>
  <si>
    <t>0333-4406023  0340-0023023</t>
  </si>
  <si>
    <t>Muhammad Abdullah Azam</t>
  </si>
  <si>
    <t>0332-0553380   0322-7288654</t>
  </si>
  <si>
    <t xml:space="preserve">Uzair Rasheed </t>
  </si>
  <si>
    <t>Abdul Rasheed</t>
  </si>
  <si>
    <t>0326-9400476  0333-5458300</t>
  </si>
  <si>
    <t>Muhammad Hadeed Asif</t>
  </si>
  <si>
    <t>Muneeb Khan</t>
  </si>
  <si>
    <t>Dawood Sufyan</t>
  </si>
  <si>
    <t>Muhammad Sufyan</t>
  </si>
  <si>
    <t>0301-4608718  0344-4579344</t>
  </si>
  <si>
    <t xml:space="preserve">Ahmad Ali </t>
  </si>
  <si>
    <t>Zulfiqar Ahmad</t>
  </si>
  <si>
    <t>0313-4381270   0313-4506662</t>
  </si>
  <si>
    <t>Muhammad Abdul Haddi</t>
  </si>
  <si>
    <t xml:space="preserve">Muhammad Sakhi Malik </t>
  </si>
  <si>
    <t>Muhammad Arham Hussian</t>
  </si>
  <si>
    <t>Arshad Ali</t>
  </si>
  <si>
    <t>0321-6646141  0308-4402004</t>
  </si>
  <si>
    <t xml:space="preserve">Zawar Haider </t>
  </si>
  <si>
    <t>0322-3834960  0321-4597420</t>
  </si>
  <si>
    <t>Fee and fund for May 2025</t>
  </si>
  <si>
    <t xml:space="preserve">Hassan Abbas </t>
  </si>
  <si>
    <t>0319-8533512</t>
  </si>
  <si>
    <t xml:space="preserve">Naeem Abbas </t>
  </si>
  <si>
    <t>Zafar Ali</t>
  </si>
  <si>
    <t>0323-7192856</t>
  </si>
  <si>
    <t xml:space="preserve">Ghazanfar Abbas </t>
  </si>
  <si>
    <t>0300-6788689  0300-7648462</t>
  </si>
  <si>
    <t>6818 B</t>
  </si>
  <si>
    <t xml:space="preserve">M. Zain Asghar </t>
  </si>
  <si>
    <t>0336-8554475  0325-7474249</t>
  </si>
  <si>
    <t>Khadija Alvi</t>
  </si>
  <si>
    <t>Zia-ul-Haq</t>
  </si>
  <si>
    <t xml:space="preserve"> 9th A</t>
  </si>
  <si>
    <t>300-8182683  0311-4307607</t>
  </si>
  <si>
    <t xml:space="preserve">Hadia Sarfraz </t>
  </si>
  <si>
    <t>0301-6336320</t>
  </si>
  <si>
    <t>Abeeha Atif</t>
  </si>
  <si>
    <t xml:space="preserve">Muskan Sakhawat </t>
  </si>
  <si>
    <t>0344-6424723  0342-0340000</t>
  </si>
  <si>
    <t xml:space="preserve">Zara Khokhar </t>
  </si>
  <si>
    <t xml:space="preserve">Saeed Ahmad </t>
  </si>
  <si>
    <t>0345-8486735 0345-4442650</t>
  </si>
  <si>
    <t>Fee and Misc fund paid upto Feb 2026</t>
  </si>
  <si>
    <t xml:space="preserve">Kashf Noor </t>
  </si>
  <si>
    <t>Muhammad Zulqarnain</t>
  </si>
  <si>
    <t>0345-6007484  0307-7125303</t>
  </si>
  <si>
    <t>Fee and Misc fund paid upto May 2025</t>
  </si>
  <si>
    <t>Sarwat Ghazanfar</t>
  </si>
  <si>
    <t>0300-6788689 0300-7648462</t>
  </si>
  <si>
    <t>Fee  paid upto Sep 2025</t>
  </si>
  <si>
    <t>Samreen Ghazanfar</t>
  </si>
  <si>
    <t>Sehar Yaseen</t>
  </si>
  <si>
    <t xml:space="preserve">Saif  Akbar </t>
  </si>
  <si>
    <t>0322-1174558</t>
  </si>
  <si>
    <t>Fee deposited upto august 2025</t>
  </si>
  <si>
    <t>Ch. Muhammad Ali</t>
  </si>
  <si>
    <t>0300-4476342  0318-4267757   0312-4676342</t>
  </si>
  <si>
    <t xml:space="preserve">Amina </t>
  </si>
  <si>
    <t>Sarfraz Ahmad</t>
  </si>
  <si>
    <t>0302-0112309</t>
  </si>
  <si>
    <t>Jeweria Mukhtar</t>
  </si>
  <si>
    <t>Mukhtar Ahmad</t>
  </si>
  <si>
    <t>Aiza Fatima</t>
  </si>
  <si>
    <t>0342-2850739   0341-9392643</t>
  </si>
  <si>
    <t>Shah Bano</t>
  </si>
  <si>
    <t xml:space="preserve">Moazzam Ali Bhatti </t>
  </si>
  <si>
    <t>Aliza Tanveer</t>
  </si>
  <si>
    <t>Tanveer Fazal Haq</t>
  </si>
  <si>
    <t>0333-4334749  0333-4947511  0333-4947511</t>
  </si>
  <si>
    <t>Sawera Sajjad</t>
  </si>
  <si>
    <t>Sajjad Ali</t>
  </si>
  <si>
    <t>0300-4591514</t>
  </si>
  <si>
    <t>Maha Binyameen</t>
  </si>
  <si>
    <t>Muhammad Binyameen</t>
  </si>
  <si>
    <t>0312-1409375  0312-1409375</t>
  </si>
  <si>
    <t>Mubarra Zainab</t>
  </si>
  <si>
    <t>Noeen Munir</t>
  </si>
  <si>
    <t>0334-4631178  0314-4192128</t>
  </si>
  <si>
    <t>Muhammad Mahfooz</t>
  </si>
  <si>
    <t>0312-4583399   0342-4150963</t>
  </si>
  <si>
    <t>Hadia Juniad</t>
  </si>
  <si>
    <t>Shahid Rafique</t>
  </si>
  <si>
    <t>0332-4008498  0309-2729675</t>
  </si>
  <si>
    <t>Zainab Zulfiqar</t>
  </si>
  <si>
    <t>0348-7803585</t>
  </si>
  <si>
    <t>Maham Khalid</t>
  </si>
  <si>
    <t>0304-3868122   0300-7174670</t>
  </si>
  <si>
    <t>Zahra Fatima</t>
  </si>
  <si>
    <t xml:space="preserve">0303-4319155  </t>
  </si>
  <si>
    <t>Shahzad Hussain</t>
  </si>
  <si>
    <t>0300-4509876  0321-4509876</t>
  </si>
  <si>
    <t>Fee paid for May 2700 (2025)</t>
  </si>
  <si>
    <t>Hafiz Muhammad Akram</t>
  </si>
  <si>
    <t>0347-5840102  0304-1783462</t>
  </si>
  <si>
    <t>Aleeza Murtaza</t>
  </si>
  <si>
    <t>0301-4335141 -  0332-4097462</t>
  </si>
  <si>
    <t>Aila Kabir</t>
  </si>
  <si>
    <t>Kabir-ul-Haq</t>
  </si>
  <si>
    <t>0300-7637497  0303-3281955</t>
  </si>
  <si>
    <t xml:space="preserve">Kamran Ali </t>
  </si>
  <si>
    <t>0307-4617530</t>
  </si>
  <si>
    <t xml:space="preserve"> 0304-4468428  0300-4570195</t>
  </si>
  <si>
    <t>Aroosh Abid</t>
  </si>
  <si>
    <t>Saman Fiaz</t>
  </si>
  <si>
    <t>Fiaz Hussain</t>
  </si>
  <si>
    <t>0301-4981741  0344-4820896</t>
  </si>
  <si>
    <t xml:space="preserve">Kiran Ajlas </t>
  </si>
  <si>
    <t xml:space="preserve">Ajlas Masih </t>
  </si>
  <si>
    <t>0306-6644499</t>
  </si>
  <si>
    <t xml:space="preserve">Fatima Umar </t>
  </si>
  <si>
    <t xml:space="preserve">Muhammad Umar </t>
  </si>
  <si>
    <t>0323-4293251  0300-4293251</t>
  </si>
  <si>
    <t>Amaima Imran</t>
  </si>
  <si>
    <t>0347-7482208</t>
  </si>
  <si>
    <t>Abiha Fatima</t>
  </si>
  <si>
    <t>Manzar Bashir</t>
  </si>
  <si>
    <t>0307-4678025  0346-0731063</t>
  </si>
  <si>
    <t xml:space="preserve">Eman Fatima </t>
  </si>
  <si>
    <t>0333-6281304</t>
  </si>
  <si>
    <t xml:space="preserve">Muhammad Ismaeel </t>
  </si>
  <si>
    <t>0314-7631429  0309-6093676</t>
  </si>
  <si>
    <t xml:space="preserve">Maria Nasir </t>
  </si>
  <si>
    <t>Nasir Ali</t>
  </si>
  <si>
    <t>0341-4734571</t>
  </si>
  <si>
    <t>Musahiba Rasool</t>
  </si>
  <si>
    <t xml:space="preserve">Ayesha Noor </t>
  </si>
  <si>
    <t>Abbas Latif</t>
  </si>
  <si>
    <t>0370-7010300  0307-0144387</t>
  </si>
  <si>
    <t>Bareera Umar</t>
  </si>
  <si>
    <t>3000 Mis Fund paid for new session 2025-26</t>
  </si>
  <si>
    <t>0301-4481662  0325-6413379</t>
  </si>
  <si>
    <t>Muhammad Shehroz Asif</t>
  </si>
  <si>
    <t>Asif Imran</t>
  </si>
  <si>
    <t xml:space="preserve"> 9th B</t>
  </si>
  <si>
    <t>0303-8034743</t>
  </si>
  <si>
    <t>Fee paid feb 2025 and 3300 Science &amp;Misc fund</t>
  </si>
  <si>
    <t>Hassan Faisal</t>
  </si>
  <si>
    <t>0329-8420648  0300-7534686</t>
  </si>
  <si>
    <t>Muhammad Roman Abid</t>
  </si>
  <si>
    <t>Abid Sandhu</t>
  </si>
  <si>
    <t>0346-6600015  0316-7975610</t>
  </si>
  <si>
    <t>Muhammad Talha</t>
  </si>
  <si>
    <t>Muhammad Zuman</t>
  </si>
  <si>
    <t xml:space="preserve">Fee 2700 March and Fund 5000 paid for 2025 </t>
  </si>
  <si>
    <t>M Asad Nadeem</t>
  </si>
  <si>
    <t>Nadeem Khalid</t>
  </si>
  <si>
    <t>0300-4854042  0336-4854042</t>
  </si>
  <si>
    <t xml:space="preserve">Fee 2500 April and Fund 5000 paid for 2025 </t>
  </si>
  <si>
    <t>Abdullah Sakhawat</t>
  </si>
  <si>
    <t>0344-6424723 0342-0340000</t>
  </si>
  <si>
    <t xml:space="preserve">Fee 2700 April and Fund 5000 paid for 2025 </t>
  </si>
  <si>
    <t xml:space="preserve">Bilal Ahmad </t>
  </si>
  <si>
    <t xml:space="preserve">Muhammad Arshad </t>
  </si>
  <si>
    <t>0310-4243129  0303-7723904</t>
  </si>
  <si>
    <t xml:space="preserve">Muhammad Shahmeer Hassan </t>
  </si>
  <si>
    <t>0300-4156035  0300-4638397</t>
  </si>
  <si>
    <t xml:space="preserve">Ahsan Javed </t>
  </si>
  <si>
    <t xml:space="preserve">Muhammad Javed </t>
  </si>
  <si>
    <t>0306-8789887</t>
  </si>
  <si>
    <t xml:space="preserve">Muhammad Saim Khan </t>
  </si>
  <si>
    <t xml:space="preserve">Fee 2700 sept and Fund 3000 paid for 2025 </t>
  </si>
  <si>
    <t>Muhammad Umar Zahid</t>
  </si>
  <si>
    <t>Zahid Shafiq</t>
  </si>
  <si>
    <t>0333-4020905</t>
  </si>
  <si>
    <t>Muhammad Zain-ul-Abdeen</t>
  </si>
  <si>
    <t>Akbar Ali</t>
  </si>
  <si>
    <t>0342-7774898  0323-7525755</t>
  </si>
  <si>
    <t>Fee paid up to July,2024</t>
  </si>
  <si>
    <t>Sohail Nadeem</t>
  </si>
  <si>
    <t>0321-4758988</t>
  </si>
  <si>
    <t xml:space="preserve">Asif Nazir </t>
  </si>
  <si>
    <t>0300-0346800</t>
  </si>
  <si>
    <t>Malik Hashim Ahmad</t>
  </si>
  <si>
    <t>Basharat Ali Awan</t>
  </si>
  <si>
    <t>0344-6597910</t>
  </si>
  <si>
    <t>Zahid Siddique</t>
  </si>
  <si>
    <t>Nouman Abdullah</t>
  </si>
  <si>
    <t xml:space="preserve">Ch. Najeeb Shahid </t>
  </si>
  <si>
    <t>0334-4485308</t>
  </si>
  <si>
    <t>Muhammad Ali Awan</t>
  </si>
  <si>
    <t>Rameel Manzoor</t>
  </si>
  <si>
    <t>Fee piad upto August 2025</t>
  </si>
  <si>
    <t>0301-4830244</t>
  </si>
  <si>
    <t>Muhammad Noman Nisar</t>
  </si>
  <si>
    <t>Nisar Ahmad Walana</t>
  </si>
  <si>
    <t xml:space="preserve"> 0324-8493793</t>
  </si>
  <si>
    <t>Wajahat Hussain</t>
  </si>
  <si>
    <t>0302-4814875</t>
  </si>
  <si>
    <t>Muhammad Saad Ghazali</t>
  </si>
  <si>
    <t>Muhammad Amir Shehzad</t>
  </si>
  <si>
    <t>0345-6434946</t>
  </si>
  <si>
    <t>Talha Hassan</t>
  </si>
  <si>
    <t>0316-1423106</t>
  </si>
  <si>
    <t>Muhammad Daim Khan</t>
  </si>
  <si>
    <t>Fateh Ullah</t>
  </si>
  <si>
    <t>Muhammad Mustaqeem Shehzad</t>
  </si>
  <si>
    <t>Shehzad  Hussain</t>
  </si>
  <si>
    <t xml:space="preserve">0300-4509876 </t>
  </si>
  <si>
    <t xml:space="preserve">Muhammad Bilal </t>
  </si>
  <si>
    <t>Muhammad Ghufran</t>
  </si>
  <si>
    <t>0304-4468428  0300-4570195</t>
  </si>
  <si>
    <t>Malik Amir Ali</t>
  </si>
  <si>
    <t>0302-4101008  0332-4101008</t>
  </si>
  <si>
    <t xml:space="preserve">Muhammad Saad Nadeem </t>
  </si>
  <si>
    <t>Nadeem Ahmad</t>
  </si>
  <si>
    <t>0333-4250799  0333-4460990</t>
  </si>
  <si>
    <t>Abdul Qayyum</t>
  </si>
  <si>
    <t>Muhammad Waris Mushtaq</t>
  </si>
  <si>
    <t xml:space="preserve">Muhammad Mushtaq </t>
  </si>
  <si>
    <t>0300-4410215</t>
  </si>
  <si>
    <t>0300-4891645</t>
  </si>
  <si>
    <t>Mukaram Ali</t>
  </si>
  <si>
    <t>Manzoor Mushtaq</t>
  </si>
  <si>
    <t>Imtiaz Ahmad</t>
  </si>
  <si>
    <t>0305-6339706  0301-4703866</t>
  </si>
  <si>
    <t>Imran Majeed</t>
  </si>
  <si>
    <t>0333-4464230</t>
  </si>
  <si>
    <t>M. Sarmad Naveed</t>
  </si>
  <si>
    <t>M.Shahid Naveed</t>
  </si>
  <si>
    <t>0300-4688920  0308-4421765</t>
  </si>
  <si>
    <t>Abdul Subhan</t>
  </si>
  <si>
    <t>0309-0854130  0301-6105198</t>
  </si>
  <si>
    <t>Muhammad Husnain Ali</t>
  </si>
  <si>
    <t>0348-4081987  0321-6300057</t>
  </si>
  <si>
    <t>Muhammad Nouman</t>
  </si>
  <si>
    <t>0301-4670517</t>
  </si>
  <si>
    <t xml:space="preserve">Farhan Shabbir </t>
  </si>
  <si>
    <t>Ghulam Shabbir Bhatti</t>
  </si>
  <si>
    <t>0342-9308276</t>
  </si>
  <si>
    <t xml:space="preserve">Zareen Fatima </t>
  </si>
  <si>
    <t>10th-A</t>
  </si>
  <si>
    <t>0306-4159525  0341-1359525</t>
  </si>
  <si>
    <t>Umm-e-Hani</t>
  </si>
  <si>
    <t>0320-7338202</t>
  </si>
  <si>
    <t>Ahmad Hayat</t>
  </si>
  <si>
    <t>0301-4872972  0308-4025808</t>
  </si>
  <si>
    <t>Zoha Ahsan</t>
  </si>
  <si>
    <t>Ahsan Ali Virk</t>
  </si>
  <si>
    <t>0300-9432603-0318-4218728</t>
  </si>
  <si>
    <t>Emaan Fatima</t>
  </si>
  <si>
    <t>0300-4436618  0312-3939569</t>
  </si>
  <si>
    <t>Tehzeeb-e-Adan</t>
  </si>
  <si>
    <t>Asad Ali</t>
  </si>
  <si>
    <t>0301-1047212  0315-7784915</t>
  </si>
  <si>
    <t>Ashfaq Ahmad Khan</t>
  </si>
  <si>
    <t>0334-4949634  0325-8118812</t>
  </si>
  <si>
    <t>Fee paid upto Nov 2024</t>
  </si>
  <si>
    <t>0301-6043822  0328-7013741</t>
  </si>
  <si>
    <t>Eman Murtaza</t>
  </si>
  <si>
    <t>0300-7534686 0303-4414798</t>
  </si>
  <si>
    <t>Migration case</t>
  </si>
  <si>
    <t>3400 misc pending 2024-25</t>
  </si>
  <si>
    <t>Iqra Fatima</t>
  </si>
  <si>
    <t>Maleeka Fatima</t>
  </si>
  <si>
    <t>Ch.Najeeb Shahid</t>
  </si>
  <si>
    <t>0333-4857840  0334-4485308</t>
  </si>
  <si>
    <t>Samar Fatima Noor</t>
  </si>
  <si>
    <t>Musfira Noeen</t>
  </si>
  <si>
    <t>0333-4256228  0334-4631178</t>
  </si>
  <si>
    <t>0321-7165016  0315-6641175</t>
  </si>
  <si>
    <t>Ayesha Ashraf</t>
  </si>
  <si>
    <t>0308-5871370</t>
  </si>
  <si>
    <t>Tuba Ashraf</t>
  </si>
  <si>
    <t>0321-6452814  0321-4574052</t>
  </si>
  <si>
    <t>Maleeha Lodhi</t>
  </si>
  <si>
    <t>M. Abid Khan</t>
  </si>
  <si>
    <t>Saira Asim</t>
  </si>
  <si>
    <t>Asim Saeed</t>
  </si>
  <si>
    <t>0332-4039344  0300-4414044</t>
  </si>
  <si>
    <t>Wasila Shahid</t>
  </si>
  <si>
    <t>Kashaf Fatima</t>
  </si>
  <si>
    <t>Khizar Hayat</t>
  </si>
  <si>
    <t>0304-5057184  0308-4591619</t>
  </si>
  <si>
    <t>Areena Tariq</t>
  </si>
  <si>
    <t>Rana Tariq  Ayub</t>
  </si>
  <si>
    <t>0306-6802530  0303-4734101  0304-0318370</t>
  </si>
  <si>
    <t>Mishal Fatima</t>
  </si>
  <si>
    <t>Gulfraz Ahmad</t>
  </si>
  <si>
    <t>0309-4245977 0309-0401863</t>
  </si>
  <si>
    <t>Dua Noor</t>
  </si>
  <si>
    <t xml:space="preserve"> 0324-8484957 0324-8469363  </t>
  </si>
  <si>
    <t>Fee paid upto Aprile 2025</t>
  </si>
  <si>
    <t>Serat Fatima Riaz</t>
  </si>
  <si>
    <t>Syed Riaz Asghar Shah</t>
  </si>
  <si>
    <t>0349-7278186</t>
  </si>
  <si>
    <t>0300-4877694  0334-4509626</t>
  </si>
  <si>
    <t>Mushtaq Ahmad</t>
  </si>
  <si>
    <t>0303-4562168  0303-5852168</t>
  </si>
  <si>
    <t>Kashaf Shehzad</t>
  </si>
  <si>
    <t>0344-7638152</t>
  </si>
  <si>
    <t>Muqadas Fatima</t>
  </si>
  <si>
    <t>0322-5834291  0322-4356180</t>
  </si>
  <si>
    <t>Ahmad Hussain</t>
  </si>
  <si>
    <t>0311-4043460</t>
  </si>
  <si>
    <t>Amina Asif</t>
  </si>
  <si>
    <t>Asif Hussain</t>
  </si>
  <si>
    <t>0302-5299669  0304-9012695</t>
  </si>
  <si>
    <t>Dur-e-Sameen</t>
  </si>
  <si>
    <t>Amna Rasheed</t>
  </si>
  <si>
    <t>Muhammad Rasheed</t>
  </si>
  <si>
    <t>0321-2522904</t>
  </si>
  <si>
    <t xml:space="preserve">Fee paid for April 2025 </t>
  </si>
  <si>
    <t>Umar Masih</t>
  </si>
  <si>
    <t xml:space="preserve"> 10th-B</t>
  </si>
  <si>
    <t xml:space="preserve">Muhammad Musab </t>
  </si>
  <si>
    <t>Fee paid upto April 3000 annual fund paid 2025</t>
  </si>
  <si>
    <t xml:space="preserve">Shehram Ali </t>
  </si>
  <si>
    <t xml:space="preserve">M. Shakeel Ahmad </t>
  </si>
  <si>
    <t>0300-4671738  0349-1415335</t>
  </si>
  <si>
    <t xml:space="preserve">Husnain Ali </t>
  </si>
  <si>
    <t>0303-7872351  0305-1466829</t>
  </si>
  <si>
    <t>Muhammad Faiq Ramay</t>
  </si>
  <si>
    <t>Waqas Sarwar</t>
  </si>
  <si>
    <t>0300-4169088</t>
  </si>
  <si>
    <t>Tazeem-ur-Rehman</t>
  </si>
  <si>
    <t>Azeem Anwar</t>
  </si>
  <si>
    <t>0348-4575642</t>
  </si>
  <si>
    <t>Muhammad  Sheraz</t>
  </si>
  <si>
    <t>Muhammad Shahid</t>
  </si>
  <si>
    <t>0300-4635862</t>
  </si>
  <si>
    <t>Abid Hussian</t>
  </si>
  <si>
    <t>0307-4619355  0308-6668855</t>
  </si>
  <si>
    <t>Dawood Aryan</t>
  </si>
  <si>
    <t>Naseem Masih</t>
  </si>
  <si>
    <t>0300-4068982  0322-9450757</t>
  </si>
  <si>
    <t>Hafiz M.Shabban Sharif</t>
  </si>
  <si>
    <t>0321-4839325  0328-4901299</t>
  </si>
  <si>
    <t>Hafiz Abdul Wahab Sharif</t>
  </si>
  <si>
    <t>Muhammad Waleed Bajwa</t>
  </si>
  <si>
    <t>Amir Shamim</t>
  </si>
  <si>
    <t>0307-7878422</t>
  </si>
  <si>
    <t>Hazeem Bin Qamar</t>
  </si>
  <si>
    <t>Qamar Saeed Virk</t>
  </si>
  <si>
    <t>0322-4153450</t>
  </si>
  <si>
    <t>Abdullah</t>
  </si>
  <si>
    <t>0300-4671757  0323-7233816</t>
  </si>
  <si>
    <t>Fee paid upto April 2025-26</t>
  </si>
  <si>
    <t>Muhammad Husain Riaz</t>
  </si>
  <si>
    <t>Muhammad Riaz</t>
  </si>
  <si>
    <t>0335-3812447</t>
  </si>
  <si>
    <t>M. Abdullah Nawaz</t>
  </si>
  <si>
    <t>Hussain Ali Khan</t>
  </si>
  <si>
    <t>Ishtiaq Ahmad</t>
  </si>
  <si>
    <t>Saad Ali</t>
  </si>
  <si>
    <t>0304-1783462</t>
  </si>
  <si>
    <t>Sajid Abbas</t>
  </si>
  <si>
    <t>0348-4315779</t>
  </si>
  <si>
    <t>Jabraan Haider</t>
  </si>
  <si>
    <t>Riasat Ali</t>
  </si>
  <si>
    <t>0346-5425736</t>
  </si>
  <si>
    <t>Muhammad Talha Farooq</t>
  </si>
  <si>
    <t>Abdul Farooq</t>
  </si>
  <si>
    <t>0321-4638180</t>
  </si>
  <si>
    <t>Abdul Hannan Khan</t>
  </si>
  <si>
    <t>0301-4501440 0306-1600903</t>
  </si>
  <si>
    <t>Nasir Jameel</t>
  </si>
  <si>
    <t>0300-4723178</t>
  </si>
  <si>
    <t>Rana Ali Shehzad</t>
  </si>
  <si>
    <t xml:space="preserve">Shehzad Ahmad </t>
  </si>
  <si>
    <t>0346-6333294 0303-4500842</t>
  </si>
  <si>
    <t>Shah Ahmad Riaz</t>
  </si>
  <si>
    <t>0349-7278186  0349-1048163</t>
  </si>
  <si>
    <t>Tahleel Ahmad</t>
  </si>
  <si>
    <t>Abrar Hussain</t>
  </si>
  <si>
    <t>0342-6688711  0345-4683517</t>
  </si>
  <si>
    <t>Hamza Nadeem</t>
  </si>
  <si>
    <t>Nadeem Ahsan</t>
  </si>
  <si>
    <t>0304-4590144</t>
  </si>
  <si>
    <t>Muhammad Momin</t>
  </si>
  <si>
    <t>Rai Muhammad Nawaz</t>
  </si>
  <si>
    <t>0321-4977011</t>
  </si>
  <si>
    <t xml:space="preserve">Ijaz Naveed </t>
  </si>
  <si>
    <t>0335-4450244</t>
  </si>
  <si>
    <t>Ahmad Faraz</t>
  </si>
  <si>
    <t>Muhammad Zulfiqar</t>
  </si>
  <si>
    <t>0312-6295950</t>
  </si>
  <si>
    <t>0300-4962211</t>
  </si>
  <si>
    <t>Syed Zain-ul-Abidin</t>
  </si>
  <si>
    <t>Asif Husain</t>
  </si>
  <si>
    <t>Tousif Nawaz</t>
  </si>
  <si>
    <t>Sibghatullah</t>
  </si>
  <si>
    <t>Husnain Mustafa</t>
  </si>
  <si>
    <t xml:space="preserve">Khurram Abbas </t>
  </si>
  <si>
    <t>0345-4042221  0300-5062548</t>
  </si>
  <si>
    <t>Shoaib Farhan</t>
  </si>
  <si>
    <t>Farhan Ghulam Haider</t>
  </si>
  <si>
    <t>0306-4892253</t>
  </si>
  <si>
    <t>Muhammad Ramzan Tabassum</t>
  </si>
  <si>
    <t>Muhammad Haseeb</t>
  </si>
  <si>
    <t>0323-4692322</t>
  </si>
  <si>
    <t>Rana Umar Hussain</t>
  </si>
  <si>
    <t>0348-4245258</t>
  </si>
  <si>
    <t>Muhammad Abdullah Ilyas</t>
  </si>
  <si>
    <t>Ilyas Ahmad</t>
  </si>
  <si>
    <t>0313-8306142</t>
  </si>
  <si>
    <t>HORIZON HIGH SCHOOL SYSTEM SHEIKHUPURA</t>
  </si>
  <si>
    <t>LIST OF STRUCK OFF STUDENTS</t>
  </si>
  <si>
    <t>Sr.No.</t>
  </si>
  <si>
    <t>Adm. No.</t>
  </si>
  <si>
    <t>Name</t>
  </si>
  <si>
    <t>Father's Name</t>
  </si>
  <si>
    <t>Pending Fee</t>
  </si>
  <si>
    <t>Mis:</t>
  </si>
  <si>
    <t xml:space="preserve">Total </t>
  </si>
  <si>
    <t>Cell No.</t>
  </si>
  <si>
    <t xml:space="preserve">Struck off date </t>
  </si>
  <si>
    <t>Muhammad Waleed</t>
  </si>
  <si>
    <t>Nursery-A</t>
  </si>
  <si>
    <t>0333-4698401 0322-7268791</t>
  </si>
  <si>
    <t>Nursery-B</t>
  </si>
  <si>
    <t>0303-4302025</t>
  </si>
  <si>
    <t>Shahzab Akram</t>
  </si>
  <si>
    <t>Play Group (A)</t>
  </si>
  <si>
    <t>0335-7140042</t>
  </si>
  <si>
    <t>Soban Shabbir</t>
  </si>
  <si>
    <t>Nursery-a</t>
  </si>
  <si>
    <t>0321-1468185</t>
  </si>
  <si>
    <t>Iftikhar-ul-Hassan</t>
  </si>
  <si>
    <t>0344-4068906</t>
  </si>
  <si>
    <t>Maryam Mohsin</t>
  </si>
  <si>
    <t>Mohsin Riaz Mamra</t>
  </si>
  <si>
    <t>0335-4928255</t>
  </si>
  <si>
    <t>Shehram Ali</t>
  </si>
  <si>
    <t>Muhammad Aqeel</t>
  </si>
  <si>
    <t>Prep-A</t>
  </si>
  <si>
    <t>0345-6290048</t>
  </si>
  <si>
    <t>Muhammad Husnain</t>
  </si>
  <si>
    <t>0300-2874949 0302-5223072</t>
  </si>
  <si>
    <t>Anaya Mohsin</t>
  </si>
  <si>
    <t>Nursery (A)</t>
  </si>
  <si>
    <t>Abdul Sami</t>
  </si>
  <si>
    <t xml:space="preserve">0321-6006766 0300-743316 </t>
  </si>
  <si>
    <t>0303-430225</t>
  </si>
  <si>
    <t>Waqas Hussain</t>
  </si>
  <si>
    <t>Prep-C</t>
  </si>
  <si>
    <t>0321-7575547</t>
  </si>
  <si>
    <t>One-A</t>
  </si>
  <si>
    <t>Zeeshan Haider</t>
  </si>
  <si>
    <t>Feezan Ali</t>
  </si>
  <si>
    <t>One-C</t>
  </si>
  <si>
    <t>0305-4476803</t>
  </si>
  <si>
    <t>Pakeeza Zainab</t>
  </si>
  <si>
    <t>Tayab Hassan</t>
  </si>
  <si>
    <t>Sharjeel Abbas</t>
  </si>
  <si>
    <t>Prep (B)</t>
  </si>
  <si>
    <t>0345-6630093</t>
  </si>
  <si>
    <t>Haram Shahzadi</t>
  </si>
  <si>
    <t>One-c</t>
  </si>
  <si>
    <t>Naeem-ur-Rasool</t>
  </si>
  <si>
    <t>0315-6364354</t>
  </si>
  <si>
    <t xml:space="preserve">Aiza </t>
  </si>
  <si>
    <t>Two-A</t>
  </si>
  <si>
    <t>Ayesha Ghaffar</t>
  </si>
  <si>
    <t>Abdul Gaffar</t>
  </si>
  <si>
    <t>0321-7575094</t>
  </si>
  <si>
    <t>Horiya Mohsin</t>
  </si>
  <si>
    <t>Zahra Batool</t>
  </si>
  <si>
    <t>Abid Hussain Bhatti</t>
  </si>
  <si>
    <t>0332-8141554</t>
  </si>
  <si>
    <t>Ahmad Hassan</t>
  </si>
  <si>
    <t>Mubashar Hussain</t>
  </si>
  <si>
    <t xml:space="preserve">One (C) </t>
  </si>
  <si>
    <t>0300-1844273</t>
  </si>
  <si>
    <t>Ali Abid Bhatti</t>
  </si>
  <si>
    <t>Rana Muhammad Subhan Naeem</t>
  </si>
  <si>
    <t>Muhammad Naeem-ul-Haq</t>
  </si>
  <si>
    <t>0333-4529428</t>
  </si>
  <si>
    <t>Zagham Abbas</t>
  </si>
  <si>
    <t>0303-4330225</t>
  </si>
  <si>
    <t>Three-A</t>
  </si>
  <si>
    <t>0342-4262269</t>
  </si>
  <si>
    <t xml:space="preserve">Mubashar </t>
  </si>
  <si>
    <t>0344-4106283</t>
  </si>
  <si>
    <t>Ifah Haq</t>
  </si>
  <si>
    <t>Muhammad Inam-ul-Haq</t>
  </si>
  <si>
    <t>0315-4494139</t>
  </si>
  <si>
    <t>M. Akram</t>
  </si>
  <si>
    <t>0342-6602511</t>
  </si>
  <si>
    <t>Javaid Hussain</t>
  </si>
  <si>
    <t>0321-745006</t>
  </si>
  <si>
    <t>Muhammad Zohair</t>
  </si>
  <si>
    <t>Three-B</t>
  </si>
  <si>
    <t>0348-4076776</t>
  </si>
  <si>
    <t>Hania Malila</t>
  </si>
  <si>
    <t>0300-4746984</t>
  </si>
  <si>
    <t>Two (A)</t>
  </si>
  <si>
    <t>Hadia Sarfraz</t>
  </si>
  <si>
    <t>Maha Tanveer</t>
  </si>
  <si>
    <t>Tanveer Ahmad</t>
  </si>
  <si>
    <t>Ayra Fatima</t>
  </si>
  <si>
    <t>Inam-ul-Haq</t>
  </si>
  <si>
    <t>Abiha Javed</t>
  </si>
  <si>
    <t>Four-a</t>
  </si>
  <si>
    <t>0307-8819873</t>
  </si>
  <si>
    <t>Muhammad Usama</t>
  </si>
  <si>
    <t>Two (C)</t>
  </si>
  <si>
    <t>Talha Baig</t>
  </si>
  <si>
    <t>Mirza Nadeem Abbas</t>
  </si>
  <si>
    <t>0306-6939528</t>
  </si>
  <si>
    <t>Saman Nawaz</t>
  </si>
  <si>
    <t>0345-6313464</t>
  </si>
  <si>
    <t>Amman Mazhar Bhatti</t>
  </si>
  <si>
    <t>Mazhar Alam</t>
  </si>
  <si>
    <t>Azan Ali</t>
  </si>
  <si>
    <t>Musadiq Hussain</t>
  </si>
  <si>
    <t>Five-B</t>
  </si>
  <si>
    <t>0340-1577690</t>
  </si>
  <si>
    <t>M. Mehboob Ali</t>
  </si>
  <si>
    <t>0300-4429985</t>
  </si>
  <si>
    <t>Rubab Fatima</t>
  </si>
  <si>
    <t>Mubashar Hussain Naz</t>
  </si>
  <si>
    <t>Ali Abbas</t>
  </si>
  <si>
    <t>Four (B)</t>
  </si>
  <si>
    <t>0321-7450006</t>
  </si>
  <si>
    <t>Kabir Sami</t>
  </si>
  <si>
    <t>0321-6006766 0300-7433116</t>
  </si>
  <si>
    <t>Faizan Kashif Sandhoo</t>
  </si>
  <si>
    <t>Kashif Saleem Sandho</t>
  </si>
  <si>
    <t>Ali Ahmad</t>
  </si>
  <si>
    <t>Three (B)</t>
  </si>
  <si>
    <t>Nimra Ilyas</t>
  </si>
  <si>
    <t>M. Ilyas</t>
  </si>
  <si>
    <t>Six-A</t>
  </si>
  <si>
    <t>Simaab Zuhra</t>
  </si>
  <si>
    <t>Azam Ali</t>
  </si>
  <si>
    <t>0307-4411314</t>
  </si>
  <si>
    <t>Ayesha Aqeel</t>
  </si>
  <si>
    <t>0318-4093402</t>
  </si>
  <si>
    <t>Aaiza Asif</t>
  </si>
  <si>
    <t>0344-6422699</t>
  </si>
  <si>
    <t>Ayesha Imran</t>
  </si>
  <si>
    <t>Imran Bashir</t>
  </si>
  <si>
    <t>Five (A)</t>
  </si>
  <si>
    <t>0346-6362088</t>
  </si>
  <si>
    <t>Six-B</t>
  </si>
  <si>
    <t>0321-5472568</t>
  </si>
  <si>
    <t>0322-7190617</t>
  </si>
  <si>
    <t>Husnain Ali</t>
  </si>
  <si>
    <t>Hassan Ali</t>
  </si>
  <si>
    <t>0300-4390435</t>
  </si>
  <si>
    <t>Muhamamd Danish</t>
  </si>
  <si>
    <t>Farhan Aziz</t>
  </si>
  <si>
    <t>0311-4157709</t>
  </si>
  <si>
    <t>M. Abaidullah</t>
  </si>
  <si>
    <t>0313-4222817</t>
  </si>
  <si>
    <t>Hajab Fatima</t>
  </si>
  <si>
    <t>7th- A</t>
  </si>
  <si>
    <t>Noor Iqbal</t>
  </si>
  <si>
    <t>7Th -A</t>
  </si>
  <si>
    <t>0343-0154247</t>
  </si>
  <si>
    <t>Minahil Pervez</t>
  </si>
  <si>
    <t>Muhammad Pervez</t>
  </si>
  <si>
    <t>0311-4122789</t>
  </si>
  <si>
    <t>Hamna Noor</t>
  </si>
  <si>
    <t>M. Akmal Khan</t>
  </si>
  <si>
    <t>7th-A</t>
  </si>
  <si>
    <t>0303-0146596</t>
  </si>
  <si>
    <t>Fatima Asif</t>
  </si>
  <si>
    <t>7Th-A</t>
  </si>
  <si>
    <t>Nadia Imran</t>
  </si>
  <si>
    <t>0303-4003459</t>
  </si>
  <si>
    <t>Abdullah Zafar</t>
  </si>
  <si>
    <t>Six (B)</t>
  </si>
  <si>
    <t>0348-6071892</t>
  </si>
  <si>
    <t>Muhammad Faizan</t>
  </si>
  <si>
    <t>Shahid Mehmood</t>
  </si>
  <si>
    <t>0315-4235136</t>
  </si>
  <si>
    <t>Five (B)</t>
  </si>
  <si>
    <t>Muhammad Abubakar</t>
  </si>
  <si>
    <t>Ahmad Shahbaz</t>
  </si>
  <si>
    <t>0333-4698404 03227268791</t>
  </si>
  <si>
    <t>Muhammad Nayyar</t>
  </si>
  <si>
    <t>Kamaran Zaka</t>
  </si>
  <si>
    <t>Seven (A)</t>
  </si>
  <si>
    <t>Menahal Iqbal</t>
  </si>
  <si>
    <t>0300-8800264</t>
  </si>
  <si>
    <t>Talha Irshad</t>
  </si>
  <si>
    <t>M. Irshad</t>
  </si>
  <si>
    <t>Pre-9th (B)</t>
  </si>
  <si>
    <t>0342-1675970</t>
  </si>
  <si>
    <t>Muhammad Raees-ul-Haq</t>
  </si>
  <si>
    <t>Faiz-ul-Haq</t>
  </si>
  <si>
    <t>Arooj Nawaz</t>
  </si>
  <si>
    <t>9th- (A) (New)</t>
  </si>
  <si>
    <t>0345-6356782</t>
  </si>
  <si>
    <t>Imdad Hussain</t>
  </si>
  <si>
    <t>0331-4080107</t>
  </si>
  <si>
    <t>Bilal Ahmad</t>
  </si>
  <si>
    <t>Gulsher Ahmad</t>
  </si>
  <si>
    <t>0347-8017905</t>
  </si>
  <si>
    <t>0322-9720588</t>
  </si>
  <si>
    <t>M. Sufyan Arshad</t>
  </si>
  <si>
    <t>Muhammad Umair</t>
  </si>
  <si>
    <t>0346-6885848</t>
  </si>
  <si>
    <t>0333-4556382</t>
  </si>
  <si>
    <t>Syed Armaghan Abuturab Naqvi</t>
  </si>
  <si>
    <t>Syed Shnawar Hussain</t>
  </si>
  <si>
    <t>0304-4512772</t>
  </si>
  <si>
    <t>Muhammad Azaan Haider</t>
  </si>
  <si>
    <t>Kamran Zaka</t>
  </si>
  <si>
    <t>9th (B) (New)</t>
  </si>
  <si>
    <t>Ahmar Ali Haroon</t>
  </si>
  <si>
    <t>Rana Muhammad Ameen</t>
  </si>
  <si>
    <t>9th (B) New)</t>
  </si>
  <si>
    <t>0310-4997145</t>
  </si>
  <si>
    <t>Ahmad Ijaz</t>
  </si>
  <si>
    <t>M. Ijaz</t>
  </si>
  <si>
    <t>0301-4691572</t>
  </si>
  <si>
    <t>Dua Haleema</t>
  </si>
  <si>
    <t>Pre-9th (A)</t>
  </si>
  <si>
    <t>0300-4171209</t>
  </si>
  <si>
    <t>Adeena Ramzan</t>
  </si>
  <si>
    <t>10th (A)</t>
  </si>
  <si>
    <t>0300-4851471</t>
  </si>
  <si>
    <t xml:space="preserve">Ehsan Elahi Baloch </t>
  </si>
  <si>
    <t>Pre-9th-A</t>
  </si>
  <si>
    <t>0305-8118990</t>
  </si>
  <si>
    <t>Sajjal Falak Sher</t>
  </si>
  <si>
    <t>0316-4222051</t>
  </si>
  <si>
    <t>Muhammad Taha</t>
  </si>
  <si>
    <t>Pre-9th-B</t>
  </si>
  <si>
    <t>0344-1143490</t>
  </si>
  <si>
    <t>Muhammad Arslam Yousaf</t>
  </si>
  <si>
    <t>0345-6723349</t>
  </si>
  <si>
    <t>Zulkifal Raza</t>
  </si>
  <si>
    <t>0321-6006766</t>
  </si>
  <si>
    <t>Hafsa Mujahid</t>
  </si>
  <si>
    <t>Pre 9th-A</t>
  </si>
  <si>
    <t>Faraz Ali</t>
  </si>
  <si>
    <t>0333-7801630</t>
  </si>
  <si>
    <t>Muhammad Mahad Masood</t>
  </si>
  <si>
    <t>Muhammad Salar</t>
  </si>
  <si>
    <t>Khalida Perveen (Gardian)</t>
  </si>
  <si>
    <t>0307-4430043</t>
  </si>
  <si>
    <t>Muhammad Aslam Javaid</t>
  </si>
  <si>
    <t>10-Th-B</t>
  </si>
  <si>
    <t>03421743060</t>
  </si>
  <si>
    <t>Muhammad Ali Shahid</t>
  </si>
  <si>
    <t>Shahid Javeed</t>
  </si>
  <si>
    <t xml:space="preserve">Prep (C) </t>
  </si>
  <si>
    <t>0345-4327407</t>
  </si>
  <si>
    <t>Muhammad Faseeh</t>
  </si>
  <si>
    <t>One-B</t>
  </si>
  <si>
    <t>Aleena Hussain Awan</t>
  </si>
  <si>
    <t>Ameera Ashfaq</t>
  </si>
  <si>
    <t>Hafiz Muhmmad Saadullah</t>
  </si>
  <si>
    <t>0304-0474729</t>
  </si>
  <si>
    <t>Amina Ashfaq</t>
  </si>
  <si>
    <t>Hafiz Muhammad Saadullah</t>
  </si>
  <si>
    <t>Fatima Ashfaq</t>
  </si>
  <si>
    <t>Insha Zainab</t>
  </si>
  <si>
    <t>Khalida Parveen</t>
  </si>
  <si>
    <t>Ayesha Shahzadi</t>
  </si>
  <si>
    <t>M, Shahzad Anwar</t>
  </si>
  <si>
    <t>0300-8122526</t>
  </si>
  <si>
    <t>Abu Sufyan</t>
  </si>
  <si>
    <t>Muhammad Amin</t>
  </si>
  <si>
    <t>0346-7458715</t>
  </si>
  <si>
    <t>Muhammad Maalik</t>
  </si>
  <si>
    <t>Awais Ijaz</t>
  </si>
  <si>
    <t>Pre-9th- B</t>
  </si>
  <si>
    <t>0340-1458600</t>
  </si>
  <si>
    <t>Ali Murtaza Gill</t>
  </si>
  <si>
    <t>0301-4942787</t>
  </si>
  <si>
    <t>Muhammad Talha Faiz</t>
  </si>
  <si>
    <t>Faiz-ul-Hassan Jamil</t>
  </si>
  <si>
    <t>0333-8689060 0337-8624790</t>
  </si>
  <si>
    <t>Asad Nawaz</t>
  </si>
  <si>
    <t xml:space="preserve">0309-3399835 303-9903599 </t>
  </si>
  <si>
    <t>Nasir Mukhtar</t>
  </si>
  <si>
    <t>0300-4418130</t>
  </si>
  <si>
    <t>Marfa Awais</t>
  </si>
  <si>
    <t>0333-4439496</t>
  </si>
  <si>
    <t>Amanat Ali</t>
  </si>
  <si>
    <t>P.G</t>
  </si>
  <si>
    <t>0300-0853524</t>
  </si>
  <si>
    <t>Usman Ehsan</t>
  </si>
  <si>
    <t>Ehsan Ahmed</t>
  </si>
  <si>
    <t>0300-4870815</t>
  </si>
  <si>
    <t>Rai Hasnain Ali</t>
  </si>
  <si>
    <t>4th-B</t>
  </si>
  <si>
    <t>0346-6338455</t>
  </si>
  <si>
    <t>Faisal Nishan</t>
  </si>
  <si>
    <t>Two-C</t>
  </si>
  <si>
    <t>0300-8094449</t>
  </si>
  <si>
    <t>Aurang Zeb</t>
  </si>
  <si>
    <t>0343-8400036</t>
  </si>
  <si>
    <t>312-4583399</t>
  </si>
  <si>
    <t>Muhammad Abu Bakar</t>
  </si>
  <si>
    <t>Muhammad Mehboob Ali</t>
  </si>
  <si>
    <t>10th-B</t>
  </si>
  <si>
    <t>Aqib Ali</t>
  </si>
  <si>
    <t>Alla Dita</t>
  </si>
  <si>
    <t>0344-8197118</t>
  </si>
  <si>
    <t>Umar Saeed</t>
  </si>
  <si>
    <t>Saeed Ahmad</t>
  </si>
  <si>
    <t>0344-8802848</t>
  </si>
  <si>
    <t>Um-e-Laila</t>
  </si>
  <si>
    <t>Syed Akhtar Hussain</t>
  </si>
  <si>
    <t>0310-4123714 0302-6312800</t>
  </si>
  <si>
    <t>Sibgha Ehsan</t>
  </si>
  <si>
    <t>Laiba Idrees</t>
  </si>
  <si>
    <t>Muhammad Idrees</t>
  </si>
  <si>
    <t>0301-4804892</t>
  </si>
  <si>
    <t>Yahya Virk</t>
  </si>
  <si>
    <t>Muhammad Ilyas Virk</t>
  </si>
  <si>
    <t>03134017241</t>
  </si>
  <si>
    <t>Shaukat Virk</t>
  </si>
  <si>
    <t>0321-4984664</t>
  </si>
  <si>
    <t>Muhammad Haris Mansoor</t>
  </si>
  <si>
    <t>0300-7636286</t>
  </si>
  <si>
    <t xml:space="preserve">Muhammad Shaheer </t>
  </si>
  <si>
    <t>0317-4587384</t>
  </si>
  <si>
    <t>14.03.22</t>
  </si>
  <si>
    <t>Faqiha Zahid</t>
  </si>
  <si>
    <t>Zahid Saeed</t>
  </si>
  <si>
    <t>0300-4402911</t>
  </si>
  <si>
    <t>Afifa Maryyam</t>
  </si>
  <si>
    <t>Rauf Ahmad</t>
  </si>
  <si>
    <t>0308-7005936</t>
  </si>
  <si>
    <t>Moeez Bin Zaid</t>
  </si>
  <si>
    <t>Zaid Bin Abdul Karim</t>
  </si>
  <si>
    <t>0324-4848397   0310-4540295</t>
  </si>
  <si>
    <t>14.03-22</t>
  </si>
  <si>
    <t>Muhammad Umar Rauf</t>
  </si>
  <si>
    <t>Abiha Zahid</t>
  </si>
  <si>
    <t>Ch. Zahid Saeed</t>
  </si>
  <si>
    <t>Muhammad Arham Zahid</t>
  </si>
  <si>
    <t xml:space="preserve">Zahid Saeed </t>
  </si>
  <si>
    <t>0332-0498006</t>
  </si>
  <si>
    <t>Mudassar Iqbal</t>
  </si>
  <si>
    <t>Free</t>
  </si>
  <si>
    <t>Wajeeha Zahid</t>
  </si>
  <si>
    <t>Umair Ali</t>
  </si>
  <si>
    <t>Faisal Ali</t>
  </si>
  <si>
    <t>5th-B</t>
  </si>
  <si>
    <t>17.03.22</t>
  </si>
  <si>
    <t>Riyan Tariq Kanwar</t>
  </si>
  <si>
    <t>Shahid Mehmoood</t>
  </si>
  <si>
    <t>0336-1661337</t>
  </si>
  <si>
    <t>Ibrahim  Baig</t>
  </si>
  <si>
    <t>Nisar Meeran</t>
  </si>
  <si>
    <t>0304-6279074</t>
  </si>
  <si>
    <t>Zubair Ali</t>
  </si>
  <si>
    <t>Ahmad Munawar</t>
  </si>
  <si>
    <t>Munawar Hussain</t>
  </si>
  <si>
    <t>0322-4747831</t>
  </si>
  <si>
    <t>Aurang Zaib</t>
  </si>
  <si>
    <t>0307-4008755</t>
  </si>
  <si>
    <t>Syed Hassan Raza</t>
  </si>
  <si>
    <t>Syed Wasif Raza</t>
  </si>
  <si>
    <t>Pre-9th -B</t>
  </si>
  <si>
    <t>0321-4675706</t>
  </si>
  <si>
    <t>Muhammad Muneer</t>
  </si>
  <si>
    <t>Muhammad Usman Nazir</t>
  </si>
  <si>
    <t>19.03.22</t>
  </si>
  <si>
    <t>Qasheeba Jameel</t>
  </si>
  <si>
    <t>Abdullah Baig</t>
  </si>
  <si>
    <t>0347-4512232</t>
  </si>
  <si>
    <t>20.03.22</t>
  </si>
  <si>
    <t>Fatima Shahid</t>
  </si>
  <si>
    <t>Kanwar Shahid Mehmood</t>
  </si>
  <si>
    <t xml:space="preserve">Six-A </t>
  </si>
  <si>
    <t>0300-7941954</t>
  </si>
  <si>
    <t>Abdul Saboor</t>
  </si>
  <si>
    <t>0312-4344747  0303-4162990</t>
  </si>
  <si>
    <t>Naveed Anjum</t>
  </si>
  <si>
    <t>0300-4469884</t>
  </si>
  <si>
    <t>26.03.22</t>
  </si>
  <si>
    <t>0342-4144925</t>
  </si>
  <si>
    <t>Quratulain</t>
  </si>
  <si>
    <t>Aysha Abid</t>
  </si>
  <si>
    <t xml:space="preserve">Abid Hussain </t>
  </si>
  <si>
    <t>Irmish Tariq</t>
  </si>
  <si>
    <t>29.03.22</t>
  </si>
  <si>
    <t xml:space="preserve">Muhammad Imran </t>
  </si>
  <si>
    <t>Minhail Fatima</t>
  </si>
  <si>
    <t>0345-6630093 0346-6302743</t>
  </si>
  <si>
    <t>Mohsin Liaqat</t>
  </si>
  <si>
    <t>Fareeha Fatima</t>
  </si>
  <si>
    <t xml:space="preserve">Waqas Hussain </t>
  </si>
  <si>
    <t>Muhammad Tayyab</t>
  </si>
  <si>
    <t>Muhammad Ashraf</t>
  </si>
  <si>
    <t>0322-9032071</t>
  </si>
  <si>
    <t>Kissa Fatima</t>
  </si>
  <si>
    <t>Amna Iftikhar</t>
  </si>
  <si>
    <t>Iftikhar Ahmad Bhatti</t>
  </si>
  <si>
    <t>9th-A New</t>
  </si>
  <si>
    <t>0342-6569541</t>
  </si>
  <si>
    <t>Uzair Ali Khan</t>
  </si>
  <si>
    <t>Majid Ali Khan</t>
  </si>
  <si>
    <t>0321-4978312</t>
  </si>
  <si>
    <t>Talha Rehman</t>
  </si>
  <si>
    <t>7th-B</t>
  </si>
  <si>
    <t xml:space="preserve">0323-0497022 </t>
  </si>
  <si>
    <t>Zulqarnain Haider</t>
  </si>
  <si>
    <t>Fiza Fatima</t>
  </si>
  <si>
    <t>4th-A</t>
  </si>
  <si>
    <t>5th-A</t>
  </si>
  <si>
    <t xml:space="preserve">Mohsan Liaquat </t>
  </si>
  <si>
    <t>Liaquat Ali</t>
  </si>
  <si>
    <t>Saad Ahmad</t>
  </si>
  <si>
    <t>0333-3300376</t>
  </si>
  <si>
    <t>Amna Khadim</t>
  </si>
  <si>
    <t>Khadim Hussain</t>
  </si>
  <si>
    <t>0306-4344872</t>
  </si>
  <si>
    <t>Zimal Nasir</t>
  </si>
  <si>
    <t>Minal Jafri</t>
  </si>
  <si>
    <t>Khurram Abbas Jafri</t>
  </si>
  <si>
    <t xml:space="preserve">9th-A </t>
  </si>
  <si>
    <t>0322-5292905</t>
  </si>
  <si>
    <t>0334-4956906</t>
  </si>
  <si>
    <t>16.08.2022</t>
  </si>
  <si>
    <t>Easha</t>
  </si>
  <si>
    <t>Muhammad Saim Babar</t>
  </si>
  <si>
    <t xml:space="preserve">M.Babar Luqman </t>
  </si>
  <si>
    <t>0307-5494118 0305-4803193</t>
  </si>
  <si>
    <t>Tariq Mahmood</t>
  </si>
  <si>
    <t xml:space="preserve">5th-A </t>
  </si>
  <si>
    <t>0300-4849408</t>
  </si>
  <si>
    <t>Ahmad Masood</t>
  </si>
  <si>
    <t>Masood Aslam Bhatti</t>
  </si>
  <si>
    <t>Eman Fatima Muneeb</t>
  </si>
  <si>
    <t>Muneeb Asim</t>
  </si>
  <si>
    <t>0321-4587786 0307-4587786</t>
  </si>
  <si>
    <t>Salman Rasheed</t>
  </si>
  <si>
    <t>Abdul Rasheed Rana</t>
  </si>
  <si>
    <t>0308-4260600</t>
  </si>
  <si>
    <t>Faiqa Zulfiqar</t>
  </si>
  <si>
    <t xml:space="preserve">Zulfiqar Ali </t>
  </si>
  <si>
    <t xml:space="preserve"> 0302-1000792 0303-4232045</t>
  </si>
  <si>
    <t>Muhammad Ibrahim Bhindar</t>
  </si>
  <si>
    <t>Amir Ali</t>
  </si>
  <si>
    <t>P.G.</t>
  </si>
  <si>
    <t>Mina Fatima</t>
  </si>
  <si>
    <t>Abdur Rehman Shah</t>
  </si>
  <si>
    <t>Ayesha Siddiquea</t>
  </si>
  <si>
    <t>Fatima Nadeem</t>
  </si>
  <si>
    <t>Subhan Rasheed</t>
  </si>
  <si>
    <t>Muhammad Yahya Nadeem</t>
  </si>
  <si>
    <t>Ubaid Ullah</t>
  </si>
  <si>
    <t>Muhammad</t>
  </si>
  <si>
    <t>Abdul Kabeer</t>
  </si>
  <si>
    <t>Muhammad Ghous</t>
  </si>
  <si>
    <t>Muhammab  Bin Imran</t>
  </si>
  <si>
    <t>Rana Imran Sattar</t>
  </si>
  <si>
    <t>Subhan Fareed</t>
  </si>
  <si>
    <t>0301-4166494</t>
  </si>
  <si>
    <t>Muhammad Assad Bahoo</t>
  </si>
  <si>
    <t>9th-B</t>
  </si>
  <si>
    <t>Muhammad Arslan Bahoo</t>
  </si>
  <si>
    <t>Moiz-ul-Rehman</t>
  </si>
  <si>
    <t>0304-3800877 0332-4002883</t>
  </si>
  <si>
    <t>30.08.2022</t>
  </si>
  <si>
    <t xml:space="preserve">Muzammal  Husain </t>
  </si>
  <si>
    <t>Muhammad Nasrullah</t>
  </si>
  <si>
    <t>0333-4816556 0300-4635933</t>
  </si>
  <si>
    <t>07.09.2022</t>
  </si>
  <si>
    <t>Ali Ahsan Shah</t>
  </si>
  <si>
    <t>Shafaqat Ali</t>
  </si>
  <si>
    <t>9th (B)</t>
  </si>
  <si>
    <t>0333-4867154</t>
  </si>
  <si>
    <t>08.09.2022</t>
  </si>
  <si>
    <t>Ali Asadullah</t>
  </si>
  <si>
    <t>four-B</t>
  </si>
  <si>
    <t>Barina Awan</t>
  </si>
  <si>
    <t>Abdul Rehman Awan</t>
  </si>
  <si>
    <t>9th-A</t>
  </si>
  <si>
    <t>0321-9741321</t>
  </si>
  <si>
    <t>14.09.2022</t>
  </si>
  <si>
    <t>Sawaira Awan</t>
  </si>
  <si>
    <t>Anees-ur-Rehman Awan</t>
  </si>
  <si>
    <t>0302-4707606</t>
  </si>
  <si>
    <t>Sarim Awan</t>
  </si>
  <si>
    <t>Fajar Awan</t>
  </si>
  <si>
    <t>0321-8828474  0321-9741321</t>
  </si>
  <si>
    <t>Muhammad Afaq Safdar</t>
  </si>
  <si>
    <t>Muhammad Safdar</t>
  </si>
  <si>
    <t>Pre-th-B</t>
  </si>
  <si>
    <t>0333-4214370</t>
  </si>
  <si>
    <t>Syed Meesum Abbas Rizvi</t>
  </si>
  <si>
    <t xml:space="preserve">Syed Nasir Abbas </t>
  </si>
  <si>
    <t>Muhammad Arib</t>
  </si>
  <si>
    <t>Muhammad Noman</t>
  </si>
  <si>
    <t>PG</t>
  </si>
  <si>
    <t>0309-4078376 0313-4832209  0309-4956737</t>
  </si>
  <si>
    <t>21.09.2022</t>
  </si>
  <si>
    <t>Hajra Fatima</t>
  </si>
  <si>
    <t>Arslan Ahmad</t>
  </si>
  <si>
    <t>0300-9427101</t>
  </si>
  <si>
    <t>22.09.2022</t>
  </si>
  <si>
    <t>Bisma Fatima</t>
  </si>
  <si>
    <t>0300-4927101</t>
  </si>
  <si>
    <t>0340-4552647</t>
  </si>
  <si>
    <t>Muhammad Rashid Javed</t>
  </si>
  <si>
    <t>26.09.2022</t>
  </si>
  <si>
    <t>Arfa Noor</t>
  </si>
  <si>
    <t>Ali Akhtar</t>
  </si>
  <si>
    <t>Three-a</t>
  </si>
  <si>
    <t>0341-1534626  0343-5705692 (w)</t>
  </si>
  <si>
    <t>04.10.2022</t>
  </si>
  <si>
    <t>Jannat Ashfaq</t>
  </si>
  <si>
    <t>Ashfaq Hussain</t>
  </si>
  <si>
    <t>Ali Akhter</t>
  </si>
  <si>
    <t>0344-4735500</t>
  </si>
  <si>
    <t xml:space="preserve">Muhammad Musa Warich </t>
  </si>
  <si>
    <t>Nurs: -B</t>
  </si>
  <si>
    <t>0301-0569681  0343-5705692</t>
  </si>
  <si>
    <t>Umama Atique</t>
  </si>
  <si>
    <t>Malik Atique Ahmad</t>
  </si>
  <si>
    <t>0312-3319897 0309-7059554</t>
  </si>
  <si>
    <t>10.10.2022</t>
  </si>
  <si>
    <t>Flaq Noor</t>
  </si>
  <si>
    <t>0345-6295874  0343-2791219</t>
  </si>
  <si>
    <t>4481 (Private)</t>
  </si>
  <si>
    <t>Syed Mohsin Raza</t>
  </si>
  <si>
    <t>0303-8983229</t>
  </si>
  <si>
    <t>14.10.2022</t>
  </si>
  <si>
    <t>Farhan Ali</t>
  </si>
  <si>
    <t>0306-6418649 0342-4141200</t>
  </si>
  <si>
    <t>Manal Tarar</t>
  </si>
  <si>
    <t>Hamid Javaid</t>
  </si>
  <si>
    <t>0301-4475286</t>
  </si>
  <si>
    <t>Sardar Muhammad Yousaf</t>
  </si>
  <si>
    <t>Akram Adnan</t>
  </si>
  <si>
    <t>0301-1212835  0302-4352169</t>
  </si>
  <si>
    <t>20.10.2022</t>
  </si>
  <si>
    <t xml:space="preserve">Azan Ali </t>
  </si>
  <si>
    <t>Musadiq Husain</t>
  </si>
  <si>
    <t>0300-4566333 0345-8123956</t>
  </si>
  <si>
    <t>Zain Ali</t>
  </si>
  <si>
    <t>Muhammad Ibrar</t>
  </si>
  <si>
    <t>Pre 9th B</t>
  </si>
  <si>
    <t>0323-8523275</t>
  </si>
  <si>
    <t>Muhammad Ayan Asif</t>
  </si>
  <si>
    <t>0321-4595957  0322-7200855</t>
  </si>
  <si>
    <t>Mohsin Raza</t>
  </si>
  <si>
    <t>Mazhir Abbas</t>
  </si>
  <si>
    <t>Muhammad Mohsin Abbas</t>
  </si>
  <si>
    <t>Seven- B</t>
  </si>
  <si>
    <t>0320-7785297</t>
  </si>
  <si>
    <t>Muhammad Shahmeer</t>
  </si>
  <si>
    <t xml:space="preserve">Naeem Sajad </t>
  </si>
  <si>
    <t xml:space="preserve">0313-4874542  0344-0651101 </t>
  </si>
  <si>
    <t>Yashfa</t>
  </si>
  <si>
    <t>Ashfaq</t>
  </si>
  <si>
    <t>0309-4956737</t>
  </si>
  <si>
    <t>Private</t>
  </si>
  <si>
    <t>Muhammad Haziq Virk</t>
  </si>
  <si>
    <t>0303-8374561  0309-1410628</t>
  </si>
  <si>
    <t>Abid Nazir</t>
  </si>
  <si>
    <t>20.10.2012</t>
  </si>
  <si>
    <t>Tayyaba</t>
  </si>
  <si>
    <t>0313-4597729</t>
  </si>
  <si>
    <t xml:space="preserve">Saim Sadaqat </t>
  </si>
  <si>
    <t xml:space="preserve">Sadaqat Ali </t>
  </si>
  <si>
    <t>0332-4032526  -  0333-4002916</t>
  </si>
  <si>
    <t>Ehtesham Ali</t>
  </si>
  <si>
    <t>Imran Ahmad</t>
  </si>
  <si>
    <t>0300-9774428  0321-7178566</t>
  </si>
  <si>
    <t>Mian Usman Naseer</t>
  </si>
  <si>
    <t>Naseer Ahmad</t>
  </si>
  <si>
    <t xml:space="preserve">0319-6640228  0313-4252033  </t>
  </si>
  <si>
    <t>Imran Shahid</t>
  </si>
  <si>
    <t xml:space="preserve">Abdul Jabbar Shahid </t>
  </si>
  <si>
    <t>0315-0755760</t>
  </si>
  <si>
    <t xml:space="preserve">Muhammad Husain </t>
  </si>
  <si>
    <t>27.10.2022</t>
  </si>
  <si>
    <t>Aliyan Shoaib</t>
  </si>
  <si>
    <t>Shoaib Iqbal</t>
  </si>
  <si>
    <t>0343-4752011</t>
  </si>
  <si>
    <t>Sehar Shakeel</t>
  </si>
  <si>
    <t>Shakeel</t>
  </si>
  <si>
    <t>0321-4848487</t>
  </si>
  <si>
    <t>Shoaib</t>
  </si>
  <si>
    <t>Farhan Haider</t>
  </si>
  <si>
    <t>0324-8519210  0306-4892253</t>
  </si>
  <si>
    <t>19.11.2022</t>
  </si>
  <si>
    <t>Shehroz Farhan</t>
  </si>
  <si>
    <t>Hania Malala</t>
  </si>
  <si>
    <t>0316-0460524</t>
  </si>
  <si>
    <t>Fareeshay Abrar</t>
  </si>
  <si>
    <t>Pre9th-A</t>
  </si>
  <si>
    <t>0349-4372082</t>
  </si>
  <si>
    <t>Sheharyar</t>
  </si>
  <si>
    <t>0313-4874542  0344-0651101</t>
  </si>
  <si>
    <t>28.11.2022</t>
  </si>
  <si>
    <t xml:space="preserve">Punnan Shehzad </t>
  </si>
  <si>
    <t>0340-7903881</t>
  </si>
  <si>
    <t>14.12.2022</t>
  </si>
  <si>
    <t>Zummar Mustafa</t>
  </si>
  <si>
    <t>0325-6029928</t>
  </si>
  <si>
    <t>15.12.2022</t>
  </si>
  <si>
    <t>Hammad Ali</t>
  </si>
  <si>
    <t>Rana Muhammad Saeed</t>
  </si>
  <si>
    <t>0302-4240030</t>
  </si>
  <si>
    <t>Muhammad Sohaib</t>
  </si>
  <si>
    <t xml:space="preserve">Play Group </t>
  </si>
  <si>
    <t>0300-4345504 - 0300-2056981</t>
  </si>
  <si>
    <t>Fajar Fatima Bhinder</t>
  </si>
  <si>
    <t>Muhammad Ahmad Khan</t>
  </si>
  <si>
    <t xml:space="preserve">Amir Shahzad </t>
  </si>
  <si>
    <t>0301-4818577 - 0324-6572377</t>
  </si>
  <si>
    <t>21.12.202</t>
  </si>
  <si>
    <t>Gohar Virk</t>
  </si>
  <si>
    <t>0305-4806989</t>
  </si>
  <si>
    <t>18.01.2023</t>
  </si>
  <si>
    <t>Muhammad Mujahid</t>
  </si>
  <si>
    <t>Naveed Ahmad</t>
  </si>
  <si>
    <t>Abid  Nazir</t>
  </si>
  <si>
    <t>25.01.2023</t>
  </si>
  <si>
    <t>Zaim Haider</t>
  </si>
  <si>
    <t xml:space="preserve">Hafiz Muhammad Akram </t>
  </si>
  <si>
    <t>Two -B</t>
  </si>
  <si>
    <t>Muhammad Affaf</t>
  </si>
  <si>
    <t>0300-2874949 0302-5223072  0325-6029928</t>
  </si>
  <si>
    <t>Shaharyar Ali</t>
  </si>
  <si>
    <t>Essa Virk Muhammad</t>
  </si>
  <si>
    <t>Muhammad Zubair Ihsan</t>
  </si>
  <si>
    <t>0349-8671723</t>
  </si>
  <si>
    <t>26.01.2023</t>
  </si>
  <si>
    <t>Muhammad Raees</t>
  </si>
  <si>
    <t>Muhammad Sajid</t>
  </si>
  <si>
    <t>0305-7313470  - 0300-9081444</t>
  </si>
  <si>
    <t>31.01.2023</t>
  </si>
  <si>
    <t>Kanza Noor</t>
  </si>
  <si>
    <t>Hafiz Kabir Ahsan</t>
  </si>
  <si>
    <t>0332-4603416</t>
  </si>
  <si>
    <t>11.02.2023</t>
  </si>
  <si>
    <t>Husnain Qaisar</t>
  </si>
  <si>
    <t>Qaisar Mukhtar</t>
  </si>
  <si>
    <t>Two</t>
  </si>
  <si>
    <t>10.03.2023</t>
  </si>
  <si>
    <t>Haider Qaisar</t>
  </si>
  <si>
    <t>Nursery</t>
  </si>
  <si>
    <t>Nayab Fatima</t>
  </si>
  <si>
    <t>0300-2482700</t>
  </si>
  <si>
    <t>18.03.2023</t>
  </si>
  <si>
    <t>Taimoor Ali</t>
  </si>
  <si>
    <t>Six -B</t>
  </si>
  <si>
    <t>Jabeen Fatima</t>
  </si>
  <si>
    <t>Abdul Majeed</t>
  </si>
  <si>
    <t>Two- C</t>
  </si>
  <si>
    <t>0300-8133861</t>
  </si>
  <si>
    <t>20.03.2023</t>
  </si>
  <si>
    <t>Fariha Naseer</t>
  </si>
  <si>
    <t>Abdul Naseer</t>
  </si>
  <si>
    <t>0334-9885510  0305-5736806</t>
  </si>
  <si>
    <t>Zahira Fatima</t>
  </si>
  <si>
    <t>0300-4476267  0341-4690431</t>
  </si>
  <si>
    <t>0300-4476267</t>
  </si>
  <si>
    <t>Urwa Fatima</t>
  </si>
  <si>
    <t>Muhammad Shameem</t>
  </si>
  <si>
    <t>31.03.2023</t>
  </si>
  <si>
    <t>Ahmad Amin</t>
  </si>
  <si>
    <t>0346-4805026</t>
  </si>
  <si>
    <t>Inam Ahmad</t>
  </si>
  <si>
    <t>0313-4862302</t>
  </si>
  <si>
    <t>Syed Kumail Raza</t>
  </si>
  <si>
    <t>Syed Muhammad Safian</t>
  </si>
  <si>
    <t>0316-4531087 0342-4865050              0342-7865050</t>
  </si>
  <si>
    <t>Faseeh-ur-Rehman</t>
  </si>
  <si>
    <t xml:space="preserve">Ziaur Rehman Shaheen </t>
  </si>
  <si>
    <t>0331-4706735</t>
  </si>
  <si>
    <t>Ayat Adnan</t>
  </si>
  <si>
    <t xml:space="preserve">Adnan Naseem </t>
  </si>
  <si>
    <t>Prep -A</t>
  </si>
  <si>
    <t>0306-7915420   0309-7017255</t>
  </si>
  <si>
    <t>03.04.2023</t>
  </si>
  <si>
    <t>Amna Amir Khan</t>
  </si>
  <si>
    <t>Amir Mehmood Khan</t>
  </si>
  <si>
    <t>03334029546    0332-1410713</t>
  </si>
  <si>
    <t>Zara Khokhar</t>
  </si>
  <si>
    <t>0345-8486735  0345-4664545</t>
  </si>
  <si>
    <t xml:space="preserve">Yusra Sabir </t>
  </si>
  <si>
    <t>Sabir Hussain</t>
  </si>
  <si>
    <t>0341-3637494  0340-1414900</t>
  </si>
  <si>
    <t>0307-4678025</t>
  </si>
  <si>
    <t>04.04.2023</t>
  </si>
  <si>
    <t>Hamna Nasir</t>
  </si>
  <si>
    <t>0321-4126908</t>
  </si>
  <si>
    <t>Zoiba Nawaz</t>
  </si>
  <si>
    <t>0301-1062199</t>
  </si>
  <si>
    <t>Sufian Nawaz</t>
  </si>
  <si>
    <t>0345-6310349</t>
  </si>
  <si>
    <t>Alyan Nawaz</t>
  </si>
  <si>
    <t>Iram Shahzadi</t>
  </si>
  <si>
    <t>Pre-9th A</t>
  </si>
  <si>
    <t>0334-0147410</t>
  </si>
  <si>
    <t>Rida Khuram Shehzad</t>
  </si>
  <si>
    <t>Khuram Shehzad</t>
  </si>
  <si>
    <t>0302-4514381</t>
  </si>
  <si>
    <t>05.04.2023</t>
  </si>
  <si>
    <t>Maria</t>
  </si>
  <si>
    <t>0321-2888853  0348-1491003</t>
  </si>
  <si>
    <t>Zumar Rizwan</t>
  </si>
  <si>
    <t>0306-6658048  0301-4608718</t>
  </si>
  <si>
    <t>Sehar Fatima</t>
  </si>
  <si>
    <t>Ali Murtaza</t>
  </si>
  <si>
    <t>0345-8565325</t>
  </si>
  <si>
    <t>Muntha Ali</t>
  </si>
  <si>
    <t>0321-4432947 0322-7874491  0315-4432947</t>
  </si>
  <si>
    <t>0307-4430043  0321-6601658</t>
  </si>
  <si>
    <t>Muhammad Waheed</t>
  </si>
  <si>
    <t>0321-9575890  0311-4295813</t>
  </si>
  <si>
    <t xml:space="preserve"> 9th-B</t>
  </si>
  <si>
    <t>06.04.2023</t>
  </si>
  <si>
    <t>Irfa Nasir</t>
  </si>
  <si>
    <t xml:space="preserve">0321-4126908  </t>
  </si>
  <si>
    <t>08.04.2023</t>
  </si>
  <si>
    <t>Tulbiya Azmat</t>
  </si>
  <si>
    <t>Azmat Ali</t>
  </si>
  <si>
    <t>0345-4402450  0300-4996003</t>
  </si>
  <si>
    <t>Tarab Konain</t>
  </si>
  <si>
    <t>Amir Hussain</t>
  </si>
  <si>
    <t>One- B</t>
  </si>
  <si>
    <t>0345-8406108  0348-6229938</t>
  </si>
  <si>
    <t xml:space="preserve">Zimal Tanveer </t>
  </si>
  <si>
    <t>Tanveer Hussain</t>
  </si>
  <si>
    <t>0342-4459224  0341-5751873</t>
  </si>
  <si>
    <t xml:space="preserve">Mubashir Iqbal </t>
  </si>
  <si>
    <t>Mehtab Fatima</t>
  </si>
  <si>
    <t>0341-5751873</t>
  </si>
  <si>
    <t xml:space="preserve">Minahil Khalid </t>
  </si>
  <si>
    <t>Irfan Khalid</t>
  </si>
  <si>
    <t>0322-4805427  0332-4075032</t>
  </si>
  <si>
    <t>Shahzad Akram</t>
  </si>
  <si>
    <t>0300-4242051  0335-4652184</t>
  </si>
  <si>
    <t>Aliza Fatima</t>
  </si>
  <si>
    <t>Rahat Ali</t>
  </si>
  <si>
    <t>Shahzad Ahmad</t>
  </si>
  <si>
    <t>Muhammad Azaan</t>
  </si>
  <si>
    <t>M. Amir Waseem</t>
  </si>
  <si>
    <t>0306-4718372</t>
  </si>
  <si>
    <t>Rab Nawaz</t>
  </si>
  <si>
    <t>Iftikhar Ahmad</t>
  </si>
  <si>
    <t>Muhammad Hashim Ali</t>
  </si>
  <si>
    <t>Aurangzeb Virk</t>
  </si>
  <si>
    <t>0306-7329032</t>
  </si>
  <si>
    <t>Abdullah Abdullah</t>
  </si>
  <si>
    <t>0300-4509876 0321-4509876</t>
  </si>
  <si>
    <t>Hassan Nasir</t>
  </si>
  <si>
    <t>Hoor Fatima</t>
  </si>
  <si>
    <t>Atif Razaq</t>
  </si>
  <si>
    <t>0302-4455447  0313-4874462</t>
  </si>
  <si>
    <t>Ume Roman</t>
  </si>
  <si>
    <t>0303--0141005 0345-0409998  0305-4805989</t>
  </si>
  <si>
    <t>Sabeeha Batool</t>
  </si>
  <si>
    <t>Muhammad Ibad-ur-Rehman</t>
  </si>
  <si>
    <t>0300-4591509  0333-0443680</t>
  </si>
  <si>
    <t>Rabia Sabir</t>
  </si>
  <si>
    <t>Ayan Khalid</t>
  </si>
  <si>
    <t>Four -B</t>
  </si>
  <si>
    <t>0307-7145274</t>
  </si>
  <si>
    <t>M. Abdullah</t>
  </si>
  <si>
    <t>0306-4730566</t>
  </si>
  <si>
    <t>14.04.2023</t>
  </si>
  <si>
    <t>Faisal Bilal</t>
  </si>
  <si>
    <t>Muhammad Ishaq</t>
  </si>
  <si>
    <t>0308-4430075  0301-7196752</t>
  </si>
  <si>
    <t xml:space="preserve">Talha Tariq </t>
  </si>
  <si>
    <t>0303-9663323</t>
  </si>
  <si>
    <t>Umar Hanief</t>
  </si>
  <si>
    <t>Huhammad Hanief</t>
  </si>
  <si>
    <t>0310-4874352</t>
  </si>
  <si>
    <t>Sultan Ali Bhatti</t>
  </si>
  <si>
    <t>Shah Nawaz Bhatti</t>
  </si>
  <si>
    <t>0333-4801443  0303-4112470</t>
  </si>
  <si>
    <t>0313-4005871</t>
  </si>
  <si>
    <t>Ryan Ahmad</t>
  </si>
  <si>
    <t>Kashif Shahzad</t>
  </si>
  <si>
    <t>0300-4877604  0300-4877601</t>
  </si>
  <si>
    <t>Sarah Batool</t>
  </si>
  <si>
    <t>Muhammad Ibad-ur-Rehnan</t>
  </si>
  <si>
    <t>M.Dil Nazeer</t>
  </si>
  <si>
    <t>0309-4356710</t>
  </si>
  <si>
    <t>Abid Tanveer</t>
  </si>
  <si>
    <t>0308-9245838   0306-7874227</t>
  </si>
  <si>
    <t>Muhammad Abid</t>
  </si>
  <si>
    <t>Nursery -B</t>
  </si>
  <si>
    <t>0322-4673096</t>
  </si>
  <si>
    <t xml:space="preserve">Jannat Fatima </t>
  </si>
  <si>
    <t>Ibrahim</t>
  </si>
  <si>
    <t>Sufyan Akram</t>
  </si>
  <si>
    <t>0333-4026721  - 0332-4041101</t>
  </si>
  <si>
    <t>Ismail</t>
  </si>
  <si>
    <t>0333-4026721  - 0332-4041100</t>
  </si>
  <si>
    <t>Haram Shehzadi</t>
  </si>
  <si>
    <t>Nursery - A</t>
  </si>
  <si>
    <t>29.04.2023</t>
  </si>
  <si>
    <t>Insha Noor</t>
  </si>
  <si>
    <t>Ayesha</t>
  </si>
  <si>
    <t>0303-0141005 0345-0409998  0305-4806989</t>
  </si>
  <si>
    <t>Dania Kashif</t>
  </si>
  <si>
    <t xml:space="preserve">Areeba </t>
  </si>
  <si>
    <t>Punnan Shehzad</t>
  </si>
  <si>
    <t>0340-7903879</t>
  </si>
  <si>
    <t>Qandeel Fatima</t>
  </si>
  <si>
    <t>Nouman Ahmad</t>
  </si>
  <si>
    <t>Three-C</t>
  </si>
  <si>
    <t>0343-1577733</t>
  </si>
  <si>
    <t>Muhammad Mueez</t>
  </si>
  <si>
    <t>Kashsif Shahzad</t>
  </si>
  <si>
    <t>Safyan Kashif</t>
  </si>
  <si>
    <t>Kashif Saleem Sandhu</t>
  </si>
  <si>
    <t>Three -B</t>
  </si>
  <si>
    <t>Zimal Noor</t>
  </si>
  <si>
    <t>0300-6907799  0322-1647854</t>
  </si>
  <si>
    <t>Muhammad Fahad</t>
  </si>
  <si>
    <t>0300-4723188</t>
  </si>
  <si>
    <t>Hasnain Nasir</t>
  </si>
  <si>
    <t>Rehan Khalid</t>
  </si>
  <si>
    <t>Hussnain Ali</t>
  </si>
  <si>
    <t>0300-6182049    0342-4400872</t>
  </si>
  <si>
    <t>Aleena Hussain</t>
  </si>
  <si>
    <t xml:space="preserve">Ghulam Hussain Awan </t>
  </si>
  <si>
    <t>23.05.2023</t>
  </si>
  <si>
    <t>Kaif Shah Nawaz Bhatti</t>
  </si>
  <si>
    <t>0303-4801443  0303-4112470</t>
  </si>
  <si>
    <t>0300-4990092</t>
  </si>
  <si>
    <t>15.06.2023</t>
  </si>
  <si>
    <t>Anamata  Ahmad</t>
  </si>
  <si>
    <t>Ahmad Riaz</t>
  </si>
  <si>
    <t>0300-4330709  0321-4326010</t>
  </si>
  <si>
    <t xml:space="preserve">Jannat  </t>
  </si>
  <si>
    <t>Muhammad Jahangir Bhatti</t>
  </si>
  <si>
    <t>0301-1041230  0301-9199501</t>
  </si>
  <si>
    <t>Muzakkar Ali</t>
  </si>
  <si>
    <t>0333-4567631 0314-1685517  0308-4227512</t>
  </si>
  <si>
    <t>0347-6600800 0300-4792157</t>
  </si>
  <si>
    <t>Muqadam Saeed</t>
  </si>
  <si>
    <t>Shahid Adrees</t>
  </si>
  <si>
    <t>0301-6236905</t>
  </si>
  <si>
    <t>19.06.2023</t>
  </si>
  <si>
    <t xml:space="preserve">Hafiz Iftikhar Ahmad </t>
  </si>
  <si>
    <t xml:space="preserve">10th-B </t>
  </si>
  <si>
    <t>Dawood Ahmad</t>
  </si>
  <si>
    <t>Muhammad Khalid</t>
  </si>
  <si>
    <t>0312-7256863</t>
  </si>
  <si>
    <t>Muteeb Ahmad</t>
  </si>
  <si>
    <t>Rai Shoukat Ali</t>
  </si>
  <si>
    <t>0300-7803382  0345-8727946</t>
  </si>
  <si>
    <t>13.07.2023</t>
  </si>
  <si>
    <t>Aqeedat Fatima</t>
  </si>
  <si>
    <t>Shahid Adnan</t>
  </si>
  <si>
    <t>0312-1473074  0334-0003137</t>
  </si>
  <si>
    <t>26.07.2023</t>
  </si>
  <si>
    <t>Kaleemullah Nadeem</t>
  </si>
  <si>
    <t>Muhammad Nadeem</t>
  </si>
  <si>
    <t>0341-4774460</t>
  </si>
  <si>
    <t xml:space="preserve">Atif Latif </t>
  </si>
  <si>
    <t>0336-1835477    0331-2444866</t>
  </si>
  <si>
    <t>30.08.2023</t>
  </si>
  <si>
    <t>Tajammul Hussain</t>
  </si>
  <si>
    <t xml:space="preserve">Amjad Hussain </t>
  </si>
  <si>
    <t>0300-4501588  0337-4651108</t>
  </si>
  <si>
    <t>07.09.2023</t>
  </si>
  <si>
    <t xml:space="preserve">Mehak Shahzadi </t>
  </si>
  <si>
    <t>Nisar Ahmad</t>
  </si>
  <si>
    <t>0302-7137819</t>
  </si>
  <si>
    <t>09.09.2023</t>
  </si>
  <si>
    <t>Muhammad Bin Imran</t>
  </si>
  <si>
    <t xml:space="preserve">Rana Imran Sattar </t>
  </si>
  <si>
    <t>0301-8382990</t>
  </si>
  <si>
    <t>13.09.2023</t>
  </si>
  <si>
    <t>Adeen Bint-e-Imran</t>
  </si>
  <si>
    <t>0301-8382222  0301-8382990</t>
  </si>
  <si>
    <t>Ahmad Nawaz</t>
  </si>
  <si>
    <t xml:space="preserve">Rab Nawaz </t>
  </si>
  <si>
    <t xml:space="preserve">0317-4884287  </t>
  </si>
  <si>
    <t>Ehsan Ahmad</t>
  </si>
  <si>
    <t xml:space="preserve">Imtiaz Husain </t>
  </si>
  <si>
    <t>16.09.2023</t>
  </si>
  <si>
    <t>Ameer Hassan</t>
  </si>
  <si>
    <t>Zeeshan Asif Malik</t>
  </si>
  <si>
    <t>0301-4150604  0316-4669266</t>
  </si>
  <si>
    <t>19-09-2023</t>
  </si>
  <si>
    <t>Nigha Hussain</t>
  </si>
  <si>
    <t>Ali Nawaz</t>
  </si>
  <si>
    <t>0309-9736697    0348-8746743</t>
  </si>
  <si>
    <t>Falak Subhani</t>
  </si>
  <si>
    <t>Muhammad Kashif Saeed Subhani</t>
  </si>
  <si>
    <t>0321-4450480</t>
  </si>
  <si>
    <t>0300-4100701</t>
  </si>
  <si>
    <t>Gohar Abbas</t>
  </si>
  <si>
    <t>0321-4538246  0306-0486193</t>
  </si>
  <si>
    <t>26.09.2023</t>
  </si>
  <si>
    <t>Zainab Zikria</t>
  </si>
  <si>
    <t>0331-8500668</t>
  </si>
  <si>
    <t>Muhammad Boota</t>
  </si>
  <si>
    <t>0302-7237819</t>
  </si>
  <si>
    <t>07-10-2023</t>
  </si>
  <si>
    <t>Hanzla Bhatti</t>
  </si>
  <si>
    <t>Abdul Rehman Bhatti</t>
  </si>
  <si>
    <t>0300-0462025</t>
  </si>
  <si>
    <t xml:space="preserve">Umm-e-Rubab </t>
  </si>
  <si>
    <t>0309-9736697     0348-8746743</t>
  </si>
  <si>
    <t>20.10.2023</t>
  </si>
  <si>
    <t xml:space="preserve">Nigha Abbas </t>
  </si>
  <si>
    <t>0326-4085223</t>
  </si>
  <si>
    <t>0313-4862956</t>
  </si>
  <si>
    <t>21.10.2023</t>
  </si>
  <si>
    <t>Muhammad Shameer</t>
  </si>
  <si>
    <t xml:space="preserve">Hafsa </t>
  </si>
  <si>
    <t>Mujahid Ali virk</t>
  </si>
  <si>
    <t>0340-3709536</t>
  </si>
  <si>
    <t>27.10.2023</t>
  </si>
  <si>
    <t>Jannat Nadeem</t>
  </si>
  <si>
    <t>0321-6686337</t>
  </si>
  <si>
    <t>30.10.2023</t>
  </si>
  <si>
    <t xml:space="preserve">Muhammad Ali Musa </t>
  </si>
  <si>
    <t xml:space="preserve">Syed Atequr Rehman </t>
  </si>
  <si>
    <t>0320-6666948  - 0336-6139281</t>
  </si>
  <si>
    <t>Bilal Javed</t>
  </si>
  <si>
    <t xml:space="preserve">Javed Iqbal </t>
  </si>
  <si>
    <t>0313-4503268</t>
  </si>
  <si>
    <t>Muhammad Saad Safdar</t>
  </si>
  <si>
    <t>07.11.2023</t>
  </si>
  <si>
    <t xml:space="preserve">Issued School Leaving Certificate </t>
  </si>
  <si>
    <t>Uzair Ahmad</t>
  </si>
  <si>
    <t>Muhammad  Afzal</t>
  </si>
  <si>
    <t>0344-6599115 0313-4537076  0318-7944792</t>
  </si>
  <si>
    <t>21.11.2023</t>
  </si>
  <si>
    <t>Usman Rafi</t>
  </si>
  <si>
    <t>Muhammad Rafi</t>
  </si>
  <si>
    <t>0306-7139378 0333-8975563</t>
  </si>
  <si>
    <t>Muhammad Qaisar</t>
  </si>
  <si>
    <t>0301-4626411  0322-7665707</t>
  </si>
  <si>
    <t xml:space="preserve">Muhammad Wajahat Abbas </t>
  </si>
  <si>
    <t>0300-6018541 0304-2248541</t>
  </si>
  <si>
    <t>28-11-2023</t>
  </si>
  <si>
    <t>Haider Sabir</t>
  </si>
  <si>
    <t xml:space="preserve">Sabir </t>
  </si>
  <si>
    <t>0301-6030689  0305-7753149</t>
  </si>
  <si>
    <t>15.12.2023</t>
  </si>
  <si>
    <t>Eshal Naseer</t>
  </si>
  <si>
    <t>0322-3962374  -  0322-438558</t>
  </si>
  <si>
    <t>Inshallah</t>
  </si>
  <si>
    <t>0321-3108797</t>
  </si>
  <si>
    <t xml:space="preserve">Abdullah Ali </t>
  </si>
  <si>
    <t>0324-5671259</t>
  </si>
  <si>
    <t>11-01-2024</t>
  </si>
  <si>
    <t>Minahil Noor</t>
  </si>
  <si>
    <t>0332-4603417</t>
  </si>
  <si>
    <t>Amina</t>
  </si>
  <si>
    <t>Ghulam Farooq</t>
  </si>
  <si>
    <t>0331-4810732</t>
  </si>
  <si>
    <t>0331-4664772</t>
  </si>
  <si>
    <t>Moeez Ahsan</t>
  </si>
  <si>
    <t>23-01-2024</t>
  </si>
  <si>
    <t>Bishair Jafri</t>
  </si>
  <si>
    <t>0321-1817034  0324-1061607</t>
  </si>
  <si>
    <t>0346-6603983</t>
  </si>
  <si>
    <t>Bria</t>
  </si>
  <si>
    <t>Munir Adil</t>
  </si>
  <si>
    <t>0344-4670250  0346-9078460</t>
  </si>
  <si>
    <t>Dua Zainab</t>
  </si>
  <si>
    <t>Fida Hussain</t>
  </si>
  <si>
    <t>0303-4515152  0304-4119572</t>
  </si>
  <si>
    <t>Fizza Irfan</t>
  </si>
  <si>
    <t>Irfan Ahmad</t>
  </si>
  <si>
    <t>0326-4027404  0322-1655266</t>
  </si>
  <si>
    <t xml:space="preserve">Muneeba Shamoon </t>
  </si>
  <si>
    <t>Shamoon</t>
  </si>
  <si>
    <t>0300-8344848  0314-1482908</t>
  </si>
  <si>
    <t>Fahad Ali</t>
  </si>
  <si>
    <t>Ubaid Manzoor</t>
  </si>
  <si>
    <t>Aamer Shehzad</t>
  </si>
  <si>
    <t>0308-4332963  0302-7198537</t>
  </si>
  <si>
    <t>Muhammad Subhan Hadi</t>
  </si>
  <si>
    <t>0317-4033945</t>
  </si>
  <si>
    <t>Muhammad Daniyal Zikria</t>
  </si>
  <si>
    <t>Muhammad Zikria</t>
  </si>
  <si>
    <t>Qamar Ehsan Elahi</t>
  </si>
  <si>
    <t xml:space="preserve">Ehsan Elahi </t>
  </si>
  <si>
    <t>0341-4152562  0309-7033740</t>
  </si>
  <si>
    <t>Tauqir Ehsan Elahi</t>
  </si>
  <si>
    <t>Hadia Ehsan Elahi</t>
  </si>
  <si>
    <t>Ehsan Elahi</t>
  </si>
  <si>
    <t xml:space="preserve">Sadia Ehsan Elahi </t>
  </si>
  <si>
    <t>0341-4152562  0306-0772583</t>
  </si>
  <si>
    <t>Khadija</t>
  </si>
  <si>
    <t>0331-4810729</t>
  </si>
  <si>
    <t>Aiza Zain</t>
  </si>
  <si>
    <t>Zain-ul-Abidin</t>
  </si>
  <si>
    <t>0322-4128966</t>
  </si>
  <si>
    <t>24-02-2024</t>
  </si>
  <si>
    <t>Khurram Shehzad</t>
  </si>
  <si>
    <t xml:space="preserve">Arfa </t>
  </si>
  <si>
    <t>Sadiq Ali</t>
  </si>
  <si>
    <t>P.G- A</t>
  </si>
  <si>
    <t>0302-4452222</t>
  </si>
  <si>
    <t xml:space="preserve">Muhammad Hasnain </t>
  </si>
  <si>
    <t>Saif-ur-rehman</t>
  </si>
  <si>
    <t>0343-7701432  0301-4198303</t>
  </si>
  <si>
    <t xml:space="preserve">Muhammad Ibrahim Ahmad </t>
  </si>
  <si>
    <t xml:space="preserve"> New Pre-9th B</t>
  </si>
  <si>
    <t xml:space="preserve">0321-8515551  0346-7741251 </t>
  </si>
  <si>
    <t>21.03.2024</t>
  </si>
  <si>
    <t xml:space="preserve">Muhammad Azeem </t>
  </si>
  <si>
    <t xml:space="preserve">Nasir Ali </t>
  </si>
  <si>
    <t>New Prep-B</t>
  </si>
  <si>
    <t>0342-1625990     0340-4907034</t>
  </si>
  <si>
    <t>Muhammad Hashir Sultan</t>
  </si>
  <si>
    <t>Murtaza Waheed Nasir</t>
  </si>
  <si>
    <t>Prep -B</t>
  </si>
  <si>
    <t>0312-6470805  0307-4552752</t>
  </si>
  <si>
    <t xml:space="preserve">  0312-6470805   0312-6470805</t>
  </si>
  <si>
    <t>M. Ahmad Zia</t>
  </si>
  <si>
    <t>3008182683</t>
  </si>
  <si>
    <t>25.03.2024</t>
  </si>
  <si>
    <t xml:space="preserve">Maryum </t>
  </si>
  <si>
    <t>Talib Husain</t>
  </si>
  <si>
    <t xml:space="preserve"> Pre-9th A</t>
  </si>
  <si>
    <t>0300-6182049   0342-4400872</t>
  </si>
  <si>
    <t>Assad Ullah</t>
  </si>
  <si>
    <t xml:space="preserve"> Pre-9th B</t>
  </si>
  <si>
    <t>Syed Aftrab Shah</t>
  </si>
  <si>
    <t>Muhammad Sajjad Hussain</t>
  </si>
  <si>
    <t>New 9th-B</t>
  </si>
  <si>
    <t>0321-7490205</t>
  </si>
  <si>
    <t>Muhammad Sufyan Sapra</t>
  </si>
  <si>
    <t>0300-4451172  0346-6302477</t>
  </si>
  <si>
    <t>26.03.2024</t>
  </si>
  <si>
    <t>Urwa Shahzadi</t>
  </si>
  <si>
    <t>0312-6295950  0321-3322981</t>
  </si>
  <si>
    <t>Muhammad Mohsin</t>
  </si>
  <si>
    <t>Prep- C</t>
  </si>
  <si>
    <t>0347-3402044</t>
  </si>
  <si>
    <t>Abu  Bakar</t>
  </si>
  <si>
    <t>0324-4949509  0300-4690857</t>
  </si>
  <si>
    <t>Zephaniah</t>
  </si>
  <si>
    <t>0346-9078459</t>
  </si>
  <si>
    <t>Hadia Afzal</t>
  </si>
  <si>
    <t>Two- A</t>
  </si>
  <si>
    <t>Sumia Farukh</t>
  </si>
  <si>
    <t>Farukh Ijaz Khan</t>
  </si>
  <si>
    <t>0307-4161005</t>
  </si>
  <si>
    <t>Amina Imran</t>
  </si>
  <si>
    <t>Abdul Mohid</t>
  </si>
  <si>
    <t>0309-4078376</t>
  </si>
  <si>
    <t>Muhammad Haseem</t>
  </si>
  <si>
    <t>0316-0141896 0333-4762875  0333-4742484</t>
  </si>
  <si>
    <t>Irij Farukh</t>
  </si>
  <si>
    <t xml:space="preserve">Farrukh Ejaz </t>
  </si>
  <si>
    <t xml:space="preserve">  0307-4161005</t>
  </si>
  <si>
    <t>Muhammad Mohad</t>
  </si>
  <si>
    <t>0304-6894718  0307-7034611</t>
  </si>
  <si>
    <t>Alisha</t>
  </si>
  <si>
    <t>Muhammad  Shahzad</t>
  </si>
  <si>
    <t>Meerab Farukh</t>
  </si>
  <si>
    <t>0300-1113038  0307-4161005</t>
  </si>
  <si>
    <t>Tabinda Riasat</t>
  </si>
  <si>
    <t>Hareem Riasat</t>
  </si>
  <si>
    <t>Hamna Afzal</t>
  </si>
  <si>
    <t xml:space="preserve">Mazal </t>
  </si>
  <si>
    <t>0300-4804615</t>
  </si>
  <si>
    <t>0322-4805427  332-4075032</t>
  </si>
  <si>
    <t>0304-6894713</t>
  </si>
  <si>
    <t>0345-4514639  0342-2850739</t>
  </si>
  <si>
    <t>Wasif Ali</t>
  </si>
  <si>
    <t>Aurang zaib</t>
  </si>
  <si>
    <t>Shafqat Iqbal</t>
  </si>
  <si>
    <t>0315-4050886</t>
  </si>
  <si>
    <t>Nawab Elahi</t>
  </si>
  <si>
    <t>Qaisar Bashir Ahmad</t>
  </si>
  <si>
    <t>0300-4139591</t>
  </si>
  <si>
    <t>Shoban Abbas</t>
  </si>
  <si>
    <t>0309-2101136  0306-4477670</t>
  </si>
  <si>
    <t>28-03-2024</t>
  </si>
  <si>
    <t>New 9th-A</t>
  </si>
  <si>
    <t>0315-4050886  0304-4465420</t>
  </si>
  <si>
    <t>Meharun Nisa</t>
  </si>
  <si>
    <t xml:space="preserve">Hafiz Muhammad Mubashar Abbas </t>
  </si>
  <si>
    <t>0322-6030881</t>
  </si>
  <si>
    <t>Aimen</t>
  </si>
  <si>
    <t>Safraz Siddique</t>
  </si>
  <si>
    <t>0326-4198512  0305-4629273</t>
  </si>
  <si>
    <t>Diana Zeeshan</t>
  </si>
  <si>
    <t>0326-4027404  0322-1655267</t>
  </si>
  <si>
    <t xml:space="preserve">  0304-4119572</t>
  </si>
  <si>
    <t xml:space="preserve"> One-C</t>
  </si>
  <si>
    <t>29.03.2024</t>
  </si>
  <si>
    <t xml:space="preserve">Muhammad Waqar </t>
  </si>
  <si>
    <t>Pervaiz Khan</t>
  </si>
  <si>
    <t xml:space="preserve">0302-4680835 </t>
  </si>
  <si>
    <t>29-03-2024</t>
  </si>
  <si>
    <t>0347-3402045</t>
  </si>
  <si>
    <t>Minahil Khalid</t>
  </si>
  <si>
    <t>Maheen Nadeem</t>
  </si>
  <si>
    <t xml:space="preserve">Haifz Muhammad Mubashar Abbas </t>
  </si>
  <si>
    <t>Qaiser Nawaz</t>
  </si>
  <si>
    <t>0314-7221915  0316-4631579</t>
  </si>
  <si>
    <t>Ammara Imran</t>
  </si>
  <si>
    <t>0345-4102858</t>
  </si>
  <si>
    <t>01.04.2024</t>
  </si>
  <si>
    <t>School Leaving Certificate issued</t>
  </si>
  <si>
    <t>Anoosh Muhammad</t>
  </si>
  <si>
    <t>0300-4705142     0311-4055516</t>
  </si>
  <si>
    <t>Hafiz Muhammad  Mubashar Abbas</t>
  </si>
  <si>
    <t>23.04.2024</t>
  </si>
  <si>
    <t>Anabia Naz</t>
  </si>
  <si>
    <t>Muhammad Shamsul Haq</t>
  </si>
  <si>
    <t>0317-0435897  0321-8766257</t>
  </si>
  <si>
    <t>24.04.2024</t>
  </si>
  <si>
    <t xml:space="preserve">Muhammad Arham Bhinder </t>
  </si>
  <si>
    <t>Amjad Hussain</t>
  </si>
  <si>
    <t>0345-6295874</t>
  </si>
  <si>
    <t>Muhammad Ahmad Abbas</t>
  </si>
  <si>
    <t>Hafiz Muhammad Mubashir Abbas</t>
  </si>
  <si>
    <t>Hooran Fatima</t>
  </si>
  <si>
    <t>0307-4313279</t>
  </si>
  <si>
    <t xml:space="preserve">Fariha Shabbir </t>
  </si>
  <si>
    <t>Muhammad Shabbir</t>
  </si>
  <si>
    <t>0304-8217123</t>
  </si>
  <si>
    <t>Muhammad Saram</t>
  </si>
  <si>
    <t>0342--2850739</t>
  </si>
  <si>
    <t>Sajid Ali</t>
  </si>
  <si>
    <t>Seven -B</t>
  </si>
  <si>
    <t>Maratab Ali</t>
  </si>
  <si>
    <t xml:space="preserve">  9th-B</t>
  </si>
  <si>
    <t>0300-4778794</t>
  </si>
  <si>
    <t>02.05.2024</t>
  </si>
  <si>
    <t>0333-0497022</t>
  </si>
  <si>
    <t>Asad Ullah Waseem</t>
  </si>
  <si>
    <t>Muhammad Waseem Arshad</t>
  </si>
  <si>
    <t>0321-9546132  0322-1451332</t>
  </si>
  <si>
    <t>332-6339852</t>
  </si>
  <si>
    <t>Muhammad Sufyan Binyamin</t>
  </si>
  <si>
    <t>Muhammad Binyamin Kambo</t>
  </si>
  <si>
    <t>0300 4727216</t>
  </si>
  <si>
    <t>0336-7147157</t>
  </si>
  <si>
    <t>03.05.2024</t>
  </si>
  <si>
    <t>M.Abdullah Imran</t>
  </si>
  <si>
    <t>Imran Ramzan</t>
  </si>
  <si>
    <t xml:space="preserve"> 9th -C</t>
  </si>
  <si>
    <t>0307--0402926</t>
  </si>
  <si>
    <t>14.05.2024</t>
  </si>
  <si>
    <t>Atif Rehman</t>
  </si>
  <si>
    <t>0300-4348248   0345-4104952</t>
  </si>
  <si>
    <t>17.05.2024</t>
  </si>
  <si>
    <t>Zainab Sajjad</t>
  </si>
  <si>
    <t>0325-6054220  0333-4009254</t>
  </si>
  <si>
    <t>21.05.2024</t>
  </si>
  <si>
    <t>M.Yahya Tahir</t>
  </si>
  <si>
    <t>Muhammad Tahir</t>
  </si>
  <si>
    <t>0335-4368984  0300-4614915</t>
  </si>
  <si>
    <t>11.06.2024</t>
  </si>
  <si>
    <t>0325-4288883</t>
  </si>
  <si>
    <t>22.06.2024</t>
  </si>
  <si>
    <t>Sehar Murtaza (Mother)</t>
  </si>
  <si>
    <t>0335-4639028  0304-0009664</t>
  </si>
  <si>
    <t xml:space="preserve"> P.G- A</t>
  </si>
  <si>
    <t>0308-4148992   0300-8097592</t>
  </si>
  <si>
    <t>25.07.2024</t>
  </si>
  <si>
    <t>Ali Nasrullah</t>
  </si>
  <si>
    <t>Nasrullah Khan</t>
  </si>
  <si>
    <t>0300-4007108</t>
  </si>
  <si>
    <t>27.07.2024</t>
  </si>
  <si>
    <t>Mubashir Iqbal</t>
  </si>
  <si>
    <t>20-08-2024</t>
  </si>
  <si>
    <t>Rubaisha Zubair</t>
  </si>
  <si>
    <t>0301-4631917</t>
  </si>
  <si>
    <t>24-08-2024</t>
  </si>
  <si>
    <t>Muhammad Hamas</t>
  </si>
  <si>
    <t>Abid Ali</t>
  </si>
  <si>
    <t>0343-6600015 0343-4661002</t>
  </si>
  <si>
    <t>Zayan Abid</t>
  </si>
  <si>
    <t>Two- B</t>
  </si>
  <si>
    <t>Esha Abid</t>
  </si>
  <si>
    <t>0343-6600015</t>
  </si>
  <si>
    <t>Rehan Abid</t>
  </si>
  <si>
    <t>Rana Ali Hassan</t>
  </si>
  <si>
    <t>Abdul Ghaffar</t>
  </si>
  <si>
    <t>0333-4020608-0345-6353480</t>
  </si>
  <si>
    <t>Salabat Ibrahim</t>
  </si>
  <si>
    <t>Zahid Nawaz</t>
  </si>
  <si>
    <t>0333-4317154 0300-6581897</t>
  </si>
  <si>
    <t>0308-4615294</t>
  </si>
  <si>
    <t>Burhan Imtiaz</t>
  </si>
  <si>
    <t>Imtiaz Husain</t>
  </si>
  <si>
    <t>0317-4884287  0303-4870869</t>
  </si>
  <si>
    <t xml:space="preserve">Misbah Noor </t>
  </si>
  <si>
    <t xml:space="preserve"> 9th-A</t>
  </si>
  <si>
    <t xml:space="preserve">0317-4033945 </t>
  </si>
  <si>
    <t>Shahzada Sultan Ahmad</t>
  </si>
  <si>
    <t>Adman Shahzad</t>
  </si>
  <si>
    <t>0300-1822818  0301-9599134</t>
  </si>
  <si>
    <t>27-08-2024</t>
  </si>
  <si>
    <t>One -A</t>
  </si>
  <si>
    <t>Zoya Bibi</t>
  </si>
  <si>
    <t>0326-2973598  0301-7505672</t>
  </si>
  <si>
    <t>30-08-2024</t>
  </si>
  <si>
    <t>Fajar Bibi</t>
  </si>
  <si>
    <t>M.Musa Khan</t>
  </si>
  <si>
    <t>M. Amir Khan</t>
  </si>
  <si>
    <t>Mahnoor</t>
  </si>
  <si>
    <t>0326-4148906  0309-4494900</t>
  </si>
  <si>
    <t>Serfraz Ahamd</t>
  </si>
  <si>
    <t>0300-0435015  0300-0435013</t>
  </si>
  <si>
    <t>14-09-2024</t>
  </si>
  <si>
    <t xml:space="preserve">Muhammad Usman Nazir </t>
  </si>
  <si>
    <t>0308-6643913  0314-6643913</t>
  </si>
  <si>
    <t>Hamid Bashir</t>
  </si>
  <si>
    <t>0323-4303048  0301-4412853</t>
  </si>
  <si>
    <t>28-07-2024</t>
  </si>
  <si>
    <t xml:space="preserve"> 0314-6643913</t>
  </si>
  <si>
    <t>16-09-2024</t>
  </si>
  <si>
    <t xml:space="preserve">Noor Fatima </t>
  </si>
  <si>
    <t xml:space="preserve">Farooq Nasir </t>
  </si>
  <si>
    <t>0317-9928107 0344-1600305</t>
  </si>
  <si>
    <t>Humaira Muhammad Ali</t>
  </si>
  <si>
    <t>0301-4768612</t>
  </si>
  <si>
    <t>24-09-2024</t>
  </si>
  <si>
    <t>Esha</t>
  </si>
  <si>
    <t>Khizar Hayat Bhatti</t>
  </si>
  <si>
    <t>Abeeha Usman</t>
  </si>
  <si>
    <t>Muhmmad Usman</t>
  </si>
  <si>
    <t>0321-7741787  0322-9882567</t>
  </si>
  <si>
    <t>Zeshan Haider</t>
  </si>
  <si>
    <t>0321-1591174</t>
  </si>
  <si>
    <t>25-09-2024</t>
  </si>
  <si>
    <t>Zainab Liaqat</t>
  </si>
  <si>
    <t>Liaqat Ali</t>
  </si>
  <si>
    <t>Five-A (Ayesha)</t>
  </si>
  <si>
    <t>0370-0683730</t>
  </si>
  <si>
    <t>Paper fund adjest to her brother 6520</t>
  </si>
  <si>
    <t>Hoorain Nasir Ali</t>
  </si>
  <si>
    <t>0300-2215365</t>
  </si>
  <si>
    <t>Jannat Jazab</t>
  </si>
  <si>
    <t>Muhammad Jazab</t>
  </si>
  <si>
    <t>Arham Jazab</t>
  </si>
  <si>
    <t>0300-7240042  0335-4652284</t>
  </si>
  <si>
    <t>Muhammad Uzair Khan</t>
  </si>
  <si>
    <t>0308-4184992  0300-8097592</t>
  </si>
  <si>
    <t>Rameen Sami Khan</t>
  </si>
  <si>
    <t xml:space="preserve">Sami Ullah </t>
  </si>
  <si>
    <t>0306-1832456</t>
  </si>
  <si>
    <t>Hajab Qaisar</t>
  </si>
  <si>
    <t>Qaisar Riasat</t>
  </si>
  <si>
    <t>0300-2215365  0343-4350025</t>
  </si>
  <si>
    <t>Huramat Sami</t>
  </si>
  <si>
    <t>Sami Ullah</t>
  </si>
  <si>
    <t>0306-1832455</t>
  </si>
  <si>
    <t>Muhammad Wali Mujtaba</t>
  </si>
  <si>
    <t>Qamar ud Din Qadri</t>
  </si>
  <si>
    <t>0322-7264075  0303-4822169</t>
  </si>
  <si>
    <t>Sajjid Ali Qasir</t>
  </si>
  <si>
    <t>Qaisar Nawaz</t>
  </si>
  <si>
    <t>Seven -B (Sir Syed)</t>
  </si>
  <si>
    <t>0314-7221915</t>
  </si>
  <si>
    <t>Muhammad Ryan Amjad</t>
  </si>
  <si>
    <t>Muhammad Amjad Shad</t>
  </si>
  <si>
    <t>0334-4945458  0332-4312713</t>
  </si>
  <si>
    <t>Dilawar Hussain</t>
  </si>
  <si>
    <t>0301-4700985</t>
  </si>
  <si>
    <t>Aleeza Zainab</t>
  </si>
  <si>
    <t>Qasir Riasat</t>
  </si>
  <si>
    <t>Five-A (Fatima)</t>
  </si>
  <si>
    <t>14-10-2024</t>
  </si>
  <si>
    <t>Subhan Qasir</t>
  </si>
  <si>
    <t>Qaiser Riasat</t>
  </si>
  <si>
    <t>Husnain Nasir</t>
  </si>
  <si>
    <t>0300-2215365  0348-4350025</t>
  </si>
  <si>
    <t>Haseeb Nasir</t>
  </si>
  <si>
    <t>Sameer Nasir</t>
  </si>
  <si>
    <t>Five -B (Sir Syed)</t>
  </si>
  <si>
    <t>Abdullah Jabar</t>
  </si>
  <si>
    <t>Jabar Hussain</t>
  </si>
  <si>
    <t xml:space="preserve"> Nursery -C</t>
  </si>
  <si>
    <t>0303-4332463   0300-2215365</t>
  </si>
  <si>
    <t>Anaya Jabar</t>
  </si>
  <si>
    <t>0303-4332463  0300-2215365</t>
  </si>
  <si>
    <t>Musahiba Habib</t>
  </si>
  <si>
    <t xml:space="preserve">Habib Ullah </t>
  </si>
  <si>
    <t>0312-6037051  0347-4005948</t>
  </si>
  <si>
    <t>30-10-2024</t>
  </si>
  <si>
    <t>Fee paid up to Nomvember 2024</t>
  </si>
  <si>
    <t>0300-4457082</t>
  </si>
  <si>
    <t>Humaira Bibi</t>
  </si>
  <si>
    <t>Javed Masih</t>
  </si>
  <si>
    <t>Tehreem Fatima</t>
  </si>
  <si>
    <t>Farooq Ahmad</t>
  </si>
  <si>
    <t>0302-4453748</t>
  </si>
  <si>
    <t>Fakeeha Shakil</t>
  </si>
  <si>
    <t>Shakil ahmad Naveed</t>
  </si>
  <si>
    <t>0345-4762159</t>
  </si>
  <si>
    <t>0304-4439086  0346-6366143</t>
  </si>
  <si>
    <t>Bisma Shehzadi</t>
  </si>
  <si>
    <t>0345-4431353</t>
  </si>
  <si>
    <t xml:space="preserve">Usman </t>
  </si>
  <si>
    <t>0301-1078975</t>
  </si>
  <si>
    <t>Areeb Alam</t>
  </si>
  <si>
    <t>Muhammad Bin Yaseen</t>
  </si>
  <si>
    <t>0302-6277013  0305-4853228</t>
  </si>
  <si>
    <t>Adeel Atif</t>
  </si>
  <si>
    <t>0309-0854130  0303-8942607</t>
  </si>
  <si>
    <t>Imtiaz Hussain</t>
  </si>
  <si>
    <t>Five -B (Iqbal)</t>
  </si>
  <si>
    <t>0317-4884287  0301-4123168</t>
  </si>
  <si>
    <t>Ali Assadullah</t>
  </si>
  <si>
    <t>0308-6632946  0304-9174462</t>
  </si>
  <si>
    <t xml:space="preserve">Ali Ahsan </t>
  </si>
  <si>
    <t>0343-4329821</t>
  </si>
  <si>
    <t>Kiran Fatima</t>
  </si>
  <si>
    <t xml:space="preserve">0300-9400572 </t>
  </si>
  <si>
    <t>Muhammad Bin Liaqat</t>
  </si>
  <si>
    <t xml:space="preserve">Mehak Fatima </t>
  </si>
  <si>
    <t>0303-7333182  0303-6200182</t>
  </si>
  <si>
    <t xml:space="preserve">Aimen Fatima </t>
  </si>
  <si>
    <t>Muqadas Adnan</t>
  </si>
  <si>
    <t xml:space="preserve">Adnan </t>
  </si>
  <si>
    <t>0326-1515922</t>
  </si>
  <si>
    <t>Pervaiz Ahmad</t>
  </si>
  <si>
    <t>0349-3537089  0325-4408085</t>
  </si>
  <si>
    <t>Anwar Husain</t>
  </si>
  <si>
    <t>0345-6300088  0301-4746910</t>
  </si>
  <si>
    <t>Ayesha Mudassar</t>
  </si>
  <si>
    <t>Mudassar Ali Akbar</t>
  </si>
  <si>
    <t>0325-6477362  0329-8722363</t>
  </si>
  <si>
    <t>Six -B (Iqbal)</t>
  </si>
  <si>
    <t xml:space="preserve">Imtiaz Hussain </t>
  </si>
  <si>
    <t>0317-4884287 0303-4870869</t>
  </si>
  <si>
    <t>Huzaima Fatima</t>
  </si>
  <si>
    <t xml:space="preserve">Muhammad Nabeel Ashraf </t>
  </si>
  <si>
    <t>دیا گیا ووچر سکول فیس/ بقایاجات ماہ مارچ مورخہ10مارچ2025  سے پہلے ہر صورت جمع کروائیں۔لیٹ ہونے کی صورت میں ووچر کے مطابق جرمانہ اداکرنا ہوگا۔20 تاریخ کے بعد سکول سے نام خارج کیا جا سکتاہے۔ شکریہ</t>
  </si>
  <si>
    <t>0344-4210073  0307-4670006</t>
  </si>
  <si>
    <t xml:space="preserve">Fizza Muzammal </t>
  </si>
  <si>
    <t>Muzammal Ameen</t>
  </si>
  <si>
    <t>0300-2343622   0300-4796021</t>
  </si>
  <si>
    <t>Ayesha Arshad</t>
  </si>
  <si>
    <t>Iman Asim</t>
  </si>
  <si>
    <t xml:space="preserve">Asim Naeem Hussain </t>
  </si>
  <si>
    <t>0301-4613700</t>
  </si>
  <si>
    <t>Khadija Noor</t>
  </si>
  <si>
    <t xml:space="preserve">0344-4347816   0334-4071611 </t>
  </si>
  <si>
    <t xml:space="preserve">Actual </t>
  </si>
  <si>
    <t>Total</t>
  </si>
  <si>
    <t xml:space="preserve">Ahmad Essa </t>
  </si>
  <si>
    <t>Usman Shah</t>
  </si>
  <si>
    <t>0325-7047847  0300-4418084</t>
  </si>
  <si>
    <t>Muhammad Hanzala Dogar</t>
  </si>
  <si>
    <t>0320-9900551  0321-8515551</t>
  </si>
  <si>
    <t xml:space="preserve">M. Abdullah Khan </t>
  </si>
  <si>
    <t>Muhammad Zain</t>
  </si>
  <si>
    <t>Umme Maryam</t>
  </si>
  <si>
    <t>0344-4735500  0343-6045736 (w)</t>
  </si>
  <si>
    <t>Ehsanullah</t>
  </si>
  <si>
    <t>0300-9493578</t>
  </si>
  <si>
    <t xml:space="preserve">Hira Zeenat </t>
  </si>
  <si>
    <t>Mazhar Abbas</t>
  </si>
  <si>
    <t>0304-4845329 0303-4855211  0318-4268209(W)</t>
  </si>
  <si>
    <t xml:space="preserve">Kashaf Noor </t>
  </si>
  <si>
    <t>Zainab Noor</t>
  </si>
  <si>
    <t>Rizwan Qayyum</t>
  </si>
  <si>
    <t>0332-8565964</t>
  </si>
  <si>
    <t>Sahar Fatima Noor</t>
  </si>
  <si>
    <t>Areesha Asmat</t>
  </si>
  <si>
    <t>Asmat Ullah</t>
  </si>
  <si>
    <t>0313-7642985  0312-4156003</t>
  </si>
  <si>
    <t>Arham Abdullah</t>
  </si>
  <si>
    <t>0321-9575890   0311-4295813</t>
  </si>
  <si>
    <t>Muhammad Hasham Asif</t>
  </si>
  <si>
    <t>Muhammad Asif Amin</t>
  </si>
  <si>
    <t>0333-4293785  0334-4945545</t>
  </si>
  <si>
    <t>Haram Ilyas</t>
  </si>
  <si>
    <t>0321-4837178  0340-5257413</t>
  </si>
  <si>
    <t xml:space="preserve">Afan Ali </t>
  </si>
  <si>
    <t>Fe paid upto Sept 2024</t>
  </si>
  <si>
    <t>0346-4804365  0321-9477103</t>
  </si>
  <si>
    <t>0340-5598714  0303-9904125</t>
  </si>
  <si>
    <t>Atta Fareed</t>
  </si>
  <si>
    <t>Muhammad Kamran</t>
  </si>
  <si>
    <t>0324-7958392  0313-4745743</t>
  </si>
  <si>
    <t>Muhammad Hassan Saeed</t>
  </si>
  <si>
    <t>Muhammad Saeed</t>
  </si>
  <si>
    <t xml:space="preserve"> Old-9th-B</t>
  </si>
  <si>
    <t>0329-8084060</t>
  </si>
  <si>
    <t>Shamas Pervaiz</t>
  </si>
  <si>
    <t>0300-4184540</t>
  </si>
  <si>
    <t>Aoun Altaf Maan</t>
  </si>
  <si>
    <t>Zeeshan Altaf Maan</t>
  </si>
  <si>
    <t>0301-4750807  0322-6605347</t>
  </si>
  <si>
    <t xml:space="preserve">Zainab Khan </t>
  </si>
  <si>
    <t>Amena Ali</t>
  </si>
  <si>
    <t>Aima Arfan</t>
  </si>
  <si>
    <t>Arfan</t>
  </si>
  <si>
    <t xml:space="preserve">0306-7566227  </t>
  </si>
  <si>
    <t xml:space="preserve">Muhammad Hassan </t>
  </si>
  <si>
    <t>Syed M.Imad Waqas</t>
  </si>
  <si>
    <t>Syed Waqas Sajjad</t>
  </si>
  <si>
    <t>0321-6663047  0300-6663047</t>
  </si>
  <si>
    <t>Muhammad Saud</t>
  </si>
  <si>
    <t>0321-6829671</t>
  </si>
  <si>
    <t>Muhammad Faiq Nabeel Cheema</t>
  </si>
  <si>
    <t>Muhammad Nabeel Ashraf</t>
  </si>
  <si>
    <t>0321-4596479</t>
  </si>
  <si>
    <t xml:space="preserve">Muhammad Abu Bakkar </t>
  </si>
  <si>
    <t xml:space="preserve">0344-4347816  0334-4071611 </t>
  </si>
  <si>
    <t>Muhammad Hussain Muzammil</t>
  </si>
  <si>
    <t>0300-2343622  0300-4796021  0334-4291169</t>
  </si>
  <si>
    <t>0308-5112052 0300-4171209</t>
  </si>
  <si>
    <t>Muhammad Asim Sohail</t>
  </si>
  <si>
    <t>0347-4622280</t>
  </si>
  <si>
    <t>Fiza Batool</t>
  </si>
  <si>
    <t xml:space="preserve">Mafia Javed </t>
  </si>
  <si>
    <t xml:space="preserve">M.Ismail Akhtar Virk </t>
  </si>
  <si>
    <t>0302-0016675 0300-8745795</t>
  </si>
  <si>
    <t>0348-1491003  0301-4608718</t>
  </si>
  <si>
    <t>Muhammad Ishtiaq</t>
  </si>
  <si>
    <t>0307-4290831</t>
  </si>
  <si>
    <t>Hashim Wadood</t>
  </si>
  <si>
    <t>Six -B (Sir Syed)</t>
  </si>
  <si>
    <t xml:space="preserve">0321-3607067  </t>
  </si>
  <si>
    <t>Ghazanfar Ali</t>
  </si>
  <si>
    <t>0348-4931720    0300-6412453</t>
  </si>
  <si>
    <t>Irtaza Qaisar</t>
  </si>
  <si>
    <t>0300-8166753  0306-4928226</t>
  </si>
  <si>
    <t>M. Ahmad Noeen</t>
  </si>
  <si>
    <t>0333-4256928</t>
  </si>
  <si>
    <t>M.Gul Sher Virk</t>
  </si>
  <si>
    <t>Imran  Ali Virk</t>
  </si>
  <si>
    <t>Muneeba Shahid</t>
  </si>
  <si>
    <t>M. Shahid Mehmood</t>
  </si>
  <si>
    <t>0327-0021092</t>
  </si>
  <si>
    <t>Syed M.Saud Shah</t>
  </si>
  <si>
    <t>Syed M.Maqsood Shah</t>
  </si>
  <si>
    <t>0321-7492970  0302-4649898</t>
  </si>
  <si>
    <t>0346-6327795</t>
  </si>
  <si>
    <t>Aliza Asim</t>
  </si>
  <si>
    <t>Asim Naeem Hussain</t>
  </si>
  <si>
    <t>0300-2910801</t>
  </si>
  <si>
    <t>Muhammad Ayyan Faisal</t>
  </si>
  <si>
    <t>Rana Faisal Shahzad</t>
  </si>
  <si>
    <t>0300-8804952 0301-4004908</t>
  </si>
  <si>
    <t>Ayesha Mazhar</t>
  </si>
  <si>
    <t>0318-4268209   0303-4855211</t>
  </si>
  <si>
    <t>Urwa-tul-Wasqah</t>
  </si>
  <si>
    <t>0321-8515551</t>
  </si>
  <si>
    <t>Abeeha  Fatima</t>
  </si>
  <si>
    <t>Arsalan Manzoor</t>
  </si>
  <si>
    <t>دیا گیا ووچر سکول فیس/ بقایاجات ماہ اپریل مورخہ10اپریل2025  سے پہلے ہر صورت جمع کروائیں۔لیٹ ہونے کی صورت میں ووچر کے مطابق جرمانہ اداکرنا ہوگا۔20 تاریخ کے بعد سکول سے نام خارج کیا جا سکتاہے۔ شکریہ</t>
  </si>
  <si>
    <t>0300-2108866  0308-4505847</t>
  </si>
  <si>
    <t>Zaki Haider</t>
  </si>
  <si>
    <t>Danial Abbas</t>
  </si>
  <si>
    <t>0345-4042221   0300-5062548</t>
  </si>
  <si>
    <t>Ayan Haider</t>
  </si>
  <si>
    <t xml:space="preserve">Muhammad Yaseen </t>
  </si>
  <si>
    <t xml:space="preserve"> 0300-4171209</t>
  </si>
  <si>
    <t>Fassih Sajjad</t>
  </si>
  <si>
    <t>Shahiryar Ali</t>
  </si>
  <si>
    <t>Shafique Ahmad</t>
  </si>
  <si>
    <t>0301-6287000  0327-0928060</t>
  </si>
  <si>
    <t>Maryam Ilyas</t>
  </si>
  <si>
    <t>0340-5257413    0342-4782398</t>
  </si>
  <si>
    <t>M.Shazil Saeed</t>
  </si>
  <si>
    <t>Rs.1000/- added of Note Books</t>
  </si>
  <si>
    <t>M Burhan Imtiaz</t>
  </si>
  <si>
    <t>0317-4884287</t>
  </si>
  <si>
    <t>Soheera</t>
  </si>
  <si>
    <t>Muhammad Faizan Abdul Hadi</t>
  </si>
  <si>
    <t>Muhammad Usma Babar</t>
  </si>
  <si>
    <t>Zaroon Khurram</t>
  </si>
  <si>
    <t xml:space="preserve">Khurram Shehzad </t>
  </si>
  <si>
    <t>Ayan Ahmad</t>
  </si>
  <si>
    <t>0340-5257413</t>
  </si>
  <si>
    <t>Rehan Shahid</t>
  </si>
  <si>
    <t>0327-0021092  0303-8641080</t>
  </si>
  <si>
    <t xml:space="preserve">Fida Hussain </t>
  </si>
  <si>
    <t>0308-4025808</t>
  </si>
  <si>
    <t xml:space="preserve">Sehar Shehzad </t>
  </si>
  <si>
    <t>Shehzad Anwar</t>
  </si>
  <si>
    <t>دیا گیا ووچر سکول فیس/ بقایاجات ماہ مئی مورخہ10مئی2025  سے پہلے ہر صورت جمع کروائیں۔لیٹ ہونے کی صورت میں ووچر کے مطابق جرمانہ اداکرنا ہوگا۔20 تاریخ کے بعد سکول سے نام خارج کیا جا سکتاہے۔ شکریہ</t>
  </si>
  <si>
    <t xml:space="preserve">0304-4438114  </t>
  </si>
  <si>
    <t>Nazar Abbas</t>
  </si>
  <si>
    <t>0305-4773353</t>
  </si>
  <si>
    <t>0316-4033573</t>
  </si>
  <si>
    <t xml:space="preserve">Only Hifz Class </t>
  </si>
  <si>
    <t>Arfan Ahmad</t>
  </si>
  <si>
    <t>0306-7566227</t>
  </si>
  <si>
    <t>Mumtaz Hussain</t>
  </si>
  <si>
    <t>0300-4743978  0315-4743069</t>
  </si>
  <si>
    <t>Muhammad Arsal Wali</t>
  </si>
  <si>
    <t>0344-4210073</t>
  </si>
  <si>
    <t>Syeda Bareeha Batool Rizvi</t>
  </si>
  <si>
    <t>Syed Muhammad Mehdi Haider</t>
  </si>
  <si>
    <t>0334-1727377   0332-5227247</t>
  </si>
  <si>
    <t>Tausif ur Rehman</t>
  </si>
  <si>
    <t>0345-4361949  0343-7019295</t>
  </si>
  <si>
    <t>Muhammad Badar Saeed</t>
  </si>
  <si>
    <t>0308-1711354</t>
  </si>
  <si>
    <t>Muhammad Saad Raza</t>
  </si>
  <si>
    <t>0344-1143505</t>
  </si>
  <si>
    <t>Abdullah  Abdullah</t>
  </si>
  <si>
    <t>0300-4509876</t>
  </si>
  <si>
    <t xml:space="preserve">fee paid for march 2025 fee 1300 </t>
  </si>
  <si>
    <t xml:space="preserve">Muhammad Anus </t>
  </si>
  <si>
    <t>0303-4887983  0304-5272042</t>
  </si>
  <si>
    <t>Hamna Malik</t>
  </si>
  <si>
    <t xml:space="preserve">Hadia Malik </t>
  </si>
  <si>
    <t xml:space="preserve">Amir Hussian </t>
  </si>
  <si>
    <t>0322-4067020  0323-7085052</t>
  </si>
  <si>
    <t xml:space="preserve">Urwa Noor </t>
  </si>
  <si>
    <t>0323-7085052  0322-4067020</t>
  </si>
  <si>
    <t>Usman Ahmad</t>
  </si>
  <si>
    <t>Pre-9th B Hifz</t>
  </si>
  <si>
    <t>0333-4743176  0334-8115427</t>
  </si>
  <si>
    <t xml:space="preserve">Hassan Ahmad </t>
  </si>
  <si>
    <t>0333-4743176  0332-4113655</t>
  </si>
  <si>
    <t>Abdullah Azzam</t>
  </si>
  <si>
    <t>Nasir Malik</t>
  </si>
  <si>
    <t>0333-4825160  0322-4934127</t>
  </si>
  <si>
    <t xml:space="preserve">Fiaz Ahmad </t>
  </si>
  <si>
    <t>0332-0326200</t>
  </si>
  <si>
    <t>Muhammad Suleman Fiaz</t>
  </si>
  <si>
    <t>0332-0326200   -  0332-4020196</t>
  </si>
  <si>
    <t>Asna Shakeel</t>
  </si>
  <si>
    <t xml:space="preserve">Shakeel Ahmad Naveed </t>
  </si>
  <si>
    <t>دیا گیا ووچر سکول فیس/ بقایاجات ماہ جون مورخہ03جون2025ء  سے پہلے ہر صورت جمع کروائیں۔لیٹ ہونے کی صورت میں ووچر کے مطابق جرمانہ اداکرنا ہوگااور نہ ہی چھٹیوں کی ہوم اسائنمنٹ دی جائے گی۔ شکریہ</t>
  </si>
  <si>
    <t xml:space="preserve">Jan </t>
  </si>
  <si>
    <t>Feb</t>
  </si>
  <si>
    <t>Aroosh Talha</t>
  </si>
  <si>
    <t>Talha Waheed</t>
  </si>
  <si>
    <t xml:space="preserve">دیا گیا ووچر سکول فیس/ بقایاجات ماہ جولائی مورخہ07جولائی2025ء  تک بمعہ فرسٹ اسائنمنٹ(چھٹیوں کا کام) مکمل حل شدہ جمع کرواکردوسری اسائنمنٹ(چھٹیوں کا کام) ماہ جولائی وصول کریں۔تاکہ بچوں کا قیمتی وقت ضائع نہ ہو۔ </t>
  </si>
  <si>
    <t>0331-4715215 0334-4971128</t>
  </si>
  <si>
    <t>Fee paid and Misc  for May  2025</t>
  </si>
  <si>
    <t>Abrish Fatima</t>
  </si>
  <si>
    <t>Waqqas Mehmood</t>
  </si>
  <si>
    <t>Minaal Israr</t>
  </si>
  <si>
    <t>Israr Ahmad</t>
  </si>
  <si>
    <t>0322-7289983  0323-4401667</t>
  </si>
  <si>
    <t>Nauman Malik</t>
  </si>
  <si>
    <t>Shahzad Malik</t>
  </si>
  <si>
    <t>0324-4082172  0304-4779973</t>
  </si>
  <si>
    <t>Areej Israr</t>
  </si>
  <si>
    <t>دیا گیا ووچر سکول فیس/ بقایاجات ماہ جولائی مورخہ07جولائی2025ء  تک ہر صورت جمع کروائیں۔ لینٹ ہونے کی صورت میں ووچر کے مطابق جرمانہ ادا کرنا ہوگا۔</t>
  </si>
  <si>
    <t>0323-4401667</t>
  </si>
  <si>
    <t>0312-3939569</t>
  </si>
  <si>
    <t xml:space="preserve">Haram bint-e-Waqas </t>
  </si>
  <si>
    <t>Fee paid up to Sept 2024</t>
  </si>
  <si>
    <t xml:space="preserve">Ali Imran </t>
  </si>
  <si>
    <t>0305-9184043</t>
  </si>
  <si>
    <t>Usman Ghani</t>
  </si>
  <si>
    <t xml:space="preserve">0302-4475432  0300-4020425  </t>
  </si>
  <si>
    <t>Hifza Fatima</t>
  </si>
  <si>
    <t xml:space="preserve">Muhammad Ifrahim </t>
  </si>
  <si>
    <t xml:space="preserve">Faizan Faisal </t>
  </si>
  <si>
    <t>دیا گیا ووچر سکول فیس/ بقایاجات ماہ اگست مورخہ07اگست2025ء  تک جمع کروائیں اور سیکنڈ اسائنمنٹ(چھٹیوں کا کام) مکمل حل شدہ بھی جمع کرواکر ہونے والا فرسٹ ٹرم  امتحان سلیبس بمعہ ڈیٹ شیٹ  ہر صورت وصول کریں۔تاکہ بچوں کا تعلیمی نقصان نہ ہو۔</t>
  </si>
  <si>
    <t xml:space="preserve">Husnain Faisal </t>
  </si>
  <si>
    <t>Rana Qamar Husain Sardar</t>
  </si>
  <si>
    <t>0325-78820596</t>
  </si>
  <si>
    <t xml:space="preserve">0345-6295874  </t>
  </si>
  <si>
    <t xml:space="preserve">Nazir Hussain </t>
  </si>
  <si>
    <t>دیا گیا ووچر سکول فیس/ بقایاجات ماہ ستمبر مورخہ07ستمبر2025ء  تک لازمی جمع کروائیں۔ عدم ادائیگی یا لیٹ ہونے کی صورت میں بچہ /بچی کو ہونے والے فرسٹ ٹرم امتحان میں بیٹھنے کی اجازت نہ ہوگی۔ شکریہ</t>
  </si>
  <si>
    <t>0307-4521468 0313-4940264</t>
  </si>
  <si>
    <t>Muhammad Faizan Arshad</t>
  </si>
  <si>
    <t>0340-1414900  - 0345-6294817</t>
  </si>
  <si>
    <t>Asif Masih</t>
  </si>
  <si>
    <t xml:space="preserve">Arbab Tariq </t>
  </si>
  <si>
    <t xml:space="preserve">Tariq Shehzad </t>
  </si>
  <si>
    <t>0307-4243204  0346-6427749</t>
  </si>
  <si>
    <t>Malik Chaman Safdar</t>
  </si>
  <si>
    <t>Malik Safdar Hussain</t>
  </si>
  <si>
    <t>0345-4314372</t>
  </si>
  <si>
    <t>Muhammad Moeeb</t>
  </si>
  <si>
    <t>0339-7868287  0307-4290831</t>
  </si>
  <si>
    <t>Abaid Ullah</t>
  </si>
  <si>
    <t>0300-8848764</t>
  </si>
  <si>
    <t>Atta-ur-Rehman</t>
  </si>
  <si>
    <t xml:space="preserve">Abdul Rehman Shah </t>
  </si>
  <si>
    <t>Abdul Rafay Farooq</t>
  </si>
  <si>
    <t>Muhammad Farooq</t>
  </si>
  <si>
    <t>0325-4849056 -  0300-6656440</t>
  </si>
  <si>
    <t xml:space="preserve">Muhammad Jawad Tariq </t>
  </si>
  <si>
    <t>Abdul Rehman Shah</t>
  </si>
  <si>
    <t>0303-2881705</t>
  </si>
  <si>
    <t>Zainab Tariq</t>
  </si>
  <si>
    <t xml:space="preserve">Adil Riaz </t>
  </si>
  <si>
    <t xml:space="preserve">Muhammad Riaz </t>
  </si>
  <si>
    <t>0330-4697200  0311-4978814</t>
  </si>
  <si>
    <t>Ahsan Ullah</t>
  </si>
  <si>
    <t>Sameer Ahmad</t>
  </si>
  <si>
    <t xml:space="preserve">0344-7638152  </t>
  </si>
  <si>
    <t xml:space="preserve">Mohid Nouman </t>
  </si>
  <si>
    <t>Nouman Sheikh</t>
  </si>
  <si>
    <t>0325-9878804    0309-4078376</t>
  </si>
  <si>
    <t>Mahnoor Fatima</t>
  </si>
  <si>
    <t xml:space="preserve">Ameer Nawaz </t>
  </si>
  <si>
    <t>0308-4374635 0305-8984941</t>
  </si>
  <si>
    <t>Ameena Ali</t>
  </si>
  <si>
    <t>0346-4804365  0348-43100 24 /36</t>
  </si>
  <si>
    <t>Fee and fund  paid for September 2025</t>
  </si>
  <si>
    <t>0337-4000140  0307-4313279</t>
  </si>
  <si>
    <t>Muhammad Hamad Tariq</t>
  </si>
  <si>
    <t>Jamshaid Alam</t>
  </si>
  <si>
    <t>0300-8532580  0307-4107603</t>
  </si>
  <si>
    <t>Muhammad Husain</t>
  </si>
  <si>
    <t xml:space="preserve">Haram Imran </t>
  </si>
  <si>
    <t>Imran Ali</t>
  </si>
  <si>
    <t>0321-7062504  0322-1647853</t>
  </si>
  <si>
    <t>Fee paid for April + May 2025</t>
  </si>
  <si>
    <t>Romah</t>
  </si>
  <si>
    <t>0304-9461176  0309-2511923</t>
  </si>
  <si>
    <t>0346-4804365  0348-43100 34/24</t>
  </si>
  <si>
    <t>Usman-e-Ghani</t>
  </si>
  <si>
    <t>Muhammad Shehzad</t>
  </si>
  <si>
    <t>0322-7911658  0308-4232492</t>
  </si>
  <si>
    <t>Anid Shehroz</t>
  </si>
  <si>
    <t>0315-0479788</t>
  </si>
  <si>
    <t xml:space="preserve">Sunaina </t>
  </si>
  <si>
    <t xml:space="preserve">Anid Shehroz Ahmad </t>
  </si>
  <si>
    <t>Muhammad Arman</t>
  </si>
  <si>
    <t xml:space="preserve">Hussain Abdullah </t>
  </si>
  <si>
    <t>0310-3949605</t>
  </si>
  <si>
    <t xml:space="preserve">Misc. Fund paid </t>
  </si>
  <si>
    <t>Zain Shahid</t>
  </si>
  <si>
    <t>0327-4741652  0305-4329000</t>
  </si>
  <si>
    <t>Fee paid October 2025</t>
  </si>
  <si>
    <t xml:space="preserve">Khadija Fatima </t>
  </si>
  <si>
    <t>0301-4433668  0336-4100343</t>
  </si>
  <si>
    <t xml:space="preserve">Nisa Fatima </t>
  </si>
  <si>
    <t xml:space="preserve">Zahir Raza </t>
  </si>
  <si>
    <t>Maryam Tariq</t>
  </si>
  <si>
    <t>0302-3171316</t>
  </si>
  <si>
    <t xml:space="preserve">Meerab Tariq </t>
  </si>
  <si>
    <t>Khuliqu Zaman</t>
  </si>
  <si>
    <t>0333-6721746</t>
  </si>
  <si>
    <t>Migration</t>
  </si>
  <si>
    <t xml:space="preserve">Muhammad Ali Gohar </t>
  </si>
  <si>
    <t xml:space="preserve">Kashif Afzaal </t>
  </si>
  <si>
    <t>0324-495383 0312-4494216</t>
  </si>
  <si>
    <t xml:space="preserve">Private </t>
  </si>
  <si>
    <t xml:space="preserve">Debaj Zuhra </t>
  </si>
  <si>
    <t>Altaf Husain Shal</t>
  </si>
  <si>
    <t>0301-6011042  0308-6179293</t>
  </si>
  <si>
    <t>P.G-B</t>
  </si>
  <si>
    <t>Nursery-C</t>
  </si>
  <si>
    <t>Nursery- C</t>
  </si>
  <si>
    <t xml:space="preserve">Attaiq Ur Rehman </t>
  </si>
  <si>
    <t>Salman Ahmad</t>
  </si>
  <si>
    <t>Mansib Ali</t>
  </si>
  <si>
    <t>0300-9819790  0333-9819790</t>
  </si>
  <si>
    <t xml:space="preserve">Fee paid for Nove and Fund Paid 2025 </t>
  </si>
  <si>
    <t>M. Akrash Mazhar</t>
  </si>
  <si>
    <t xml:space="preserve">Mazhar Hussain </t>
  </si>
  <si>
    <t>0301-1659118 0300-6527814 0346-6309204</t>
  </si>
  <si>
    <t xml:space="preserve">0326-7763242 0347-4096348  </t>
  </si>
  <si>
    <t>0326-7763242 0347-4096348  0317-3549010</t>
  </si>
  <si>
    <t>0326-7763242 0347-4096348</t>
  </si>
  <si>
    <t>0326-7763242 0317-3549010 0318-0177530</t>
  </si>
  <si>
    <t>0326-7763242 0317-3549010</t>
  </si>
  <si>
    <t xml:space="preserve">Hijab Fatima </t>
  </si>
  <si>
    <t xml:space="preserve">Tahir Abbas </t>
  </si>
  <si>
    <t>0301-4382831  0320-9546050</t>
  </si>
  <si>
    <t>Hassan Nadeem</t>
  </si>
  <si>
    <t>0312-7156084</t>
  </si>
  <si>
    <t xml:space="preserve">Momin Ali </t>
  </si>
  <si>
    <t xml:space="preserve">Ali Irtika </t>
  </si>
  <si>
    <t>Fee and fund paid for Nov 2025</t>
  </si>
  <si>
    <t>دیا گیا ووچر سکول فیس/ بقایاجات ماہ نومبر مورخہ7 نومبر2025ء سے پہلے ہر صورت جمع کروائیں ۔ عدم ادئیگی یا لیٹ ہونے کی صورت میں ووچر کے مطابق جرمانہ ادا کرنا ہوگا ۔ شکریہ</t>
  </si>
  <si>
    <t>دیا گیا ووچر سکول فیس/ بقایاجات ماہ نومبر مورخہ7 نومبر2025ء سے پہلے ہر صورت جمع کروائیں ۔ عدم ادئیگی یا لیٹ ہونے کی صورت میں بچہ / بچی کو کلاس میں بیٹھنے کی اجازت نہ ہوگی۔ شکریہ</t>
  </si>
  <si>
    <t xml:space="preserve">Hania Shazab </t>
  </si>
  <si>
    <t xml:space="preserve">Shazab Akram </t>
  </si>
  <si>
    <t>0324-8488564 0346-6223744</t>
  </si>
  <si>
    <t>Muhammad Amir Yasin</t>
  </si>
  <si>
    <t>0300-1499925 0345-4191663</t>
  </si>
  <si>
    <t>Fee and fund  paid upto Nove 2025</t>
  </si>
  <si>
    <t>0300-1499925  0345-4191663</t>
  </si>
  <si>
    <t>Fee and Fund paid Nov 2025</t>
  </si>
  <si>
    <t xml:space="preserve">Muhammad Haris </t>
  </si>
  <si>
    <t xml:space="preserve">Adil Hussain </t>
  </si>
  <si>
    <t xml:space="preserve">Anaya Fatima </t>
  </si>
  <si>
    <t>Feeand fund  paid Nov 2025</t>
  </si>
  <si>
    <t xml:space="preserve">Muhammad Ayan </t>
  </si>
  <si>
    <t>Muhammad Madni</t>
  </si>
  <si>
    <t xml:space="preserve">Kashaf Fatima </t>
  </si>
  <si>
    <t>Fee and fund paid Nov  2025</t>
  </si>
  <si>
    <t>0345-4777634 0348-2741842</t>
  </si>
  <si>
    <t>Abdur Rehman</t>
  </si>
  <si>
    <t>0334-4464801  0302-3466627</t>
  </si>
  <si>
    <t xml:space="preserve"> Fee and fund Paid Nov 2025</t>
  </si>
  <si>
    <t xml:space="preserve">Khadija </t>
  </si>
  <si>
    <t>Muhammad Gul Sher Virk</t>
  </si>
  <si>
    <t>0300-9432603  0306-4357966</t>
  </si>
  <si>
    <t>Fee paid Nov and Fund Paid 2025</t>
  </si>
  <si>
    <t xml:space="preserve">Javeria Arshad </t>
  </si>
  <si>
    <t xml:space="preserve">Arshad Javed </t>
  </si>
  <si>
    <t xml:space="preserve">0320-8802240  0302-6429454 </t>
  </si>
  <si>
    <t>Hafsa Shehzad</t>
  </si>
  <si>
    <t>0304-6318970  0323-4400956</t>
  </si>
  <si>
    <t xml:space="preserve">Yasir Hussain </t>
  </si>
  <si>
    <t>0302-4731191</t>
  </si>
  <si>
    <t>Fee and fund paid Nov 2025</t>
  </si>
  <si>
    <t>Fee paid Nov1000 and Admission charge paid 500 Remaing dues 2000 Admision and annual fund 3000</t>
  </si>
  <si>
    <t xml:space="preserve">Muhammad Ayan Adeel </t>
  </si>
  <si>
    <t xml:space="preserve">Rana Adeel Arif </t>
  </si>
  <si>
    <t>0334-9200153</t>
  </si>
  <si>
    <t>دیا گیا ووچر سکول فیس/ بقایاجات ماہ دسمبر  مورخہ7 دسمبر2025ء سے پہلے ہر صورت جمع کروائیں ۔ عدم ادئیگی یا لیٹ ہونے کی صورت میں بچہ / بچی کو کلاس میں بیٹھنے کی اجازت نہ ہوگی۔ شکریہ</t>
  </si>
  <si>
    <t>0301-7047678  0307-4117340  0300-8166753  0345-6291165</t>
  </si>
  <si>
    <t xml:space="preserve"> 0307-8833495 0304-0940785 </t>
  </si>
  <si>
    <t>Hamid Athar Khan Sherwani</t>
  </si>
  <si>
    <t>Yahya Naveed</t>
  </si>
  <si>
    <t xml:space="preserve">Naveed Ahmad </t>
  </si>
  <si>
    <t>0307-8203738 0306-4117476</t>
  </si>
  <si>
    <t>Junaid Mustafa</t>
  </si>
  <si>
    <t xml:space="preserve">Muhammad Qamar </t>
  </si>
  <si>
    <t>0301-4613946  0322-7912303</t>
  </si>
  <si>
    <t>Hadia Mehboob</t>
  </si>
  <si>
    <t>Mehboob Mustafa</t>
  </si>
  <si>
    <t>Aiman Khadija</t>
  </si>
  <si>
    <t>0301-4613946 0322-7912303</t>
  </si>
  <si>
    <t>Syed Muhammad Musa Raza</t>
  </si>
  <si>
    <t>دیا گیا ووچر سکول فیس/ بقایاجات ماہ جنوری  مورخہ10 جنوری2026ء سے پہلے ہر صورت جمع کروائیں۔چھٹیوں کے دوران سکول دفتر کھلا رہے گا۔ سکول فیس / بقایاجات جمع کروا کر سالانہ امتحان کی ڈیٹ شیٹ اور سلیبس وصول کر لیں۔عدم ادئیگی  کی صورت میں بچہ / بچی کو چھٹیوں کے بعد ہونے والے سالانہ امتحان میں بیٹھنے کی اجازت نہ ہوگی۔ شکریہ</t>
  </si>
  <si>
    <t>0333-8272548</t>
  </si>
  <si>
    <t xml:space="preserve">Anil Raza </t>
  </si>
  <si>
    <t>0302-4090178 0343-8895388  0301-6812825</t>
  </si>
  <si>
    <t>Syed Mutahir Hussain Shah</t>
  </si>
  <si>
    <t>Um-e-Hani</t>
  </si>
  <si>
    <t>0313-1828845</t>
  </si>
  <si>
    <t>0300-4010820  0346-7364073</t>
  </si>
  <si>
    <t>Fee paid for Dec 2025</t>
  </si>
  <si>
    <t>Fee paid Oct 2025</t>
  </si>
  <si>
    <t xml:space="preserve">Zunaira Nadeem </t>
  </si>
  <si>
    <t>Nadeem Tahir</t>
  </si>
  <si>
    <t>0302-4321233 0311-9561231</t>
  </si>
  <si>
    <t>Fee paid for feb 2026</t>
  </si>
  <si>
    <t>Fee paid upto Feb2026</t>
  </si>
  <si>
    <t>+0300-4741951</t>
  </si>
  <si>
    <t>Muhammad Qasim</t>
  </si>
  <si>
    <t>Farooq Husain</t>
  </si>
  <si>
    <t>Fee paid upto Feb 2026</t>
  </si>
  <si>
    <t xml:space="preserve">Sarib Ali </t>
  </si>
  <si>
    <t xml:space="preserve">Imtiaz Ali </t>
  </si>
  <si>
    <t>0320-4141576  0313-8715002</t>
  </si>
  <si>
    <t xml:space="preserve">Haya Fatima </t>
  </si>
  <si>
    <t>Imtiaz Sadiq</t>
  </si>
  <si>
    <t xml:space="preserve">Aatia Batool </t>
  </si>
  <si>
    <t>New Nursery- B</t>
  </si>
  <si>
    <t>New 
Two -A</t>
  </si>
  <si>
    <t>New 
Four-A</t>
  </si>
  <si>
    <t xml:space="preserve">Moiz Nasir </t>
  </si>
  <si>
    <t>Tayyab Nasir</t>
  </si>
  <si>
    <t>8th-B</t>
  </si>
  <si>
    <t>0309-6600778  0303-9925702</t>
  </si>
  <si>
    <t>Fee and Misc paid upto Feb  2026</t>
  </si>
  <si>
    <t xml:space="preserve">Zumar Fatima </t>
  </si>
  <si>
    <t>New 
Six-A</t>
  </si>
  <si>
    <t xml:space="preserve">0309-6600778 0303-9925702 </t>
  </si>
  <si>
    <t>Fee and Misc paid upto Feb  2026-27</t>
  </si>
  <si>
    <t xml:space="preserve">Fee 3000 paid Feb 2026-27 </t>
  </si>
  <si>
    <t>Fee 2600 paid upto Feb 2026</t>
  </si>
  <si>
    <t>Muhammad Muddasar</t>
  </si>
  <si>
    <t>New 
Nursery- A</t>
  </si>
  <si>
    <t>0313-1717786  0323-1408731</t>
  </si>
  <si>
    <t>Fee and fund  paid upto Feb 2026</t>
  </si>
  <si>
    <t>Fee paid advance month Feb 2026</t>
  </si>
  <si>
    <t xml:space="preserve">0309-0463534  0340-3402990 </t>
  </si>
  <si>
    <t xml:space="preserve"> 0346-1344267</t>
  </si>
  <si>
    <t>Fee paid Advance for Feb 2026</t>
  </si>
  <si>
    <t>fee paid Advance  for feb 2026</t>
  </si>
  <si>
    <t>دیا گیا ووچر سکول فیس/ بقایاجات ماہ فروری  مورخہ10 فروری2026ء سے پہلے ہر صورت جمع کروائیں۔ لیٹ ہونے کی صورت میں ووچر کے مطابق جرمانہ اداکرنا ہوگا۔ شکریہ</t>
  </si>
  <si>
    <t>Feepaid for feb 2026</t>
  </si>
  <si>
    <t>Asghar Baig</t>
  </si>
  <si>
    <t>New
Seven-B</t>
  </si>
  <si>
    <t>0327-4939316  0307-4406247</t>
  </si>
  <si>
    <t>0307-4014090  0302-4205060  0307-1020182</t>
  </si>
  <si>
    <t xml:space="preserve">Ajmal Nisar </t>
  </si>
  <si>
    <t>0300-1400591</t>
  </si>
  <si>
    <t xml:space="preserve">8th B  </t>
  </si>
  <si>
    <t xml:space="preserve"> New 8th -A</t>
  </si>
  <si>
    <t>Malaika Sajid</t>
  </si>
  <si>
    <t>0336-7854824</t>
  </si>
  <si>
    <t>Fee and misc paid upto Feb 2026</t>
  </si>
  <si>
    <t>Talha Ajmal</t>
  </si>
  <si>
    <t>Fee paid Feb 2026</t>
  </si>
  <si>
    <t>Masroor Ajmal</t>
  </si>
  <si>
    <t xml:space="preserve"> New Five -B</t>
  </si>
  <si>
    <t xml:space="preserve">Zainab Sajid </t>
  </si>
  <si>
    <t>0304-8421193  0334-4190912</t>
  </si>
  <si>
    <t xml:space="preserve">Umair Ajmal </t>
  </si>
  <si>
    <t xml:space="preserve">Mirha Fatima </t>
  </si>
  <si>
    <t xml:space="preserve">Usman Aslam </t>
  </si>
  <si>
    <t>New P.G-A</t>
  </si>
  <si>
    <t>0305-4546321</t>
  </si>
  <si>
    <t>Wareesha Nadeem</t>
  </si>
  <si>
    <t>New 
Seven-A</t>
  </si>
  <si>
    <t>0302-4321233  0311-9561231</t>
  </si>
  <si>
    <t>Fee and fund paid Feb 2026</t>
  </si>
  <si>
    <t>Dainal Ajmal</t>
  </si>
  <si>
    <t>Ajmal Nasir</t>
  </si>
  <si>
    <t>Asia</t>
  </si>
  <si>
    <t>0324-3350648  0309-4956737</t>
  </si>
  <si>
    <t>Fee and fund paid for Feb 2026</t>
  </si>
  <si>
    <t xml:space="preserve">Fiddak Zuhra </t>
  </si>
  <si>
    <t>Zawar Hussain</t>
  </si>
  <si>
    <t>0303-6495188 0328-4972341</t>
  </si>
  <si>
    <t>Khirad Askari</t>
  </si>
  <si>
    <t xml:space="preserve">Tassadaq Hussain </t>
  </si>
  <si>
    <t>0333-4234771  0307-1442283</t>
  </si>
  <si>
    <t xml:space="preserve">Arman Ali </t>
  </si>
  <si>
    <t>New Four-B</t>
  </si>
</sst>
</file>

<file path=xl/styles.xml><?xml version="1.0" encoding="utf-8"?>
<styleSheet xmlns="http://schemas.openxmlformats.org/spreadsheetml/2006/main">
  <numFmts count="1">
    <numFmt numFmtId="44" formatCode="_(&quot;$&quot;* #,##0.00_);_(&quot;$&quot;* \(#,##0.00\);_(&quot;$&quot;* &quot;-&quot;??_);_(@_)"/>
  </numFmts>
  <fonts count="36">
    <font>
      <sz val="11"/>
      <color theme="1"/>
      <name val="Calibri"/>
      <family val="2"/>
      <scheme val="minor"/>
    </font>
    <font>
      <b/>
      <sz val="10"/>
      <color indexed="8"/>
      <name val="Arial"/>
      <family val="2"/>
    </font>
    <font>
      <b/>
      <sz val="13"/>
      <color indexed="8"/>
      <name val="Arial"/>
      <family val="2"/>
    </font>
    <font>
      <b/>
      <sz val="11"/>
      <color indexed="8"/>
      <name val="Calibri"/>
      <family val="2"/>
    </font>
    <font>
      <b/>
      <sz val="13"/>
      <color indexed="8"/>
      <name val="Calibri"/>
      <family val="2"/>
    </font>
    <font>
      <b/>
      <sz val="12"/>
      <color indexed="8"/>
      <name val="Arial"/>
      <family val="2"/>
    </font>
    <font>
      <sz val="12"/>
      <color indexed="8"/>
      <name val="Arial"/>
      <family val="2"/>
    </font>
    <font>
      <sz val="13"/>
      <color indexed="8"/>
      <name val="Arial"/>
      <family val="2"/>
    </font>
    <font>
      <sz val="12"/>
      <color theme="1"/>
      <name val="Arial"/>
      <family val="2"/>
    </font>
    <font>
      <sz val="12"/>
      <color indexed="8"/>
      <name val="Calibri"/>
      <family val="2"/>
    </font>
    <font>
      <sz val="11"/>
      <color indexed="8"/>
      <name val="Arial"/>
      <family val="2"/>
    </font>
    <font>
      <sz val="13"/>
      <color theme="1"/>
      <name val="Calibri"/>
      <family val="2"/>
      <scheme val="minor"/>
    </font>
    <font>
      <sz val="12"/>
      <color theme="1"/>
      <name val="Calibri"/>
      <family val="2"/>
      <scheme val="minor"/>
    </font>
    <font>
      <sz val="12"/>
      <color indexed="8"/>
      <name val="Calibri"/>
      <family val="2"/>
      <charset val="186"/>
    </font>
    <font>
      <sz val="12"/>
      <name val="Arial"/>
      <family val="2"/>
    </font>
    <font>
      <sz val="14"/>
      <color indexed="8"/>
      <name val="Calibri"/>
      <family val="2"/>
    </font>
    <font>
      <sz val="9"/>
      <color indexed="8"/>
      <name val="Arial"/>
      <family val="2"/>
    </font>
    <font>
      <sz val="11"/>
      <color theme="1"/>
      <name val="Calibri"/>
      <family val="2"/>
      <scheme val="minor"/>
    </font>
    <font>
      <b/>
      <sz val="16"/>
      <name val="Arial"/>
      <family val="2"/>
    </font>
    <font>
      <b/>
      <sz val="16"/>
      <color theme="1"/>
      <name val="Calibri"/>
      <family val="2"/>
      <scheme val="minor"/>
    </font>
    <font>
      <b/>
      <sz val="12"/>
      <color theme="1"/>
      <name val="Calibri"/>
      <family val="2"/>
      <scheme val="minor"/>
    </font>
    <font>
      <b/>
      <sz val="12"/>
      <name val="Arial"/>
      <family val="2"/>
    </font>
    <font>
      <b/>
      <sz val="12"/>
      <color theme="1"/>
      <name val="Arial"/>
      <family val="2"/>
    </font>
    <font>
      <sz val="11"/>
      <color indexed="8"/>
      <name val="Calibri"/>
      <family val="2"/>
    </font>
    <font>
      <sz val="14"/>
      <color indexed="8"/>
      <name val="Arial"/>
      <family val="2"/>
    </font>
    <font>
      <sz val="14"/>
      <color theme="1"/>
      <name val="Arial"/>
      <family val="2"/>
    </font>
    <font>
      <b/>
      <sz val="14"/>
      <color theme="1"/>
      <name val="Arial"/>
      <family val="2"/>
    </font>
    <font>
      <sz val="14"/>
      <color theme="1"/>
      <name val="Calibri"/>
      <family val="2"/>
      <scheme val="minor"/>
    </font>
    <font>
      <sz val="14"/>
      <name val="Arial"/>
      <family val="2"/>
    </font>
    <font>
      <i/>
      <sz val="12"/>
      <color indexed="8"/>
      <name val="Arial"/>
      <family val="2"/>
    </font>
    <font>
      <sz val="10"/>
      <color indexed="8"/>
      <name val="Arial"/>
      <family val="2"/>
    </font>
    <font>
      <sz val="18"/>
      <color theme="1"/>
      <name val="Calibri"/>
      <family val="2"/>
      <scheme val="minor"/>
    </font>
    <font>
      <b/>
      <sz val="18"/>
      <color theme="1"/>
      <name val="Calibri"/>
      <family val="2"/>
      <scheme val="minor"/>
    </font>
    <font>
      <b/>
      <sz val="14"/>
      <color indexed="8"/>
      <name val="Arial"/>
      <family val="2"/>
    </font>
    <font>
      <sz val="18"/>
      <color indexed="8"/>
      <name val="Arial"/>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s>
  <cellStyleXfs count="3">
    <xf numFmtId="0" fontId="0" fillId="0" borderId="0"/>
    <xf numFmtId="44" fontId="17" fillId="0" borderId="0" applyFont="0" applyFill="0" applyBorder="0" applyAlignment="0" applyProtection="0"/>
    <xf numFmtId="0" fontId="23" fillId="0" borderId="0"/>
  </cellStyleXfs>
  <cellXfs count="293">
    <xf numFmtId="0" fontId="0" fillId="0" borderId="0" xfId="0"/>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shrinkToFit="1"/>
    </xf>
    <xf numFmtId="0" fontId="3" fillId="0" borderId="1" xfId="0" applyFont="1" applyFill="1" applyBorder="1" applyAlignment="1">
      <alignment horizontal="center" vertical="center"/>
    </xf>
    <xf numFmtId="17"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5" fillId="0" borderId="2" xfId="0" applyFont="1" applyFill="1" applyBorder="1" applyAlignment="1">
      <alignment horizontal="center" vertical="center" shrinkToFit="1"/>
    </xf>
    <xf numFmtId="0" fontId="3" fillId="0" borderId="3"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justify" vertical="center"/>
    </xf>
    <xf numFmtId="0" fontId="6" fillId="0" borderId="1" xfId="0" applyFont="1" applyFill="1" applyBorder="1" applyAlignment="1">
      <alignment horizontal="justify" vertical="center"/>
    </xf>
    <xf numFmtId="0" fontId="7" fillId="0" borderId="1" xfId="0" applyFont="1" applyFill="1" applyBorder="1" applyAlignment="1">
      <alignment horizontal="center" vertical="top" shrinkToFit="1"/>
    </xf>
    <xf numFmtId="0" fontId="8" fillId="0" borderId="2" xfId="0" applyFont="1" applyBorder="1" applyAlignment="1">
      <alignment horizontal="center" vertical="center"/>
    </xf>
    <xf numFmtId="0" fontId="6" fillId="0" borderId="2" xfId="0" applyFont="1" applyFill="1" applyBorder="1" applyAlignment="1">
      <alignment horizontal="center" vertical="center"/>
    </xf>
    <xf numFmtId="0" fontId="2" fillId="0" borderId="2" xfId="0" applyFont="1" applyFill="1" applyBorder="1" applyAlignment="1">
      <alignment horizontal="center" vertical="center"/>
    </xf>
    <xf numFmtId="0" fontId="9" fillId="0" borderId="2" xfId="0" applyFont="1" applyFill="1" applyBorder="1" applyAlignment="1">
      <alignment horizontal="left" shrinkToFit="1"/>
    </xf>
    <xf numFmtId="0" fontId="10" fillId="0" borderId="2" xfId="0" applyFont="1" applyFill="1" applyBorder="1" applyAlignment="1">
      <alignment horizontal="justify" vertical="center"/>
    </xf>
    <xf numFmtId="0" fontId="0" fillId="0" borderId="0" xfId="0" applyBorder="1"/>
    <xf numFmtId="0" fontId="0" fillId="0" borderId="0" xfId="0" applyFill="1" applyBorder="1"/>
    <xf numFmtId="0" fontId="6" fillId="0" borderId="4" xfId="0" applyFont="1" applyFill="1" applyBorder="1" applyAlignment="1">
      <alignment horizontal="center" vertical="center"/>
    </xf>
    <xf numFmtId="0" fontId="6" fillId="0" borderId="4" xfId="0" applyFont="1" applyFill="1" applyBorder="1"/>
    <xf numFmtId="0" fontId="6" fillId="0" borderId="4" xfId="0" applyFont="1" applyFill="1" applyBorder="1" applyAlignment="1">
      <alignment horizontal="justify" vertical="center"/>
    </xf>
    <xf numFmtId="0" fontId="6" fillId="0" borderId="4" xfId="0" applyNumberFormat="1" applyFont="1" applyFill="1" applyBorder="1" applyAlignment="1">
      <alignment horizontal="center" vertical="center"/>
    </xf>
    <xf numFmtId="0" fontId="6" fillId="0" borderId="2" xfId="0" applyFont="1" applyFill="1" applyBorder="1" applyAlignment="1">
      <alignment horizontal="left" shrinkToFit="1"/>
    </xf>
    <xf numFmtId="0" fontId="6" fillId="0" borderId="2" xfId="0" applyFont="1" applyFill="1" applyBorder="1" applyAlignment="1">
      <alignment horizontal="left" vertical="center" shrinkToFit="1"/>
    </xf>
    <xf numFmtId="0" fontId="6" fillId="0" borderId="1" xfId="0" applyFont="1" applyFill="1" applyBorder="1" applyAlignment="1">
      <alignment horizontal="center" vertical="center" wrapText="1"/>
    </xf>
    <xf numFmtId="0" fontId="6" fillId="0" borderId="2" xfId="0" applyFont="1" applyFill="1" applyBorder="1" applyAlignment="1">
      <alignment horizontal="left" vertical="top"/>
    </xf>
    <xf numFmtId="0" fontId="6" fillId="0" borderId="1" xfId="0" applyFont="1" applyFill="1" applyBorder="1" applyAlignment="1">
      <alignment horizontal="left" vertical="top" wrapText="1"/>
    </xf>
    <xf numFmtId="0" fontId="9" fillId="0" borderId="1" xfId="0" applyFont="1" applyFill="1" applyBorder="1" applyAlignment="1">
      <alignment horizontal="center" vertical="top"/>
    </xf>
    <xf numFmtId="0" fontId="6" fillId="0" borderId="2" xfId="0" applyFont="1" applyFill="1" applyBorder="1" applyAlignment="1">
      <alignment horizontal="left" vertical="top" shrinkToFit="1"/>
    </xf>
    <xf numFmtId="0" fontId="6" fillId="0" borderId="1" xfId="0" applyFont="1" applyFill="1" applyBorder="1" applyAlignment="1">
      <alignment horizontal="center" vertical="top"/>
    </xf>
    <xf numFmtId="0" fontId="6" fillId="0" borderId="2" xfId="0" applyFont="1" applyFill="1" applyBorder="1"/>
    <xf numFmtId="0" fontId="6" fillId="0" borderId="2"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3" xfId="0" applyFont="1" applyFill="1" applyBorder="1"/>
    <xf numFmtId="0" fontId="6" fillId="0" borderId="3" xfId="0" applyFont="1" applyFill="1" applyBorder="1" applyAlignment="1">
      <alignment horizontal="justify" vertical="center"/>
    </xf>
    <xf numFmtId="0" fontId="6" fillId="0" borderId="3" xfId="0" applyNumberFormat="1" applyFont="1" applyFill="1" applyBorder="1" applyAlignment="1">
      <alignment horizontal="center" vertical="center"/>
    </xf>
    <xf numFmtId="0" fontId="6" fillId="0" borderId="1" xfId="0" applyFont="1" applyFill="1" applyBorder="1" applyAlignment="1">
      <alignment horizontal="left" shrinkToFit="1"/>
    </xf>
    <xf numFmtId="0" fontId="7" fillId="0" borderId="4" xfId="0" applyFont="1" applyFill="1" applyBorder="1" applyAlignment="1">
      <alignment horizontal="center" shrinkToFit="1"/>
    </xf>
    <xf numFmtId="0" fontId="9" fillId="0" borderId="4" xfId="0" applyFont="1" applyFill="1" applyBorder="1" applyAlignment="1">
      <alignment horizontal="left" shrinkToFit="1"/>
    </xf>
    <xf numFmtId="0" fontId="11" fillId="0" borderId="4" xfId="0" applyFont="1" applyBorder="1" applyAlignment="1">
      <alignment horizontal="center" vertical="center"/>
    </xf>
    <xf numFmtId="0" fontId="6" fillId="0" borderId="1" xfId="0" applyFont="1" applyFill="1" applyBorder="1"/>
    <xf numFmtId="0" fontId="9" fillId="0" borderId="2" xfId="0" applyFont="1" applyFill="1" applyBorder="1" applyAlignment="1">
      <alignment horizontal="center"/>
    </xf>
    <xf numFmtId="0" fontId="6" fillId="0" borderId="4" xfId="0" applyFont="1" applyFill="1" applyBorder="1" applyAlignment="1">
      <alignment horizontal="left" vertical="center"/>
    </xf>
    <xf numFmtId="0" fontId="11" fillId="0" borderId="2" xfId="0" applyFont="1" applyBorder="1" applyAlignment="1">
      <alignment horizontal="center" vertical="center"/>
    </xf>
    <xf numFmtId="0" fontId="6" fillId="0" borderId="4" xfId="0" applyFont="1" applyFill="1" applyBorder="1" applyAlignment="1">
      <alignment horizontal="left" vertical="center" shrinkToFit="1"/>
    </xf>
    <xf numFmtId="0" fontId="6" fillId="0" borderId="4" xfId="0" applyFont="1" applyFill="1" applyBorder="1" applyAlignment="1">
      <alignment horizontal="left" shrinkToFit="1"/>
    </xf>
    <xf numFmtId="0" fontId="6" fillId="0" borderId="2" xfId="0" applyFont="1" applyFill="1" applyBorder="1" applyAlignment="1">
      <alignment vertical="center"/>
    </xf>
    <xf numFmtId="0" fontId="6" fillId="0" borderId="1" xfId="0" applyFont="1" applyFill="1" applyBorder="1" applyAlignment="1">
      <alignment vertical="top"/>
    </xf>
    <xf numFmtId="0" fontId="9" fillId="0" borderId="4" xfId="0" applyFont="1" applyFill="1" applyBorder="1" applyAlignment="1">
      <alignment horizontal="center" vertical="top"/>
    </xf>
    <xf numFmtId="0" fontId="8" fillId="0" borderId="4" xfId="0" applyFont="1" applyFill="1" applyBorder="1" applyAlignment="1">
      <alignment horizontal="justify" vertical="center"/>
    </xf>
    <xf numFmtId="49" fontId="9" fillId="0" borderId="2" xfId="0" applyNumberFormat="1" applyFont="1" applyFill="1" applyBorder="1" applyAlignment="1">
      <alignment horizontal="left" vertical="top" shrinkToFit="1"/>
    </xf>
    <xf numFmtId="0" fontId="9" fillId="0" borderId="4" xfId="0" applyFont="1" applyFill="1" applyBorder="1" applyAlignment="1">
      <alignment horizontal="center"/>
    </xf>
    <xf numFmtId="0" fontId="7" fillId="0" borderId="2" xfId="0" applyFont="1" applyFill="1" applyBorder="1" applyAlignment="1">
      <alignment horizontal="center" shrinkToFit="1"/>
    </xf>
    <xf numFmtId="0" fontId="6" fillId="0" borderId="2" xfId="0" applyFont="1" applyFill="1" applyBorder="1" applyAlignment="1">
      <alignment horizontal="justify" shrinkToFit="1"/>
    </xf>
    <xf numFmtId="14" fontId="0" fillId="0" borderId="0" xfId="0" applyNumberFormat="1"/>
    <xf numFmtId="0" fontId="9" fillId="0" borderId="1" xfId="0" applyFont="1" applyFill="1" applyBorder="1" applyAlignment="1">
      <alignment horizontal="left" shrinkToFit="1"/>
    </xf>
    <xf numFmtId="0" fontId="8" fillId="0" borderId="2" xfId="0" applyFont="1" applyFill="1" applyBorder="1" applyAlignment="1">
      <alignment horizontal="justify" vertical="center"/>
    </xf>
    <xf numFmtId="0" fontId="7" fillId="0" borderId="4" xfId="0" applyFont="1" applyFill="1" applyBorder="1" applyAlignment="1">
      <alignment horizontal="center" vertical="top" shrinkToFit="1"/>
    </xf>
    <xf numFmtId="0" fontId="6" fillId="0" borderId="1" xfId="0" applyFont="1" applyFill="1" applyBorder="1" applyAlignment="1">
      <alignment horizontal="justify" vertical="top"/>
    </xf>
    <xf numFmtId="0" fontId="6" fillId="0" borderId="2" xfId="0" applyFont="1" applyFill="1" applyBorder="1" applyAlignment="1">
      <alignment horizontal="center" vertical="top"/>
    </xf>
    <xf numFmtId="0" fontId="6" fillId="0" borderId="1" xfId="0" applyFont="1" applyFill="1" applyBorder="1" applyAlignment="1">
      <alignment horizontal="left" vertical="top" shrinkToFit="1"/>
    </xf>
    <xf numFmtId="0" fontId="9" fillId="0" borderId="2" xfId="0" applyFont="1" applyFill="1" applyBorder="1" applyAlignment="1">
      <alignment horizontal="center" vertical="top"/>
    </xf>
    <xf numFmtId="0" fontId="6" fillId="0" borderId="2" xfId="0" applyFont="1" applyFill="1" applyBorder="1" applyAlignment="1">
      <alignment horizontal="justify" vertical="top"/>
    </xf>
    <xf numFmtId="0" fontId="6" fillId="0" borderId="2" xfId="0" applyFont="1" applyFill="1" applyBorder="1" applyAlignment="1">
      <alignment horizontal="left" vertical="center"/>
    </xf>
    <xf numFmtId="49" fontId="6" fillId="0" borderId="2" xfId="0" applyNumberFormat="1" applyFont="1" applyFill="1" applyBorder="1" applyAlignment="1">
      <alignment horizontal="left" shrinkToFit="1"/>
    </xf>
    <xf numFmtId="0" fontId="7" fillId="0" borderId="2" xfId="0" applyFont="1" applyFill="1" applyBorder="1" applyAlignment="1">
      <alignment horizontal="center" vertical="center" shrinkToFit="1"/>
    </xf>
    <xf numFmtId="0" fontId="12" fillId="0" borderId="0" xfId="0" applyFont="1"/>
    <xf numFmtId="0" fontId="6" fillId="0" borderId="1" xfId="0" applyFont="1" applyFill="1" applyBorder="1" applyAlignment="1">
      <alignment horizontal="left" vertical="center"/>
    </xf>
    <xf numFmtId="0" fontId="6" fillId="0" borderId="1" xfId="0" applyFont="1" applyFill="1" applyBorder="1" applyAlignment="1">
      <alignment horizontal="left" vertical="center" shrinkToFit="1"/>
    </xf>
    <xf numFmtId="49" fontId="9" fillId="0" borderId="4" xfId="0" applyNumberFormat="1" applyFont="1" applyFill="1" applyBorder="1" applyAlignment="1">
      <alignment horizontal="left" vertical="top" shrinkToFit="1"/>
    </xf>
    <xf numFmtId="0" fontId="7" fillId="0" borderId="2" xfId="0" applyFont="1" applyFill="1" applyBorder="1" applyAlignment="1">
      <alignment horizontal="center" vertical="top" shrinkToFit="1"/>
    </xf>
    <xf numFmtId="49" fontId="9" fillId="0" borderId="2" xfId="0" applyNumberFormat="1" applyFont="1" applyFill="1" applyBorder="1" applyAlignment="1">
      <alignment horizontal="left" shrinkToFit="1"/>
    </xf>
    <xf numFmtId="49" fontId="9" fillId="0" borderId="2" xfId="0" applyNumberFormat="1" applyFont="1" applyFill="1" applyBorder="1" applyAlignment="1">
      <alignment vertical="center" shrinkToFit="1"/>
    </xf>
    <xf numFmtId="0" fontId="6" fillId="0" borderId="2" xfId="0" applyFont="1" applyFill="1" applyBorder="1" applyAlignment="1">
      <alignment horizontal="center" vertical="center" wrapText="1"/>
    </xf>
    <xf numFmtId="0" fontId="6" fillId="0" borderId="2" xfId="0" applyFont="1" applyFill="1" applyBorder="1" applyAlignment="1">
      <alignment horizontal="center" vertical="top" wrapText="1"/>
    </xf>
    <xf numFmtId="0" fontId="13" fillId="0" borderId="2" xfId="0" applyFont="1" applyFill="1" applyBorder="1" applyAlignment="1">
      <alignment horizontal="center" vertical="center"/>
    </xf>
    <xf numFmtId="0" fontId="9" fillId="0" borderId="2" xfId="0" applyFont="1" applyFill="1" applyBorder="1" applyAlignment="1">
      <alignment horizontal="left" vertical="center" shrinkToFit="1"/>
    </xf>
    <xf numFmtId="0" fontId="9" fillId="0" borderId="2" xfId="0" applyFont="1" applyFill="1" applyBorder="1" applyAlignment="1">
      <alignment horizontal="center" vertical="center"/>
    </xf>
    <xf numFmtId="0" fontId="9" fillId="0" borderId="2" xfId="0" applyFont="1" applyFill="1" applyBorder="1" applyAlignment="1">
      <alignment horizontal="left" vertical="top" shrinkToFit="1"/>
    </xf>
    <xf numFmtId="0" fontId="0" fillId="2" borderId="0" xfId="0" applyFill="1"/>
    <xf numFmtId="49" fontId="9" fillId="0" borderId="2" xfId="0" applyNumberFormat="1" applyFont="1" applyFill="1" applyBorder="1" applyAlignment="1">
      <alignment horizontal="left" vertical="center" shrinkToFit="1"/>
    </xf>
    <xf numFmtId="0" fontId="12" fillId="0" borderId="2" xfId="0" applyFont="1" applyFill="1" applyBorder="1" applyAlignment="1">
      <alignment horizontal="justify" vertical="center"/>
    </xf>
    <xf numFmtId="49" fontId="9" fillId="0" borderId="1" xfId="0" applyNumberFormat="1" applyFont="1" applyFill="1" applyBorder="1" applyAlignment="1">
      <alignment horizontal="left" shrinkToFit="1"/>
    </xf>
    <xf numFmtId="0" fontId="9" fillId="0" borderId="4" xfId="0" applyFont="1" applyFill="1" applyBorder="1" applyAlignment="1">
      <alignment horizontal="center" vertical="center"/>
    </xf>
    <xf numFmtId="0" fontId="6" fillId="0" borderId="2" xfId="0" applyFont="1" applyFill="1" applyBorder="1" applyAlignment="1">
      <alignment horizontal="justify" vertical="center" shrinkToFit="1"/>
    </xf>
    <xf numFmtId="0" fontId="6" fillId="0" borderId="0" xfId="0" applyFont="1" applyFill="1" applyAlignment="1">
      <alignment horizontal="justify" vertical="center"/>
    </xf>
    <xf numFmtId="0" fontId="9" fillId="0" borderId="2" xfId="0" applyFont="1" applyFill="1" applyBorder="1" applyAlignment="1">
      <alignment horizontal="justify" vertical="center"/>
    </xf>
    <xf numFmtId="49" fontId="6" fillId="0" borderId="1" xfId="0" applyNumberFormat="1" applyFont="1" applyFill="1" applyBorder="1" applyAlignment="1">
      <alignment horizontal="left" vertical="top" shrinkToFit="1"/>
    </xf>
    <xf numFmtId="0" fontId="14" fillId="0" borderId="2" xfId="0" applyFont="1" applyBorder="1" applyAlignment="1">
      <alignment horizontal="center" vertical="center"/>
    </xf>
    <xf numFmtId="0" fontId="14" fillId="0" borderId="2" xfId="0" applyFont="1" applyBorder="1"/>
    <xf numFmtId="49" fontId="6" fillId="0" borderId="2" xfId="0" applyNumberFormat="1" applyFont="1" applyFill="1" applyBorder="1" applyAlignment="1">
      <alignment horizontal="left" vertical="top" shrinkToFit="1"/>
    </xf>
    <xf numFmtId="0" fontId="10" fillId="0" borderId="2" xfId="0" applyFont="1" applyFill="1" applyBorder="1" applyAlignment="1">
      <alignment horizontal="justify" vertical="top"/>
    </xf>
    <xf numFmtId="0" fontId="14" fillId="0" borderId="2" xfId="0" applyFont="1" applyFill="1" applyBorder="1" applyAlignment="1">
      <alignment horizontal="center" vertical="center"/>
    </xf>
    <xf numFmtId="49" fontId="15" fillId="0" borderId="2" xfId="0" applyNumberFormat="1" applyFont="1" applyFill="1" applyBorder="1" applyAlignment="1">
      <alignment horizontal="left" shrinkToFit="1"/>
    </xf>
    <xf numFmtId="0" fontId="6" fillId="0" borderId="5" xfId="0" applyFont="1" applyFill="1" applyBorder="1" applyAlignment="1">
      <alignment horizontal="justify" vertical="center"/>
    </xf>
    <xf numFmtId="0" fontId="8" fillId="0" borderId="1" xfId="0" applyFont="1" applyBorder="1" applyAlignment="1">
      <alignment horizontal="center" vertical="center"/>
    </xf>
    <xf numFmtId="49" fontId="9" fillId="0" borderId="4" xfId="0" applyNumberFormat="1" applyFont="1" applyFill="1" applyBorder="1" applyAlignment="1">
      <alignment horizontal="left" shrinkToFit="1"/>
    </xf>
    <xf numFmtId="49" fontId="6" fillId="0" borderId="2" xfId="0" applyNumberFormat="1" applyFont="1" applyFill="1" applyBorder="1" applyAlignment="1">
      <alignment horizontal="left" vertical="center" shrinkToFit="1"/>
    </xf>
    <xf numFmtId="0" fontId="7" fillId="0" borderId="2" xfId="0" applyFont="1" applyFill="1" applyBorder="1" applyAlignment="1">
      <alignment horizontal="center" vertical="center"/>
    </xf>
    <xf numFmtId="0" fontId="6" fillId="0" borderId="6" xfId="0" applyFont="1" applyFill="1" applyBorder="1" applyAlignment="1">
      <alignment horizontal="left" vertical="center" shrinkToFit="1"/>
    </xf>
    <xf numFmtId="0" fontId="6" fillId="0" borderId="0" xfId="0" applyFont="1" applyFill="1" applyBorder="1" applyAlignment="1">
      <alignment horizontal="center" vertical="center"/>
    </xf>
    <xf numFmtId="0" fontId="6" fillId="0" borderId="2" xfId="0" applyFont="1" applyFill="1" applyBorder="1" applyAlignment="1">
      <alignment horizontal="center" vertical="center" shrinkToFit="1"/>
    </xf>
    <xf numFmtId="0" fontId="16" fillId="0" borderId="7" xfId="0" applyFont="1" applyFill="1" applyBorder="1" applyAlignment="1">
      <alignment horizontal="left" vertical="center"/>
    </xf>
    <xf numFmtId="0" fontId="8" fillId="0" borderId="2" xfId="0" applyFont="1" applyBorder="1"/>
    <xf numFmtId="49" fontId="6" fillId="0" borderId="2" xfId="0" applyNumberFormat="1" applyFont="1" applyFill="1" applyBorder="1" applyAlignment="1">
      <alignment horizontal="left" wrapText="1"/>
    </xf>
    <xf numFmtId="0" fontId="1" fillId="0" borderId="2" xfId="0" applyFont="1" applyFill="1" applyBorder="1" applyAlignment="1">
      <alignment horizontal="center" vertical="center"/>
    </xf>
    <xf numFmtId="0" fontId="0" fillId="0" borderId="0" xfId="0" applyAlignment="1">
      <alignment horizontal="center" vertical="center"/>
    </xf>
    <xf numFmtId="0" fontId="18" fillId="0" borderId="6" xfId="0" applyFont="1" applyBorder="1" applyAlignment="1"/>
    <xf numFmtId="0" fontId="18" fillId="0" borderId="8" xfId="0" applyFont="1" applyBorder="1" applyAlignment="1"/>
    <xf numFmtId="0" fontId="18" fillId="0" borderId="8" xfId="0" applyFont="1" applyBorder="1" applyAlignment="1">
      <alignment horizontal="center" vertical="center"/>
    </xf>
    <xf numFmtId="0" fontId="19" fillId="0" borderId="0" xfId="0" applyFont="1"/>
    <xf numFmtId="0" fontId="0" fillId="0" borderId="2" xfId="0" applyBorder="1"/>
    <xf numFmtId="0" fontId="0" fillId="0" borderId="2" xfId="0" applyBorder="1" applyAlignment="1">
      <alignment horizontal="center" vertical="center"/>
    </xf>
    <xf numFmtId="0" fontId="20" fillId="0" borderId="2" xfId="0" applyFont="1" applyBorder="1" applyAlignment="1">
      <alignment horizontal="center"/>
    </xf>
    <xf numFmtId="0" fontId="21" fillId="0" borderId="2" xfId="0" applyFont="1" applyBorder="1" applyAlignment="1">
      <alignment horizontal="center"/>
    </xf>
    <xf numFmtId="0" fontId="21" fillId="0" borderId="2" xfId="0" applyFont="1" applyBorder="1" applyAlignment="1">
      <alignment horizontal="center" vertical="center"/>
    </xf>
    <xf numFmtId="0" fontId="22" fillId="0" borderId="2" xfId="0" applyFont="1" applyBorder="1"/>
    <xf numFmtId="0" fontId="8" fillId="0" borderId="4" xfId="0" applyFont="1" applyBorder="1"/>
    <xf numFmtId="49" fontId="6" fillId="0" borderId="4" xfId="0" applyNumberFormat="1" applyFont="1" applyFill="1" applyBorder="1" applyAlignment="1"/>
    <xf numFmtId="49" fontId="6" fillId="0" borderId="4" xfId="0" applyNumberFormat="1" applyFont="1" applyFill="1" applyBorder="1" applyAlignment="1">
      <alignment horizontal="center"/>
    </xf>
    <xf numFmtId="49" fontId="6" fillId="0" borderId="2" xfId="0" applyNumberFormat="1" applyFont="1" applyFill="1" applyBorder="1" applyAlignment="1"/>
    <xf numFmtId="0" fontId="8" fillId="0" borderId="2" xfId="0" applyFont="1" applyBorder="1" applyAlignment="1">
      <alignment horizontal="center"/>
    </xf>
    <xf numFmtId="0" fontId="6" fillId="0" borderId="2" xfId="2" applyFont="1" applyFill="1" applyBorder="1" applyAlignment="1">
      <alignment horizontal="center" vertical="center"/>
    </xf>
    <xf numFmtId="0" fontId="6" fillId="0" borderId="2" xfId="2" applyFont="1" applyFill="1" applyBorder="1" applyAlignment="1">
      <alignment horizontal="justify" vertical="center"/>
    </xf>
    <xf numFmtId="0" fontId="6" fillId="0" borderId="2" xfId="2" applyFont="1" applyFill="1" applyBorder="1" applyAlignment="1"/>
    <xf numFmtId="49" fontId="6" fillId="0" borderId="2" xfId="2" applyNumberFormat="1" applyFont="1" applyFill="1" applyBorder="1" applyAlignment="1"/>
    <xf numFmtId="0" fontId="6" fillId="0" borderId="2" xfId="0" applyFont="1" applyFill="1" applyBorder="1" applyAlignment="1"/>
    <xf numFmtId="0" fontId="6" fillId="0" borderId="2" xfId="0" applyFont="1" applyFill="1" applyBorder="1" applyAlignment="1">
      <alignment horizontal="center"/>
    </xf>
    <xf numFmtId="0" fontId="6" fillId="0" borderId="2" xfId="2" applyFont="1" applyFill="1" applyBorder="1" applyAlignment="1">
      <alignment horizontal="center"/>
    </xf>
    <xf numFmtId="49" fontId="6" fillId="0" borderId="2" xfId="0" applyNumberFormat="1" applyFont="1" applyFill="1" applyBorder="1" applyAlignment="1">
      <alignment horizontal="center"/>
    </xf>
    <xf numFmtId="0" fontId="6" fillId="0" borderId="2" xfId="0" applyFont="1" applyFill="1" applyBorder="1" applyAlignment="1">
      <alignment wrapText="1"/>
    </xf>
    <xf numFmtId="49" fontId="6" fillId="0" borderId="2" xfId="0" applyNumberFormat="1" applyFont="1" applyFill="1" applyBorder="1" applyAlignment="1">
      <alignment wrapText="1"/>
    </xf>
    <xf numFmtId="49" fontId="6" fillId="0" borderId="2" xfId="2" applyNumberFormat="1" applyFont="1" applyFill="1" applyBorder="1" applyAlignment="1">
      <alignment horizontal="center"/>
    </xf>
    <xf numFmtId="0" fontId="6" fillId="0" borderId="2" xfId="2" applyFont="1" applyFill="1" applyBorder="1" applyAlignment="1">
      <alignment wrapText="1"/>
    </xf>
    <xf numFmtId="49" fontId="6" fillId="0" borderId="2" xfId="2" applyNumberFormat="1" applyFont="1" applyFill="1" applyBorder="1" applyAlignment="1">
      <alignment horizontal="center" wrapText="1"/>
    </xf>
    <xf numFmtId="49" fontId="6" fillId="0" borderId="2" xfId="2" applyNumberFormat="1" applyFont="1" applyFill="1" applyBorder="1" applyAlignment="1">
      <alignment wrapText="1"/>
    </xf>
    <xf numFmtId="0" fontId="14" fillId="0" borderId="2" xfId="2" applyFont="1" applyFill="1" applyBorder="1" applyAlignment="1">
      <alignment horizontal="center" vertical="center"/>
    </xf>
    <xf numFmtId="0" fontId="6" fillId="0" borderId="2" xfId="2" applyFont="1" applyFill="1" applyBorder="1" applyAlignment="1">
      <alignment horizontal="center" vertical="top" wrapText="1"/>
    </xf>
    <xf numFmtId="0" fontId="6" fillId="0" borderId="2" xfId="2" applyFont="1" applyFill="1" applyBorder="1" applyAlignment="1">
      <alignment horizontal="center" wrapText="1"/>
    </xf>
    <xf numFmtId="0" fontId="6" fillId="0" borderId="2" xfId="2" applyFont="1" applyFill="1" applyBorder="1" applyAlignment="1">
      <alignment horizontal="center" vertical="center" wrapText="1"/>
    </xf>
    <xf numFmtId="0" fontId="6" fillId="0" borderId="2" xfId="2" applyFont="1" applyFill="1" applyBorder="1" applyAlignment="1">
      <alignment horizontal="justify"/>
    </xf>
    <xf numFmtId="0" fontId="6" fillId="0" borderId="2" xfId="0" applyFont="1" applyFill="1" applyBorder="1" applyAlignment="1">
      <alignment horizontal="center" wrapText="1"/>
    </xf>
    <xf numFmtId="49" fontId="6" fillId="0" borderId="2" xfId="2" applyNumberFormat="1" applyFont="1" applyFill="1" applyBorder="1" applyAlignment="1">
      <alignment horizontal="left" wrapText="1"/>
    </xf>
    <xf numFmtId="49" fontId="6" fillId="0" borderId="2" xfId="2" applyNumberFormat="1" applyFont="1" applyFill="1" applyBorder="1" applyAlignment="1">
      <alignment horizontal="left" vertical="center"/>
    </xf>
    <xf numFmtId="49" fontId="6" fillId="0" borderId="2" xfId="2" applyNumberFormat="1" applyFont="1" applyFill="1" applyBorder="1" applyAlignment="1">
      <alignment horizontal="left"/>
    </xf>
    <xf numFmtId="0" fontId="14" fillId="0" borderId="2" xfId="0" applyFont="1" applyBorder="1" applyAlignment="1">
      <alignment horizontal="center"/>
    </xf>
    <xf numFmtId="0" fontId="6" fillId="0" borderId="2" xfId="2" applyFont="1" applyFill="1" applyBorder="1" applyAlignment="1">
      <alignment horizontal="left" wrapText="1"/>
    </xf>
    <xf numFmtId="0" fontId="6" fillId="0" borderId="2" xfId="2" applyFont="1" applyFill="1" applyBorder="1" applyAlignment="1">
      <alignment horizontal="left"/>
    </xf>
    <xf numFmtId="0" fontId="6" fillId="0" borderId="1" xfId="2" applyFont="1" applyFill="1" applyBorder="1" applyAlignment="1">
      <alignment horizontal="justify" vertical="center"/>
    </xf>
    <xf numFmtId="0" fontId="6" fillId="0" borderId="1" xfId="2" applyFont="1" applyFill="1" applyBorder="1" applyAlignment="1">
      <alignment horizontal="center" vertical="center"/>
    </xf>
    <xf numFmtId="0" fontId="14" fillId="0" borderId="2" xfId="0" applyFont="1" applyFill="1" applyBorder="1"/>
    <xf numFmtId="0" fontId="14" fillId="0" borderId="2" xfId="0" applyFont="1" applyFill="1" applyBorder="1" applyAlignment="1">
      <alignment horizontal="center"/>
    </xf>
    <xf numFmtId="0" fontId="6" fillId="0" borderId="2" xfId="2" applyFont="1" applyFill="1" applyBorder="1" applyAlignment="1">
      <alignment horizontal="left" vertical="center"/>
    </xf>
    <xf numFmtId="49" fontId="6" fillId="0" borderId="2" xfId="0" applyNumberFormat="1" applyFont="1" applyFill="1" applyBorder="1" applyAlignment="1">
      <alignment horizontal="left"/>
    </xf>
    <xf numFmtId="0" fontId="6" fillId="0" borderId="2" xfId="0" applyFont="1" applyFill="1" applyBorder="1" applyAlignment="1">
      <alignment horizontal="left"/>
    </xf>
    <xf numFmtId="0" fontId="6" fillId="0" borderId="2" xfId="0" applyFont="1" applyFill="1" applyBorder="1" applyAlignment="1">
      <alignment horizontal="left" wrapText="1"/>
    </xf>
    <xf numFmtId="0" fontId="8" fillId="0" borderId="2" xfId="0" applyFont="1" applyBorder="1" applyAlignment="1">
      <alignment vertical="top"/>
    </xf>
    <xf numFmtId="0" fontId="8" fillId="0" borderId="2" xfId="0" applyFont="1" applyBorder="1" applyAlignment="1">
      <alignment horizontal="center" vertical="top"/>
    </xf>
    <xf numFmtId="49" fontId="6" fillId="0" borderId="2" xfId="0" applyNumberFormat="1" applyFont="1" applyFill="1" applyBorder="1" applyAlignment="1">
      <alignment horizontal="left" vertical="top"/>
    </xf>
    <xf numFmtId="0" fontId="8" fillId="0" borderId="2" xfId="0" applyFont="1" applyBorder="1" applyAlignment="1">
      <alignment vertical="center"/>
    </xf>
    <xf numFmtId="0" fontId="6" fillId="0" borderId="2" xfId="0" applyFont="1" applyFill="1" applyBorder="1" applyAlignment="1">
      <alignment horizontal="left" vertical="center" wrapText="1"/>
    </xf>
    <xf numFmtId="49" fontId="6" fillId="0" borderId="2" xfId="0" applyNumberFormat="1" applyFont="1" applyFill="1" applyBorder="1" applyAlignment="1">
      <alignment horizontal="left" vertical="top" wrapText="1"/>
    </xf>
    <xf numFmtId="0" fontId="8" fillId="0" borderId="2" xfId="0" applyFont="1" applyFill="1" applyBorder="1" applyAlignment="1">
      <alignment vertical="center"/>
    </xf>
    <xf numFmtId="0" fontId="8" fillId="0" borderId="2" xfId="0" applyFont="1" applyFill="1" applyBorder="1" applyAlignment="1">
      <alignment horizontal="center" vertical="center"/>
    </xf>
    <xf numFmtId="49" fontId="6" fillId="0" borderId="2" xfId="0" applyNumberFormat="1" applyFont="1" applyFill="1" applyBorder="1" applyAlignment="1">
      <alignment horizontal="left" vertical="center"/>
    </xf>
    <xf numFmtId="49" fontId="6" fillId="0" borderId="2" xfId="0" applyNumberFormat="1" applyFont="1" applyFill="1" applyBorder="1" applyAlignment="1">
      <alignment horizontal="left" vertical="center" wrapText="1"/>
    </xf>
    <xf numFmtId="0" fontId="14" fillId="0" borderId="2" xfId="0" applyFont="1" applyFill="1" applyBorder="1" applyAlignment="1">
      <alignment vertical="top"/>
    </xf>
    <xf numFmtId="0" fontId="14" fillId="0" borderId="2" xfId="0" applyFont="1" applyFill="1" applyBorder="1" applyAlignment="1">
      <alignment horizontal="center" vertical="top"/>
    </xf>
    <xf numFmtId="0" fontId="6" fillId="0" borderId="1" xfId="0" applyFont="1" applyFill="1" applyBorder="1" applyAlignment="1">
      <alignment horizontal="left" vertical="top"/>
    </xf>
    <xf numFmtId="0" fontId="8" fillId="0" borderId="4" xfId="0" applyFont="1" applyBorder="1" applyAlignment="1">
      <alignment horizontal="center" vertical="center"/>
    </xf>
    <xf numFmtId="0" fontId="8" fillId="0" borderId="4" xfId="0" applyFont="1" applyBorder="1" applyAlignment="1">
      <alignment horizontal="center"/>
    </xf>
    <xf numFmtId="0" fontId="6" fillId="0" borderId="2" xfId="0" applyFont="1" applyFill="1" applyBorder="1" applyAlignment="1">
      <alignment vertical="top"/>
    </xf>
    <xf numFmtId="0" fontId="8" fillId="0" borderId="2" xfId="0" applyFont="1" applyBorder="1" applyAlignment="1">
      <alignment horizontal="left" vertical="top"/>
    </xf>
    <xf numFmtId="0" fontId="6" fillId="0" borderId="2" xfId="0" applyFont="1" applyFill="1" applyBorder="1" applyAlignment="1">
      <alignment horizontal="left" vertical="justify"/>
    </xf>
    <xf numFmtId="0" fontId="6" fillId="0" borderId="0" xfId="0" applyFont="1" applyFill="1" applyBorder="1" applyAlignment="1">
      <alignment horizontal="justify" vertical="center"/>
    </xf>
    <xf numFmtId="49" fontId="9" fillId="0" borderId="2" xfId="0" applyNumberFormat="1" applyFont="1" applyFill="1" applyBorder="1" applyAlignment="1">
      <alignment horizontal="left"/>
    </xf>
    <xf numFmtId="0" fontId="9" fillId="0" borderId="2" xfId="0" applyFont="1" applyFill="1" applyBorder="1" applyAlignment="1">
      <alignment horizontal="left"/>
    </xf>
    <xf numFmtId="49" fontId="6" fillId="0" borderId="1" xfId="0" applyNumberFormat="1" applyFont="1" applyFill="1" applyBorder="1" applyAlignment="1">
      <alignment horizontal="left" vertical="top" wrapText="1"/>
    </xf>
    <xf numFmtId="0" fontId="14" fillId="0" borderId="1" xfId="0" applyFont="1" applyFill="1" applyBorder="1" applyAlignment="1">
      <alignment horizontal="center" vertical="center"/>
    </xf>
    <xf numFmtId="0" fontId="6" fillId="0" borderId="1" xfId="0" applyNumberFormat="1" applyFont="1" applyFill="1" applyBorder="1" applyAlignment="1">
      <alignment horizontal="center" vertical="center"/>
    </xf>
    <xf numFmtId="49" fontId="6" fillId="0" borderId="1" xfId="0" applyNumberFormat="1" applyFont="1" applyFill="1" applyBorder="1" applyAlignment="1">
      <alignment horizontal="left" wrapText="1"/>
    </xf>
    <xf numFmtId="0" fontId="8" fillId="0" borderId="3" xfId="0" applyFont="1" applyFill="1" applyBorder="1" applyAlignment="1">
      <alignment horizontal="center"/>
    </xf>
    <xf numFmtId="0" fontId="6" fillId="0" borderId="1" xfId="0" applyFont="1" applyFill="1" applyBorder="1" applyAlignment="1">
      <alignment horizontal="center"/>
    </xf>
    <xf numFmtId="0" fontId="6" fillId="0" borderId="1" xfId="0" applyFont="1" applyFill="1" applyBorder="1" applyAlignment="1">
      <alignment horizontal="left"/>
    </xf>
    <xf numFmtId="0" fontId="24" fillId="0" borderId="2" xfId="0" applyFont="1" applyFill="1" applyBorder="1" applyAlignment="1">
      <alignment horizontal="center"/>
    </xf>
    <xf numFmtId="0" fontId="24" fillId="0" borderId="2" xfId="0" applyFont="1" applyFill="1" applyBorder="1"/>
    <xf numFmtId="0" fontId="24" fillId="0" borderId="2" xfId="0" applyFont="1" applyFill="1" applyBorder="1" applyAlignment="1">
      <alignment horizontal="justify" vertical="center"/>
    </xf>
    <xf numFmtId="0" fontId="24" fillId="0" borderId="2" xfId="0" applyFont="1" applyFill="1" applyBorder="1" applyAlignment="1">
      <alignment horizontal="left"/>
    </xf>
    <xf numFmtId="0" fontId="25" fillId="0" borderId="2" xfId="0" applyFont="1" applyBorder="1" applyAlignment="1">
      <alignment horizontal="center" vertical="center"/>
    </xf>
    <xf numFmtId="0" fontId="25" fillId="0" borderId="2" xfId="0" applyFont="1" applyBorder="1"/>
    <xf numFmtId="0" fontId="26" fillId="0" borderId="2" xfId="0" applyFont="1" applyBorder="1"/>
    <xf numFmtId="0" fontId="25" fillId="0" borderId="2" xfId="0" applyFont="1" applyBorder="1" applyAlignment="1">
      <alignment horizontal="center"/>
    </xf>
    <xf numFmtId="0" fontId="27" fillId="0" borderId="0" xfId="0" applyFont="1"/>
    <xf numFmtId="0" fontId="28" fillId="0" borderId="2" xfId="0" applyFont="1" applyFill="1" applyBorder="1" applyAlignment="1">
      <alignment horizontal="center" vertical="center"/>
    </xf>
    <xf numFmtId="49" fontId="24" fillId="0" borderId="2" xfId="0" applyNumberFormat="1" applyFont="1" applyFill="1" applyBorder="1" applyAlignment="1">
      <alignment horizontal="left" wrapText="1"/>
    </xf>
    <xf numFmtId="0" fontId="24" fillId="0" borderId="2" xfId="0" applyFont="1" applyFill="1" applyBorder="1" applyAlignment="1">
      <alignment horizontal="center" vertical="center"/>
    </xf>
    <xf numFmtId="0" fontId="15" fillId="0" borderId="2" xfId="0" applyFont="1" applyFill="1" applyBorder="1" applyAlignment="1">
      <alignment horizontal="left"/>
    </xf>
    <xf numFmtId="0" fontId="24" fillId="0" borderId="2" xfId="0" applyFont="1" applyFill="1" applyBorder="1" applyAlignment="1">
      <alignment horizontal="center" vertical="top"/>
    </xf>
    <xf numFmtId="0" fontId="24" fillId="0" borderId="2" xfId="0" applyFont="1" applyFill="1" applyBorder="1" applyAlignment="1">
      <alignment vertical="top"/>
    </xf>
    <xf numFmtId="0" fontId="15" fillId="0" borderId="2" xfId="0" applyFont="1" applyFill="1" applyBorder="1" applyAlignment="1">
      <alignment horizontal="left" vertical="center" wrapText="1"/>
    </xf>
    <xf numFmtId="0" fontId="24" fillId="0" borderId="2" xfId="0" applyFont="1" applyFill="1" applyBorder="1" applyAlignment="1">
      <alignment horizontal="left" wrapText="1"/>
    </xf>
    <xf numFmtId="49" fontId="15" fillId="0" borderId="2" xfId="0" applyNumberFormat="1" applyFont="1" applyFill="1" applyBorder="1" applyAlignment="1">
      <alignment horizontal="left" vertical="center" wrapText="1"/>
    </xf>
    <xf numFmtId="49" fontId="15" fillId="0" borderId="2" xfId="0" applyNumberFormat="1" applyFont="1" applyFill="1" applyBorder="1" applyAlignment="1">
      <alignment horizontal="left"/>
    </xf>
    <xf numFmtId="0" fontId="24" fillId="0" borderId="1" xfId="0" applyFont="1" applyFill="1" applyBorder="1" applyAlignment="1">
      <alignment horizontal="left" vertical="top" wrapText="1"/>
    </xf>
    <xf numFmtId="0" fontId="24" fillId="0" borderId="2" xfId="0" applyFont="1" applyFill="1" applyBorder="1" applyAlignment="1">
      <alignment horizontal="left" vertical="top"/>
    </xf>
    <xf numFmtId="0" fontId="25" fillId="0" borderId="2" xfId="0" applyFont="1" applyBorder="1" applyAlignment="1">
      <alignment horizontal="center" vertical="top"/>
    </xf>
    <xf numFmtId="0" fontId="25" fillId="0" borderId="2" xfId="0" applyFont="1" applyBorder="1" applyAlignment="1">
      <alignment vertical="top"/>
    </xf>
    <xf numFmtId="0" fontId="24" fillId="0" borderId="2" xfId="0" applyFont="1" applyFill="1" applyBorder="1" applyAlignment="1">
      <alignment horizontal="left" vertical="top" wrapText="1"/>
    </xf>
    <xf numFmtId="0" fontId="24" fillId="0" borderId="2" xfId="0" applyFont="1" applyFill="1" applyBorder="1" applyAlignment="1">
      <alignment horizontal="justify" vertical="top"/>
    </xf>
    <xf numFmtId="49" fontId="24" fillId="0" borderId="2" xfId="0" applyNumberFormat="1" applyFont="1" applyFill="1" applyBorder="1" applyAlignment="1">
      <alignment horizontal="left" vertical="top" wrapText="1"/>
    </xf>
    <xf numFmtId="0" fontId="24" fillId="0" borderId="2" xfId="0" applyFont="1" applyFill="1" applyBorder="1" applyAlignment="1">
      <alignment horizontal="left" vertical="center"/>
    </xf>
    <xf numFmtId="0" fontId="24" fillId="0" borderId="2" xfId="0" applyFont="1" applyFill="1" applyBorder="1" applyAlignment="1">
      <alignment horizontal="left" shrinkToFit="1"/>
    </xf>
    <xf numFmtId="0" fontId="24" fillId="0" borderId="2" xfId="0" applyFont="1" applyFill="1" applyBorder="1" applyAlignment="1">
      <alignment horizontal="left" vertical="center" shrinkToFit="1"/>
    </xf>
    <xf numFmtId="0" fontId="24" fillId="0" borderId="1" xfId="0" applyFont="1" applyFill="1" applyBorder="1" applyAlignment="1">
      <alignment horizontal="center" vertical="center"/>
    </xf>
    <xf numFmtId="0" fontId="24" fillId="0" borderId="1" xfId="0" applyFont="1" applyFill="1" applyBorder="1" applyAlignment="1">
      <alignment horizontal="justify" vertical="center"/>
    </xf>
    <xf numFmtId="0" fontId="24" fillId="0" borderId="2" xfId="0" applyFont="1" applyFill="1" applyBorder="1" applyAlignment="1">
      <alignment horizontal="justify" vertical="center" shrinkToFit="1"/>
    </xf>
    <xf numFmtId="0" fontId="15" fillId="0" borderId="2" xfId="0" applyFont="1" applyFill="1" applyBorder="1" applyAlignment="1">
      <alignment horizontal="left" shrinkToFit="1"/>
    </xf>
    <xf numFmtId="49" fontId="24" fillId="0" borderId="2" xfId="0" applyNumberFormat="1" applyFont="1" applyFill="1" applyBorder="1" applyAlignment="1">
      <alignment horizontal="left" shrinkToFit="1"/>
    </xf>
    <xf numFmtId="0" fontId="24" fillId="0" borderId="4" xfId="0" applyFont="1" applyFill="1" applyBorder="1" applyAlignment="1">
      <alignment horizontal="center" vertical="center"/>
    </xf>
    <xf numFmtId="0" fontId="24" fillId="0" borderId="4" xfId="0" applyFont="1" applyFill="1" applyBorder="1" applyAlignment="1">
      <alignment horizontal="justify" vertical="center"/>
    </xf>
    <xf numFmtId="0" fontId="24" fillId="0" borderId="4" xfId="0" applyFont="1" applyFill="1" applyBorder="1" applyAlignment="1">
      <alignment horizontal="justify" vertical="center" shrinkToFit="1"/>
    </xf>
    <xf numFmtId="0" fontId="24" fillId="0" borderId="4" xfId="0" applyFont="1" applyFill="1" applyBorder="1" applyAlignment="1">
      <alignment horizontal="left" shrinkToFit="1"/>
    </xf>
    <xf numFmtId="0" fontId="24" fillId="0" borderId="1" xfId="0" applyFont="1" applyFill="1" applyBorder="1" applyAlignment="1">
      <alignment horizontal="left" shrinkToFit="1"/>
    </xf>
    <xf numFmtId="49" fontId="24" fillId="0" borderId="2" xfId="0" applyNumberFormat="1" applyFont="1" applyFill="1" applyBorder="1" applyAlignment="1">
      <alignment horizontal="center" wrapText="1"/>
    </xf>
    <xf numFmtId="0" fontId="27" fillId="0" borderId="2" xfId="0" applyFont="1" applyBorder="1" applyAlignment="1">
      <alignment horizontal="center" vertical="center"/>
    </xf>
    <xf numFmtId="0" fontId="27" fillId="0" borderId="2" xfId="0" applyFont="1" applyBorder="1"/>
    <xf numFmtId="0" fontId="24" fillId="0" borderId="2" xfId="0" applyFont="1" applyFill="1" applyBorder="1" applyAlignment="1">
      <alignment horizontal="justify" vertical="top" shrinkToFit="1"/>
    </xf>
    <xf numFmtId="0" fontId="27" fillId="0" borderId="2" xfId="0" applyFont="1" applyBorder="1" applyAlignment="1">
      <alignment horizontal="center" vertical="top"/>
    </xf>
    <xf numFmtId="0" fontId="27" fillId="0" borderId="2" xfId="0" applyFont="1" applyBorder="1" applyAlignment="1">
      <alignment vertical="top"/>
    </xf>
    <xf numFmtId="49" fontId="24" fillId="0" borderId="2" xfId="0" applyNumberFormat="1" applyFont="1" applyFill="1" applyBorder="1" applyAlignment="1">
      <alignment horizontal="left" vertical="top" shrinkToFit="1"/>
    </xf>
    <xf numFmtId="0" fontId="24" fillId="0" borderId="2" xfId="0" applyFont="1" applyFill="1" applyBorder="1" applyAlignment="1">
      <alignment horizontal="center" shrinkToFit="1"/>
    </xf>
    <xf numFmtId="49" fontId="15" fillId="0" borderId="2" xfId="0" applyNumberFormat="1" applyFont="1" applyFill="1" applyBorder="1" applyAlignment="1">
      <alignment horizontal="left" vertical="top" shrinkToFit="1"/>
    </xf>
    <xf numFmtId="0" fontId="24" fillId="0" borderId="2" xfId="0" applyFont="1" applyFill="1" applyBorder="1" applyAlignment="1">
      <alignment horizontal="center" vertical="center" shrinkToFit="1"/>
    </xf>
    <xf numFmtId="49" fontId="15" fillId="0" borderId="2" xfId="0" applyNumberFormat="1" applyFont="1" applyFill="1" applyBorder="1" applyAlignment="1">
      <alignment horizontal="left" vertical="center" shrinkToFit="1"/>
    </xf>
    <xf numFmtId="0" fontId="24" fillId="0" borderId="2" xfId="0" applyNumberFormat="1" applyFont="1" applyFill="1" applyBorder="1" applyAlignment="1">
      <alignment horizontal="center" vertical="center"/>
    </xf>
    <xf numFmtId="0" fontId="24" fillId="0" borderId="2" xfId="0" applyNumberFormat="1" applyFont="1" applyFill="1" applyBorder="1" applyAlignment="1">
      <alignment horizontal="center" vertical="top"/>
    </xf>
    <xf numFmtId="0" fontId="24" fillId="0" borderId="2" xfId="0" applyFont="1" applyFill="1" applyBorder="1" applyAlignment="1">
      <alignment horizontal="left" vertical="top" shrinkToFit="1"/>
    </xf>
    <xf numFmtId="49" fontId="24" fillId="0" borderId="2" xfId="0" applyNumberFormat="1" applyFont="1" applyFill="1" applyBorder="1" applyAlignment="1">
      <alignment horizontal="left" vertical="center" shrinkToFit="1"/>
    </xf>
    <xf numFmtId="0" fontId="24" fillId="0" borderId="1" xfId="0" applyFont="1" applyFill="1" applyBorder="1" applyAlignment="1">
      <alignment horizontal="center" vertical="top"/>
    </xf>
    <xf numFmtId="0" fontId="24" fillId="0" borderId="1" xfId="0" applyFont="1" applyFill="1" applyBorder="1" applyAlignment="1">
      <alignment vertical="top"/>
    </xf>
    <xf numFmtId="0" fontId="24" fillId="0" borderId="1" xfId="0" applyNumberFormat="1" applyFont="1" applyFill="1" applyBorder="1" applyAlignment="1">
      <alignment horizontal="center" vertical="center"/>
    </xf>
    <xf numFmtId="0" fontId="24" fillId="0" borderId="3" xfId="0" applyFont="1" applyFill="1" applyBorder="1" applyAlignment="1">
      <alignment horizontal="center" vertical="center"/>
    </xf>
    <xf numFmtId="0" fontId="27" fillId="0" borderId="0" xfId="0" applyFont="1" applyBorder="1"/>
    <xf numFmtId="0" fontId="6" fillId="0" borderId="2" xfId="0" applyFont="1" applyFill="1" applyBorder="1" applyAlignment="1">
      <alignment horizontal="center" shrinkToFit="1"/>
    </xf>
    <xf numFmtId="0" fontId="27" fillId="0" borderId="2" xfId="0" applyFont="1" applyBorder="1" applyAlignment="1">
      <alignment horizontal="center"/>
    </xf>
    <xf numFmtId="0" fontId="13" fillId="0" borderId="2" xfId="0" applyFont="1" applyFill="1" applyBorder="1" applyAlignment="1">
      <alignment horizontal="left" vertical="center"/>
    </xf>
    <xf numFmtId="0" fontId="0" fillId="0" borderId="2" xfId="0" applyBorder="1" applyAlignment="1">
      <alignment horizontal="center"/>
    </xf>
    <xf numFmtId="0" fontId="8" fillId="0" borderId="3" xfId="0" applyFont="1" applyFill="1" applyBorder="1"/>
    <xf numFmtId="0" fontId="0" fillId="0" borderId="0" xfId="0" applyAlignment="1">
      <alignment horizontal="center"/>
    </xf>
    <xf numFmtId="0" fontId="6" fillId="0" borderId="2" xfId="0" applyFont="1" applyFill="1" applyBorder="1" applyAlignment="1">
      <alignment horizontal="justify" vertical="top" shrinkToFit="1"/>
    </xf>
    <xf numFmtId="0" fontId="6" fillId="0" borderId="1" xfId="0" applyFont="1" applyFill="1" applyBorder="1" applyAlignment="1">
      <alignment vertical="center"/>
    </xf>
    <xf numFmtId="0" fontId="6" fillId="0" borderId="1" xfId="0" applyFont="1" applyFill="1" applyBorder="1" applyAlignment="1">
      <alignment horizontal="center" vertical="top" shrinkToFit="1"/>
    </xf>
    <xf numFmtId="0" fontId="6" fillId="0" borderId="4" xfId="0" applyFont="1" applyFill="1" applyBorder="1" applyAlignment="1">
      <alignment horizontal="justify" vertical="center" shrinkToFit="1"/>
    </xf>
    <xf numFmtId="49" fontId="9" fillId="0" borderId="2" xfId="0" applyNumberFormat="1" applyFont="1" applyFill="1" applyBorder="1" applyAlignment="1">
      <alignment horizontal="center"/>
    </xf>
    <xf numFmtId="0" fontId="9" fillId="0" borderId="0" xfId="0" applyFont="1"/>
    <xf numFmtId="0" fontId="6" fillId="0" borderId="1" xfId="0" applyFont="1" applyFill="1" applyBorder="1" applyAlignment="1">
      <alignment horizontal="center" vertical="top" wrapText="1"/>
    </xf>
    <xf numFmtId="49" fontId="6" fillId="0" borderId="2" xfId="0" applyNumberFormat="1" applyFont="1" applyFill="1" applyBorder="1" applyAlignment="1">
      <alignment horizontal="justify" vertical="top" shrinkToFit="1"/>
    </xf>
    <xf numFmtId="14" fontId="0" fillId="0" borderId="2" xfId="0" applyNumberFormat="1" applyBorder="1"/>
    <xf numFmtId="0" fontId="8" fillId="0" borderId="2" xfId="0" applyFont="1" applyFill="1" applyBorder="1"/>
    <xf numFmtId="0" fontId="8" fillId="0" borderId="2" xfId="0" applyFont="1" applyFill="1" applyBorder="1" applyAlignment="1">
      <alignment vertical="top"/>
    </xf>
    <xf numFmtId="49" fontId="9" fillId="0" borderId="1" xfId="0" applyNumberFormat="1" applyFont="1" applyFill="1" applyBorder="1" applyAlignment="1">
      <alignment horizontal="left" vertical="top" shrinkToFit="1"/>
    </xf>
    <xf numFmtId="0" fontId="29" fillId="0" borderId="2" xfId="0" applyFont="1" applyFill="1" applyBorder="1" applyAlignment="1">
      <alignment horizontal="center" vertical="center"/>
    </xf>
    <xf numFmtId="0" fontId="6" fillId="0" borderId="1" xfId="0" applyNumberFormat="1" applyFont="1" applyFill="1" applyBorder="1" applyAlignment="1">
      <alignment horizontal="center" vertical="top"/>
    </xf>
    <xf numFmtId="49" fontId="6" fillId="0" borderId="1" xfId="0" applyNumberFormat="1" applyFont="1" applyFill="1" applyBorder="1" applyAlignment="1">
      <alignment horizontal="left" shrinkToFit="1"/>
    </xf>
    <xf numFmtId="14" fontId="0" fillId="0" borderId="0" xfId="0" applyNumberFormat="1" applyAlignment="1">
      <alignment horizontal="center" vertical="center"/>
    </xf>
    <xf numFmtId="0" fontId="6" fillId="0" borderId="3" xfId="0" applyFont="1" applyFill="1" applyBorder="1" applyAlignment="1">
      <alignment horizontal="center" vertical="center" wrapText="1"/>
    </xf>
    <xf numFmtId="44" fontId="6" fillId="0" borderId="2" xfId="1" applyFont="1" applyFill="1" applyBorder="1" applyAlignment="1">
      <alignment horizontal="left" shrinkToFit="1"/>
    </xf>
    <xf numFmtId="0" fontId="6" fillId="0" borderId="2" xfId="0" applyNumberFormat="1" applyFont="1" applyFill="1" applyBorder="1" applyAlignment="1">
      <alignment horizontal="center" vertical="top"/>
    </xf>
    <xf numFmtId="0" fontId="6" fillId="3" borderId="2" xfId="0" applyFont="1" applyFill="1" applyBorder="1" applyAlignment="1">
      <alignment horizontal="center" vertical="center"/>
    </xf>
    <xf numFmtId="0" fontId="6" fillId="0" borderId="2" xfId="0" applyFont="1" applyFill="1" applyBorder="1" applyAlignment="1">
      <alignment horizontal="justify" vertical="center" wrapText="1"/>
    </xf>
    <xf numFmtId="0" fontId="30" fillId="0" borderId="2" xfId="0" applyFont="1" applyFill="1" applyBorder="1" applyAlignment="1">
      <alignment horizontal="justify" vertical="center"/>
    </xf>
    <xf numFmtId="0" fontId="6" fillId="3" borderId="4" xfId="0" applyFont="1" applyFill="1" applyBorder="1" applyAlignment="1">
      <alignment horizontal="center" vertical="center"/>
    </xf>
    <xf numFmtId="0" fontId="6" fillId="3" borderId="2" xfId="0" applyFont="1" applyFill="1" applyBorder="1" applyAlignment="1">
      <alignment horizontal="justify" vertical="center"/>
    </xf>
    <xf numFmtId="14" fontId="31" fillId="0" borderId="0" xfId="0" applyNumberFormat="1" applyFont="1"/>
    <xf numFmtId="14" fontId="19" fillId="0" borderId="0" xfId="0" applyNumberFormat="1" applyFont="1" applyAlignment="1">
      <alignment horizontal="center" vertical="center"/>
    </xf>
    <xf numFmtId="14" fontId="32" fillId="0" borderId="0" xfId="0" applyNumberFormat="1" applyFont="1" applyAlignment="1">
      <alignment horizontal="center" vertical="center"/>
    </xf>
    <xf numFmtId="0" fontId="9" fillId="0" borderId="0" xfId="0" applyFont="1" applyFill="1" applyBorder="1" applyAlignment="1">
      <alignment horizontal="center"/>
    </xf>
    <xf numFmtId="14" fontId="5" fillId="0" borderId="1" xfId="0" applyNumberFormat="1" applyFont="1" applyFill="1" applyBorder="1" applyAlignment="1">
      <alignment horizontal="justify" vertical="center"/>
    </xf>
    <xf numFmtId="0" fontId="7" fillId="0" borderId="1" xfId="0" applyFont="1" applyFill="1" applyBorder="1" applyAlignment="1">
      <alignment horizontal="center" vertical="center" shrinkToFit="1"/>
    </xf>
    <xf numFmtId="0" fontId="11" fillId="0" borderId="1" xfId="0" applyFont="1" applyBorder="1" applyAlignment="1">
      <alignment horizontal="center" vertical="center"/>
    </xf>
    <xf numFmtId="0" fontId="2" fillId="0" borderId="1" xfId="0" applyFont="1" applyFill="1" applyBorder="1" applyAlignment="1">
      <alignment horizontal="center" vertical="center"/>
    </xf>
    <xf numFmtId="14" fontId="33" fillId="0" borderId="1" xfId="0" applyNumberFormat="1" applyFont="1" applyFill="1" applyBorder="1" applyAlignment="1">
      <alignment horizontal="justify" vertical="center"/>
    </xf>
    <xf numFmtId="14" fontId="34" fillId="0" borderId="3" xfId="0" applyNumberFormat="1" applyFont="1" applyFill="1" applyBorder="1" applyAlignment="1">
      <alignment horizontal="justify" vertical="center"/>
    </xf>
    <xf numFmtId="14" fontId="32" fillId="0" borderId="0" xfId="0" applyNumberFormat="1" applyFont="1"/>
    <xf numFmtId="14" fontId="19" fillId="0" borderId="0" xfId="0" applyNumberFormat="1" applyFont="1"/>
    <xf numFmtId="14" fontId="35" fillId="0" borderId="0" xfId="0" applyNumberFormat="1" applyFont="1"/>
    <xf numFmtId="14" fontId="31" fillId="0" borderId="0" xfId="0" applyNumberFormat="1" applyFont="1" applyAlignment="1">
      <alignment horizontal="center" vertical="center"/>
    </xf>
    <xf numFmtId="0" fontId="10" fillId="0" borderId="1" xfId="0" applyFont="1" applyFill="1" applyBorder="1" applyAlignment="1">
      <alignment horizontal="center" vertical="top" wrapText="1" shrinkToFit="1"/>
    </xf>
    <xf numFmtId="0" fontId="7" fillId="0" borderId="2" xfId="0" applyFont="1" applyFill="1" applyBorder="1" applyAlignment="1">
      <alignment horizontal="center" wrapText="1" shrinkToFit="1"/>
    </xf>
    <xf numFmtId="0" fontId="7" fillId="0" borderId="2" xfId="0" applyFont="1" applyFill="1" applyBorder="1" applyAlignment="1">
      <alignment horizontal="center" vertical="top" wrapText="1" shrinkToFit="1"/>
    </xf>
    <xf numFmtId="0" fontId="7" fillId="0" borderId="2" xfId="0" applyFont="1" applyFill="1" applyBorder="1" applyAlignment="1">
      <alignment horizontal="center" vertical="center" wrapText="1" shrinkToFit="1"/>
    </xf>
    <xf numFmtId="0" fontId="19" fillId="0" borderId="8" xfId="0" applyFont="1" applyBorder="1" applyAlignment="1">
      <alignment horizontal="center"/>
    </xf>
  </cellXfs>
  <cellStyles count="3">
    <cellStyle name="Currency" xfId="1" builtinId="4"/>
    <cellStyle name="Normal" xfId="0" builtinId="0"/>
    <cellStyle name="Normal_Sheet1" xfId="2"/>
  </cellStyles>
  <dxfs count="8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X1035"/>
  <sheetViews>
    <sheetView tabSelected="1" view="pageBreakPreview" zoomScaleSheetLayoutView="100" workbookViewId="0">
      <pane xSplit="3" ySplit="1" topLeftCell="D1021" activePane="bottomRight" state="frozen"/>
      <selection pane="topRight" activeCell="D1" sqref="D1"/>
      <selection pane="bottomLeft" activeCell="A2" sqref="A2"/>
      <selection pane="bottomRight" activeCell="O1027" sqref="O1027"/>
    </sheetView>
  </sheetViews>
  <sheetFormatPr defaultRowHeight="15"/>
  <cols>
    <col min="1" max="1" width="6.42578125" customWidth="1"/>
    <col min="2" max="2" width="10.5703125" style="107" customWidth="1"/>
    <col min="3" max="3" width="27.42578125" customWidth="1"/>
    <col min="4" max="4" width="24.5703125" customWidth="1"/>
    <col min="5" max="5" width="10.85546875" customWidth="1"/>
    <col min="6" max="13" width="9.28515625" customWidth="1"/>
    <col min="14" max="14" width="8.42578125" customWidth="1"/>
    <col min="15" max="15" width="9.28515625" customWidth="1"/>
    <col min="16" max="17" width="8.42578125" customWidth="1"/>
    <col min="18" max="18" width="12.7109375" customWidth="1"/>
    <col min="19" max="19" width="9.42578125" hidden="1" customWidth="1"/>
    <col min="20" max="20" width="11.7109375" hidden="1" customWidth="1"/>
    <col min="21" max="21" width="33.140625" hidden="1" customWidth="1"/>
    <col min="22" max="22" width="22.85546875" customWidth="1"/>
    <col min="23" max="23" width="15.85546875" customWidth="1"/>
  </cols>
  <sheetData>
    <row r="1" spans="1:23" ht="17.25">
      <c r="A1" s="1" t="s">
        <v>0</v>
      </c>
      <c r="B1" s="1" t="s">
        <v>1</v>
      </c>
      <c r="C1" s="1" t="s">
        <v>2</v>
      </c>
      <c r="D1" s="1" t="s">
        <v>3</v>
      </c>
      <c r="E1" s="2" t="s">
        <v>4</v>
      </c>
      <c r="F1" s="3" t="s">
        <v>5</v>
      </c>
      <c r="G1" s="4">
        <v>45839</v>
      </c>
      <c r="H1" s="4">
        <v>45870</v>
      </c>
      <c r="I1" s="4">
        <v>45901</v>
      </c>
      <c r="J1" s="4">
        <v>45931</v>
      </c>
      <c r="K1" s="4">
        <v>45962</v>
      </c>
      <c r="L1" s="4">
        <v>45992</v>
      </c>
      <c r="M1" s="4">
        <v>46023</v>
      </c>
      <c r="N1" s="3" t="s">
        <v>6</v>
      </c>
      <c r="O1" s="4">
        <v>46054</v>
      </c>
      <c r="P1" s="3" t="s">
        <v>7</v>
      </c>
      <c r="Q1" s="3" t="s">
        <v>8</v>
      </c>
      <c r="R1" s="5" t="s">
        <v>9</v>
      </c>
      <c r="S1" s="3" t="s">
        <v>10</v>
      </c>
      <c r="T1" s="3" t="s">
        <v>11</v>
      </c>
      <c r="U1" s="3" t="s">
        <v>12</v>
      </c>
      <c r="V1" s="6" t="s">
        <v>13</v>
      </c>
      <c r="W1" s="7"/>
    </row>
    <row r="2" spans="1:23" ht="30" customHeight="1">
      <c r="A2" s="1">
        <v>1</v>
      </c>
      <c r="B2" s="8">
        <v>6537</v>
      </c>
      <c r="C2" s="9" t="s">
        <v>14</v>
      </c>
      <c r="D2" s="10" t="s">
        <v>15</v>
      </c>
      <c r="E2" s="11" t="s">
        <v>16</v>
      </c>
      <c r="F2" s="8">
        <v>1200</v>
      </c>
      <c r="G2" s="8">
        <v>0</v>
      </c>
      <c r="H2" s="8">
        <v>0</v>
      </c>
      <c r="I2" s="8">
        <v>0</v>
      </c>
      <c r="J2" s="8">
        <v>0</v>
      </c>
      <c r="K2" s="8">
        <v>0</v>
      </c>
      <c r="L2" s="8">
        <v>0</v>
      </c>
      <c r="M2" s="8">
        <v>0</v>
      </c>
      <c r="N2" s="12">
        <f>(SUM(G2:M2))</f>
        <v>0</v>
      </c>
      <c r="O2" s="8">
        <v>1200</v>
      </c>
      <c r="P2" s="13">
        <v>0</v>
      </c>
      <c r="Q2" s="13">
        <v>0</v>
      </c>
      <c r="R2" s="14">
        <f t="shared" ref="R2:R68" si="0">(SUM(N2:Q2))</f>
        <v>1200</v>
      </c>
      <c r="S2" s="13">
        <f t="shared" ref="S2:S68" si="1">R2+100</f>
        <v>1300</v>
      </c>
      <c r="T2" s="13">
        <f t="shared" ref="T2:T68" si="2">R2+200</f>
        <v>1400</v>
      </c>
      <c r="U2" s="13" t="s">
        <v>4181</v>
      </c>
      <c r="V2" s="15" t="s">
        <v>18</v>
      </c>
    </row>
    <row r="3" spans="1:23" ht="30" customHeight="1">
      <c r="A3" s="1">
        <v>2</v>
      </c>
      <c r="B3" s="8">
        <v>6589</v>
      </c>
      <c r="C3" s="9" t="s">
        <v>22</v>
      </c>
      <c r="D3" s="10" t="s">
        <v>23</v>
      </c>
      <c r="E3" s="11" t="s">
        <v>16</v>
      </c>
      <c r="F3" s="8">
        <v>2200</v>
      </c>
      <c r="G3" s="8">
        <v>0</v>
      </c>
      <c r="H3" s="8">
        <v>0</v>
      </c>
      <c r="I3" s="8">
        <v>0</v>
      </c>
      <c r="J3" s="8">
        <v>0</v>
      </c>
      <c r="K3" s="8">
        <v>0</v>
      </c>
      <c r="L3" s="8">
        <v>0</v>
      </c>
      <c r="M3" s="8">
        <v>0</v>
      </c>
      <c r="N3" s="12">
        <f t="shared" ref="N3:N69" si="3">(SUM(G3:M3))</f>
        <v>0</v>
      </c>
      <c r="O3" s="8">
        <v>0</v>
      </c>
      <c r="P3" s="13">
        <v>0</v>
      </c>
      <c r="Q3" s="13">
        <v>0</v>
      </c>
      <c r="R3" s="14">
        <f t="shared" si="0"/>
        <v>0</v>
      </c>
      <c r="S3" s="13">
        <f t="shared" si="1"/>
        <v>100</v>
      </c>
      <c r="T3" s="13">
        <f t="shared" si="2"/>
        <v>200</v>
      </c>
      <c r="U3" s="13" t="s">
        <v>4181</v>
      </c>
      <c r="V3" s="15" t="s">
        <v>24</v>
      </c>
    </row>
    <row r="4" spans="1:23" ht="30" customHeight="1">
      <c r="A4" s="1">
        <v>3</v>
      </c>
      <c r="B4" s="8">
        <v>6618</v>
      </c>
      <c r="C4" s="9" t="s">
        <v>31</v>
      </c>
      <c r="D4" s="10" t="s">
        <v>32</v>
      </c>
      <c r="E4" s="11" t="s">
        <v>16</v>
      </c>
      <c r="F4" s="8">
        <v>2400</v>
      </c>
      <c r="G4" s="8">
        <v>0</v>
      </c>
      <c r="H4" s="8">
        <v>0</v>
      </c>
      <c r="I4" s="8">
        <v>0</v>
      </c>
      <c r="J4" s="8">
        <v>0</v>
      </c>
      <c r="K4" s="8">
        <v>0</v>
      </c>
      <c r="L4" s="8">
        <v>0</v>
      </c>
      <c r="M4" s="8">
        <v>0</v>
      </c>
      <c r="N4" s="12">
        <f t="shared" si="3"/>
        <v>0</v>
      </c>
      <c r="O4" s="8">
        <v>0</v>
      </c>
      <c r="P4" s="13">
        <v>0</v>
      </c>
      <c r="Q4" s="13">
        <v>0</v>
      </c>
      <c r="R4" s="14">
        <f t="shared" si="0"/>
        <v>0</v>
      </c>
      <c r="S4" s="13">
        <f t="shared" si="1"/>
        <v>100</v>
      </c>
      <c r="T4" s="13">
        <f t="shared" si="2"/>
        <v>200</v>
      </c>
      <c r="U4" s="13" t="s">
        <v>4181</v>
      </c>
      <c r="V4" s="15" t="s">
        <v>33</v>
      </c>
    </row>
    <row r="5" spans="1:23" ht="30" customHeight="1">
      <c r="A5" s="1">
        <v>4</v>
      </c>
      <c r="B5" s="8">
        <v>6620</v>
      </c>
      <c r="C5" s="9" t="s">
        <v>37</v>
      </c>
      <c r="D5" s="10" t="s">
        <v>38</v>
      </c>
      <c r="E5" s="11" t="s">
        <v>16</v>
      </c>
      <c r="F5" s="8">
        <v>1700</v>
      </c>
      <c r="G5" s="8">
        <v>0</v>
      </c>
      <c r="H5" s="8">
        <v>0</v>
      </c>
      <c r="I5" s="8">
        <v>0</v>
      </c>
      <c r="J5" s="8">
        <v>0</v>
      </c>
      <c r="K5" s="8">
        <v>0</v>
      </c>
      <c r="L5" s="8">
        <v>0</v>
      </c>
      <c r="M5" s="8">
        <v>0</v>
      </c>
      <c r="N5" s="12">
        <f t="shared" si="3"/>
        <v>0</v>
      </c>
      <c r="O5" s="8">
        <v>1700</v>
      </c>
      <c r="P5" s="13">
        <v>0</v>
      </c>
      <c r="Q5" s="13">
        <v>0</v>
      </c>
      <c r="R5" s="14">
        <f t="shared" si="0"/>
        <v>1700</v>
      </c>
      <c r="S5" s="13">
        <f t="shared" si="1"/>
        <v>1800</v>
      </c>
      <c r="T5" s="13">
        <f t="shared" si="2"/>
        <v>1900</v>
      </c>
      <c r="U5" s="13" t="s">
        <v>4181</v>
      </c>
      <c r="V5" s="15" t="s">
        <v>39</v>
      </c>
    </row>
    <row r="6" spans="1:23" ht="30" customHeight="1">
      <c r="A6" s="1">
        <v>5</v>
      </c>
      <c r="B6" s="8">
        <v>6621</v>
      </c>
      <c r="C6" s="9" t="s">
        <v>40</v>
      </c>
      <c r="D6" s="10" t="s">
        <v>32</v>
      </c>
      <c r="E6" s="11" t="s">
        <v>16</v>
      </c>
      <c r="F6" s="8">
        <v>2400</v>
      </c>
      <c r="G6" s="8">
        <v>0</v>
      </c>
      <c r="H6" s="8">
        <v>0</v>
      </c>
      <c r="I6" s="8">
        <v>0</v>
      </c>
      <c r="J6" s="8">
        <v>0</v>
      </c>
      <c r="K6" s="8">
        <v>0</v>
      </c>
      <c r="L6" s="8">
        <v>0</v>
      </c>
      <c r="M6" s="8">
        <v>0</v>
      </c>
      <c r="N6" s="12">
        <f t="shared" si="3"/>
        <v>0</v>
      </c>
      <c r="O6" s="8">
        <v>0</v>
      </c>
      <c r="P6" s="13">
        <v>0</v>
      </c>
      <c r="Q6" s="13">
        <v>0</v>
      </c>
      <c r="R6" s="14">
        <f t="shared" si="0"/>
        <v>0</v>
      </c>
      <c r="S6" s="13">
        <f t="shared" si="1"/>
        <v>100</v>
      </c>
      <c r="T6" s="13">
        <f t="shared" si="2"/>
        <v>200</v>
      </c>
      <c r="U6" s="13" t="s">
        <v>4181</v>
      </c>
      <c r="V6" s="15" t="s">
        <v>33</v>
      </c>
    </row>
    <row r="7" spans="1:23" ht="30" customHeight="1">
      <c r="A7" s="1">
        <v>6</v>
      </c>
      <c r="B7" s="8">
        <v>6624</v>
      </c>
      <c r="C7" s="9" t="s">
        <v>41</v>
      </c>
      <c r="D7" s="10" t="s">
        <v>42</v>
      </c>
      <c r="E7" s="11" t="s">
        <v>16</v>
      </c>
      <c r="F7" s="8">
        <v>2000</v>
      </c>
      <c r="G7" s="8">
        <v>0</v>
      </c>
      <c r="H7" s="8">
        <v>0</v>
      </c>
      <c r="I7" s="8">
        <v>0</v>
      </c>
      <c r="J7" s="8">
        <v>0</v>
      </c>
      <c r="K7" s="8">
        <v>0</v>
      </c>
      <c r="L7" s="8">
        <v>0</v>
      </c>
      <c r="M7" s="8">
        <v>0</v>
      </c>
      <c r="N7" s="12">
        <f t="shared" si="3"/>
        <v>0</v>
      </c>
      <c r="O7" s="8">
        <v>1200</v>
      </c>
      <c r="P7" s="13">
        <v>0</v>
      </c>
      <c r="Q7" s="13">
        <v>0</v>
      </c>
      <c r="R7" s="14">
        <f t="shared" si="0"/>
        <v>1200</v>
      </c>
      <c r="S7" s="13">
        <f t="shared" si="1"/>
        <v>1300</v>
      </c>
      <c r="T7" s="13">
        <f t="shared" si="2"/>
        <v>1400</v>
      </c>
      <c r="U7" s="13" t="s">
        <v>4181</v>
      </c>
      <c r="V7" s="15" t="s">
        <v>43</v>
      </c>
    </row>
    <row r="8" spans="1:23" ht="30" customHeight="1">
      <c r="A8" s="1">
        <v>7</v>
      </c>
      <c r="B8" s="8">
        <v>6625</v>
      </c>
      <c r="C8" s="9" t="s">
        <v>44</v>
      </c>
      <c r="D8" s="10" t="s">
        <v>45</v>
      </c>
      <c r="E8" s="11" t="s">
        <v>16</v>
      </c>
      <c r="F8" s="8">
        <v>2400</v>
      </c>
      <c r="G8" s="8">
        <v>0</v>
      </c>
      <c r="H8" s="8">
        <v>0</v>
      </c>
      <c r="I8" s="8">
        <v>0</v>
      </c>
      <c r="J8" s="8">
        <v>0</v>
      </c>
      <c r="K8" s="8">
        <v>0</v>
      </c>
      <c r="L8" s="8">
        <v>0</v>
      </c>
      <c r="M8" s="8">
        <v>0</v>
      </c>
      <c r="N8" s="12">
        <f t="shared" si="3"/>
        <v>0</v>
      </c>
      <c r="O8" s="8">
        <v>0</v>
      </c>
      <c r="P8" s="13">
        <v>0</v>
      </c>
      <c r="Q8" s="13">
        <v>0</v>
      </c>
      <c r="R8" s="14">
        <f t="shared" si="0"/>
        <v>0</v>
      </c>
      <c r="S8" s="13">
        <f t="shared" si="1"/>
        <v>100</v>
      </c>
      <c r="T8" s="13">
        <f t="shared" si="2"/>
        <v>200</v>
      </c>
      <c r="U8" s="13" t="s">
        <v>4181</v>
      </c>
      <c r="V8" s="15" t="s">
        <v>46</v>
      </c>
    </row>
    <row r="9" spans="1:23" ht="30" customHeight="1">
      <c r="A9" s="1">
        <v>8</v>
      </c>
      <c r="B9" s="8">
        <v>6649</v>
      </c>
      <c r="C9" s="9" t="s">
        <v>47</v>
      </c>
      <c r="D9" s="10" t="s">
        <v>48</v>
      </c>
      <c r="E9" s="11" t="s">
        <v>16</v>
      </c>
      <c r="F9" s="8">
        <v>2400</v>
      </c>
      <c r="G9" s="8">
        <v>0</v>
      </c>
      <c r="H9" s="8">
        <v>0</v>
      </c>
      <c r="I9" s="8">
        <v>0</v>
      </c>
      <c r="J9" s="8">
        <v>0</v>
      </c>
      <c r="K9" s="8">
        <v>0</v>
      </c>
      <c r="L9" s="8">
        <v>0</v>
      </c>
      <c r="M9" s="8">
        <v>1100</v>
      </c>
      <c r="N9" s="12">
        <f t="shared" si="3"/>
        <v>1100</v>
      </c>
      <c r="O9" s="8">
        <v>2400</v>
      </c>
      <c r="P9" s="13">
        <v>0</v>
      </c>
      <c r="Q9" s="13">
        <v>0</v>
      </c>
      <c r="R9" s="14">
        <f t="shared" si="0"/>
        <v>3500</v>
      </c>
      <c r="S9" s="13">
        <f t="shared" si="1"/>
        <v>3600</v>
      </c>
      <c r="T9" s="13">
        <f t="shared" si="2"/>
        <v>3700</v>
      </c>
      <c r="U9" s="13" t="s">
        <v>4181</v>
      </c>
      <c r="V9" s="15" t="s">
        <v>49</v>
      </c>
    </row>
    <row r="10" spans="1:23" ht="30" customHeight="1">
      <c r="A10" s="1">
        <v>9</v>
      </c>
      <c r="B10" s="8">
        <v>6650</v>
      </c>
      <c r="C10" s="9" t="s">
        <v>50</v>
      </c>
      <c r="D10" s="10" t="s">
        <v>51</v>
      </c>
      <c r="E10" s="11" t="s">
        <v>16</v>
      </c>
      <c r="F10" s="8">
        <v>2200</v>
      </c>
      <c r="G10" s="8">
        <v>0</v>
      </c>
      <c r="H10" s="8">
        <v>0</v>
      </c>
      <c r="I10" s="8">
        <v>0</v>
      </c>
      <c r="J10" s="8">
        <v>0</v>
      </c>
      <c r="K10" s="8">
        <v>0</v>
      </c>
      <c r="L10" s="8">
        <v>0</v>
      </c>
      <c r="M10" s="8">
        <v>0</v>
      </c>
      <c r="N10" s="12">
        <f t="shared" si="3"/>
        <v>0</v>
      </c>
      <c r="O10" s="8">
        <v>2200</v>
      </c>
      <c r="P10" s="13">
        <v>0</v>
      </c>
      <c r="Q10" s="13">
        <v>0</v>
      </c>
      <c r="R10" s="14">
        <f t="shared" si="0"/>
        <v>2200</v>
      </c>
      <c r="S10" s="13">
        <f t="shared" si="1"/>
        <v>2300</v>
      </c>
      <c r="T10" s="13">
        <f t="shared" si="2"/>
        <v>2400</v>
      </c>
      <c r="U10" s="13" t="s">
        <v>4181</v>
      </c>
      <c r="V10" s="15" t="s">
        <v>52</v>
      </c>
    </row>
    <row r="11" spans="1:23" ht="30" customHeight="1">
      <c r="A11" s="1">
        <v>10</v>
      </c>
      <c r="B11" s="8">
        <v>6652</v>
      </c>
      <c r="C11" s="9" t="s">
        <v>53</v>
      </c>
      <c r="D11" s="10" t="s">
        <v>54</v>
      </c>
      <c r="E11" s="11" t="s">
        <v>16</v>
      </c>
      <c r="F11" s="8">
        <v>2400</v>
      </c>
      <c r="G11" s="8">
        <v>0</v>
      </c>
      <c r="H11" s="8">
        <v>0</v>
      </c>
      <c r="I11" s="8">
        <v>0</v>
      </c>
      <c r="J11" s="8">
        <v>0</v>
      </c>
      <c r="K11" s="8">
        <v>0</v>
      </c>
      <c r="L11" s="8">
        <v>0</v>
      </c>
      <c r="M11" s="8">
        <v>0</v>
      </c>
      <c r="N11" s="12">
        <f t="shared" si="3"/>
        <v>0</v>
      </c>
      <c r="O11" s="8">
        <v>2400</v>
      </c>
      <c r="P11" s="13">
        <v>0</v>
      </c>
      <c r="Q11" s="13">
        <v>0</v>
      </c>
      <c r="R11" s="14">
        <f t="shared" si="0"/>
        <v>2400</v>
      </c>
      <c r="S11" s="13">
        <f t="shared" si="1"/>
        <v>2500</v>
      </c>
      <c r="T11" s="13">
        <f t="shared" si="2"/>
        <v>2600</v>
      </c>
      <c r="U11" s="13" t="s">
        <v>4181</v>
      </c>
      <c r="V11" s="15" t="s">
        <v>55</v>
      </c>
      <c r="W11" t="s">
        <v>56</v>
      </c>
    </row>
    <row r="12" spans="1:23" ht="30" customHeight="1">
      <c r="A12" s="1">
        <v>11</v>
      </c>
      <c r="B12" s="8">
        <v>6653</v>
      </c>
      <c r="C12" s="9" t="s">
        <v>57</v>
      </c>
      <c r="D12" s="10" t="s">
        <v>58</v>
      </c>
      <c r="E12" s="11" t="s">
        <v>16</v>
      </c>
      <c r="F12" s="8">
        <v>2000</v>
      </c>
      <c r="G12" s="8">
        <v>0</v>
      </c>
      <c r="H12" s="8">
        <v>0</v>
      </c>
      <c r="I12" s="8">
        <v>0</v>
      </c>
      <c r="J12" s="8">
        <v>0</v>
      </c>
      <c r="K12" s="8">
        <v>0</v>
      </c>
      <c r="L12" s="8">
        <v>0</v>
      </c>
      <c r="M12" s="8">
        <v>0</v>
      </c>
      <c r="N12" s="12">
        <f t="shared" si="3"/>
        <v>0</v>
      </c>
      <c r="O12" s="8">
        <v>0</v>
      </c>
      <c r="P12" s="13">
        <v>0</v>
      </c>
      <c r="Q12" s="13">
        <v>0</v>
      </c>
      <c r="R12" s="14">
        <f t="shared" si="0"/>
        <v>0</v>
      </c>
      <c r="S12" s="13">
        <f t="shared" si="1"/>
        <v>100</v>
      </c>
      <c r="T12" s="13">
        <f t="shared" si="2"/>
        <v>200</v>
      </c>
      <c r="U12" s="13" t="s">
        <v>4181</v>
      </c>
      <c r="V12" s="15" t="s">
        <v>59</v>
      </c>
    </row>
    <row r="13" spans="1:23" s="17" customFormat="1" ht="30" customHeight="1">
      <c r="A13" s="1">
        <v>12</v>
      </c>
      <c r="B13" s="13">
        <v>6691</v>
      </c>
      <c r="C13" s="9" t="s">
        <v>57</v>
      </c>
      <c r="D13" s="10" t="s">
        <v>60</v>
      </c>
      <c r="E13" s="11" t="s">
        <v>16</v>
      </c>
      <c r="F13" s="13">
        <v>1700</v>
      </c>
      <c r="G13" s="13">
        <v>0</v>
      </c>
      <c r="H13" s="13">
        <v>0</v>
      </c>
      <c r="I13" s="13">
        <v>0</v>
      </c>
      <c r="J13" s="13">
        <v>0</v>
      </c>
      <c r="K13" s="13">
        <v>0</v>
      </c>
      <c r="L13" s="13">
        <v>0</v>
      </c>
      <c r="M13" s="13">
        <v>0</v>
      </c>
      <c r="N13" s="12">
        <f t="shared" si="3"/>
        <v>0</v>
      </c>
      <c r="O13" s="13">
        <v>0</v>
      </c>
      <c r="P13" s="13">
        <v>0</v>
      </c>
      <c r="Q13" s="13">
        <v>0</v>
      </c>
      <c r="R13" s="14">
        <f t="shared" si="0"/>
        <v>0</v>
      </c>
      <c r="S13" s="13">
        <f t="shared" si="1"/>
        <v>100</v>
      </c>
      <c r="T13" s="13">
        <f t="shared" si="2"/>
        <v>200</v>
      </c>
      <c r="U13" s="13" t="s">
        <v>4181</v>
      </c>
      <c r="V13" s="15" t="s">
        <v>61</v>
      </c>
    </row>
    <row r="14" spans="1:23" ht="30" customHeight="1">
      <c r="A14" s="1">
        <v>13</v>
      </c>
      <c r="B14" s="8">
        <v>6705</v>
      </c>
      <c r="C14" s="9" t="s">
        <v>62</v>
      </c>
      <c r="D14" s="10" t="s">
        <v>63</v>
      </c>
      <c r="E14" s="11" t="s">
        <v>16</v>
      </c>
      <c r="F14" s="8">
        <v>1500</v>
      </c>
      <c r="G14" s="8">
        <v>0</v>
      </c>
      <c r="H14" s="8">
        <v>0</v>
      </c>
      <c r="I14" s="8">
        <v>0</v>
      </c>
      <c r="J14" s="8">
        <v>0</v>
      </c>
      <c r="K14" s="8">
        <v>1500</v>
      </c>
      <c r="L14" s="8">
        <v>1500</v>
      </c>
      <c r="M14" s="8">
        <v>1500</v>
      </c>
      <c r="N14" s="12">
        <f t="shared" si="3"/>
        <v>4500</v>
      </c>
      <c r="O14" s="8">
        <v>1500</v>
      </c>
      <c r="P14" s="13">
        <v>0</v>
      </c>
      <c r="Q14" s="13">
        <v>0</v>
      </c>
      <c r="R14" s="14">
        <f t="shared" si="0"/>
        <v>6000</v>
      </c>
      <c r="S14" s="13">
        <f t="shared" si="1"/>
        <v>6100</v>
      </c>
      <c r="T14" s="13">
        <f t="shared" si="2"/>
        <v>6200</v>
      </c>
      <c r="U14" s="13" t="s">
        <v>4181</v>
      </c>
      <c r="V14" s="15" t="s">
        <v>64</v>
      </c>
    </row>
    <row r="15" spans="1:23" ht="30" customHeight="1">
      <c r="A15" s="1">
        <v>14</v>
      </c>
      <c r="B15" s="8">
        <v>6708</v>
      </c>
      <c r="C15" s="9" t="s">
        <v>69</v>
      </c>
      <c r="D15" s="10" t="s">
        <v>70</v>
      </c>
      <c r="E15" s="11" t="s">
        <v>16</v>
      </c>
      <c r="F15" s="8">
        <v>1000</v>
      </c>
      <c r="G15" s="8">
        <v>0</v>
      </c>
      <c r="H15" s="8">
        <v>0</v>
      </c>
      <c r="I15" s="8">
        <v>0</v>
      </c>
      <c r="J15" s="8">
        <v>0</v>
      </c>
      <c r="K15" s="8">
        <v>0</v>
      </c>
      <c r="L15" s="8">
        <v>0</v>
      </c>
      <c r="M15" s="8">
        <v>0</v>
      </c>
      <c r="N15" s="12">
        <f t="shared" si="3"/>
        <v>0</v>
      </c>
      <c r="O15" s="8">
        <v>0</v>
      </c>
      <c r="P15" s="13">
        <v>0</v>
      </c>
      <c r="Q15" s="13">
        <v>0</v>
      </c>
      <c r="R15" s="14">
        <f t="shared" si="0"/>
        <v>0</v>
      </c>
      <c r="S15" s="13">
        <f t="shared" si="1"/>
        <v>100</v>
      </c>
      <c r="T15" s="13">
        <f t="shared" si="2"/>
        <v>200</v>
      </c>
      <c r="U15" s="13" t="s">
        <v>4181</v>
      </c>
      <c r="V15" s="15" t="s">
        <v>71</v>
      </c>
      <c r="W15" t="s">
        <v>68</v>
      </c>
    </row>
    <row r="16" spans="1:23" ht="30" customHeight="1">
      <c r="A16" s="1">
        <v>15</v>
      </c>
      <c r="B16" s="8">
        <v>6719</v>
      </c>
      <c r="C16" s="9" t="s">
        <v>75</v>
      </c>
      <c r="D16" s="10" t="s">
        <v>76</v>
      </c>
      <c r="E16" s="11" t="s">
        <v>16</v>
      </c>
      <c r="F16" s="8">
        <v>2400</v>
      </c>
      <c r="G16" s="8">
        <v>0</v>
      </c>
      <c r="H16" s="8">
        <v>0</v>
      </c>
      <c r="I16" s="8">
        <v>0</v>
      </c>
      <c r="J16" s="8">
        <v>0</v>
      </c>
      <c r="K16" s="8">
        <v>0</v>
      </c>
      <c r="L16" s="8">
        <v>0</v>
      </c>
      <c r="M16" s="8">
        <v>0</v>
      </c>
      <c r="N16" s="12">
        <f t="shared" si="3"/>
        <v>0</v>
      </c>
      <c r="O16" s="8">
        <v>0</v>
      </c>
      <c r="P16" s="13">
        <v>0</v>
      </c>
      <c r="Q16" s="13">
        <v>0</v>
      </c>
      <c r="R16" s="14">
        <f t="shared" si="0"/>
        <v>0</v>
      </c>
      <c r="S16" s="13">
        <f t="shared" si="1"/>
        <v>100</v>
      </c>
      <c r="T16" s="13">
        <f t="shared" si="2"/>
        <v>200</v>
      </c>
      <c r="U16" s="13" t="s">
        <v>4181</v>
      </c>
      <c r="V16" s="15" t="s">
        <v>77</v>
      </c>
      <c r="W16" t="s">
        <v>78</v>
      </c>
    </row>
    <row r="17" spans="1:23" ht="30" customHeight="1">
      <c r="A17" s="1">
        <v>16</v>
      </c>
      <c r="B17" s="8">
        <v>6726</v>
      </c>
      <c r="C17" s="9" t="s">
        <v>79</v>
      </c>
      <c r="D17" s="10" t="s">
        <v>80</v>
      </c>
      <c r="E17" s="11" t="s">
        <v>16</v>
      </c>
      <c r="F17" s="8">
        <v>200</v>
      </c>
      <c r="G17" s="8">
        <v>0</v>
      </c>
      <c r="H17" s="8">
        <v>0</v>
      </c>
      <c r="I17" s="8">
        <v>0</v>
      </c>
      <c r="J17" s="8">
        <v>0</v>
      </c>
      <c r="K17" s="8">
        <v>0</v>
      </c>
      <c r="L17" s="8">
        <v>0</v>
      </c>
      <c r="M17" s="8">
        <v>0</v>
      </c>
      <c r="N17" s="12">
        <f t="shared" si="3"/>
        <v>0</v>
      </c>
      <c r="O17" s="8">
        <v>0</v>
      </c>
      <c r="P17" s="13">
        <v>0</v>
      </c>
      <c r="Q17" s="13">
        <v>0</v>
      </c>
      <c r="R17" s="14">
        <f t="shared" si="0"/>
        <v>0</v>
      </c>
      <c r="S17" s="13">
        <f t="shared" si="1"/>
        <v>100</v>
      </c>
      <c r="T17" s="13">
        <f t="shared" si="2"/>
        <v>200</v>
      </c>
      <c r="U17" s="13" t="s">
        <v>4181</v>
      </c>
      <c r="V17" s="15" t="s">
        <v>81</v>
      </c>
      <c r="W17" t="s">
        <v>78</v>
      </c>
    </row>
    <row r="18" spans="1:23" ht="30" customHeight="1">
      <c r="A18" s="1">
        <v>17</v>
      </c>
      <c r="B18" s="8">
        <v>6727</v>
      </c>
      <c r="C18" s="9" t="s">
        <v>82</v>
      </c>
      <c r="D18" s="10" t="s">
        <v>83</v>
      </c>
      <c r="E18" s="11" t="s">
        <v>16</v>
      </c>
      <c r="F18" s="8">
        <v>2000</v>
      </c>
      <c r="G18" s="8">
        <v>0</v>
      </c>
      <c r="H18" s="8">
        <v>0</v>
      </c>
      <c r="I18" s="8">
        <v>0</v>
      </c>
      <c r="J18" s="8">
        <v>0</v>
      </c>
      <c r="K18" s="8">
        <v>0</v>
      </c>
      <c r="L18" s="8">
        <v>0</v>
      </c>
      <c r="M18" s="8">
        <v>400</v>
      </c>
      <c r="N18" s="12">
        <f t="shared" si="3"/>
        <v>400</v>
      </c>
      <c r="O18" s="8">
        <v>2000</v>
      </c>
      <c r="P18" s="13">
        <v>0</v>
      </c>
      <c r="Q18" s="13">
        <v>1500</v>
      </c>
      <c r="R18" s="14">
        <f t="shared" si="0"/>
        <v>3900</v>
      </c>
      <c r="S18" s="13">
        <f t="shared" si="1"/>
        <v>4000</v>
      </c>
      <c r="T18" s="13">
        <f t="shared" si="2"/>
        <v>4100</v>
      </c>
      <c r="U18" s="13" t="s">
        <v>4181</v>
      </c>
      <c r="V18" s="15" t="s">
        <v>84</v>
      </c>
      <c r="W18" t="s">
        <v>78</v>
      </c>
    </row>
    <row r="19" spans="1:23" ht="30" customHeight="1">
      <c r="A19" s="1">
        <v>18</v>
      </c>
      <c r="B19" s="8">
        <v>6739</v>
      </c>
      <c r="C19" s="9" t="s">
        <v>85</v>
      </c>
      <c r="D19" s="10" t="s">
        <v>86</v>
      </c>
      <c r="E19" s="11" t="s">
        <v>16</v>
      </c>
      <c r="F19" s="8">
        <v>2200</v>
      </c>
      <c r="G19" s="8">
        <v>0</v>
      </c>
      <c r="H19" s="8">
        <v>0</v>
      </c>
      <c r="I19" s="8">
        <v>0</v>
      </c>
      <c r="J19" s="8">
        <v>0</v>
      </c>
      <c r="K19" s="8">
        <v>0</v>
      </c>
      <c r="L19" s="8">
        <v>0</v>
      </c>
      <c r="M19" s="8">
        <v>0</v>
      </c>
      <c r="N19" s="12">
        <f t="shared" si="3"/>
        <v>0</v>
      </c>
      <c r="O19" s="8">
        <v>0</v>
      </c>
      <c r="P19" s="13">
        <v>0</v>
      </c>
      <c r="Q19" s="13">
        <v>0</v>
      </c>
      <c r="R19" s="14">
        <f t="shared" si="0"/>
        <v>0</v>
      </c>
      <c r="S19" s="13">
        <f t="shared" si="1"/>
        <v>100</v>
      </c>
      <c r="T19" s="13">
        <f t="shared" si="2"/>
        <v>200</v>
      </c>
      <c r="U19" s="13" t="s">
        <v>4181</v>
      </c>
      <c r="V19" s="15" t="s">
        <v>87</v>
      </c>
      <c r="W19" t="s">
        <v>78</v>
      </c>
    </row>
    <row r="20" spans="1:23" ht="30" customHeight="1">
      <c r="A20" s="1">
        <v>19</v>
      </c>
      <c r="B20" s="8">
        <v>6768</v>
      </c>
      <c r="C20" s="9" t="s">
        <v>91</v>
      </c>
      <c r="D20" s="10" t="s">
        <v>92</v>
      </c>
      <c r="E20" s="11" t="s">
        <v>16</v>
      </c>
      <c r="F20" s="8">
        <v>1600</v>
      </c>
      <c r="G20" s="8">
        <v>0</v>
      </c>
      <c r="H20" s="8">
        <v>0</v>
      </c>
      <c r="I20" s="8">
        <v>0</v>
      </c>
      <c r="J20" s="8">
        <v>0</v>
      </c>
      <c r="K20" s="8">
        <v>0</v>
      </c>
      <c r="L20" s="8">
        <v>0</v>
      </c>
      <c r="M20" s="8">
        <v>0</v>
      </c>
      <c r="N20" s="12">
        <f t="shared" si="3"/>
        <v>0</v>
      </c>
      <c r="O20" s="8">
        <v>1600</v>
      </c>
      <c r="P20" s="13">
        <v>0</v>
      </c>
      <c r="Q20" s="13">
        <v>3000</v>
      </c>
      <c r="R20" s="14">
        <f t="shared" si="0"/>
        <v>4600</v>
      </c>
      <c r="S20" s="13">
        <f t="shared" si="1"/>
        <v>4700</v>
      </c>
      <c r="T20" s="13">
        <f t="shared" si="2"/>
        <v>4800</v>
      </c>
      <c r="U20" s="13" t="s">
        <v>4181</v>
      </c>
      <c r="V20" s="15" t="s">
        <v>93</v>
      </c>
    </row>
    <row r="21" spans="1:23" ht="30" customHeight="1">
      <c r="A21" s="1">
        <v>20</v>
      </c>
      <c r="B21" s="8">
        <v>6769</v>
      </c>
      <c r="C21" s="9" t="s">
        <v>94</v>
      </c>
      <c r="D21" s="10" t="s">
        <v>92</v>
      </c>
      <c r="E21" s="11" t="s">
        <v>16</v>
      </c>
      <c r="F21" s="8">
        <v>200</v>
      </c>
      <c r="G21" s="8">
        <v>0</v>
      </c>
      <c r="H21" s="8">
        <v>0</v>
      </c>
      <c r="I21" s="8">
        <v>0</v>
      </c>
      <c r="J21" s="8">
        <v>200</v>
      </c>
      <c r="K21" s="8">
        <v>200</v>
      </c>
      <c r="L21" s="8">
        <v>200</v>
      </c>
      <c r="M21" s="8">
        <v>200</v>
      </c>
      <c r="N21" s="12">
        <f t="shared" si="3"/>
        <v>800</v>
      </c>
      <c r="O21" s="8">
        <v>200</v>
      </c>
      <c r="P21" s="13">
        <v>0</v>
      </c>
      <c r="Q21" s="13">
        <v>3000</v>
      </c>
      <c r="R21" s="14">
        <f t="shared" si="0"/>
        <v>4000</v>
      </c>
      <c r="S21" s="13">
        <f t="shared" si="1"/>
        <v>4100</v>
      </c>
      <c r="T21" s="13">
        <f t="shared" si="2"/>
        <v>4200</v>
      </c>
      <c r="U21" s="13" t="s">
        <v>4181</v>
      </c>
      <c r="V21" s="15" t="s">
        <v>93</v>
      </c>
    </row>
    <row r="22" spans="1:23" ht="30" customHeight="1">
      <c r="A22" s="1">
        <v>21</v>
      </c>
      <c r="B22" s="8">
        <v>6851</v>
      </c>
      <c r="C22" s="9" t="s">
        <v>4077</v>
      </c>
      <c r="D22" s="10" t="s">
        <v>4078</v>
      </c>
      <c r="E22" s="11" t="s">
        <v>16</v>
      </c>
      <c r="F22" s="8">
        <v>2400</v>
      </c>
      <c r="G22" s="8">
        <v>0</v>
      </c>
      <c r="H22" s="8">
        <v>0</v>
      </c>
      <c r="I22" s="8">
        <v>0</v>
      </c>
      <c r="J22" s="8">
        <v>0</v>
      </c>
      <c r="K22" s="8">
        <v>0</v>
      </c>
      <c r="L22" s="8">
        <v>0</v>
      </c>
      <c r="M22" s="8">
        <v>0</v>
      </c>
      <c r="N22" s="12">
        <f t="shared" si="3"/>
        <v>0</v>
      </c>
      <c r="O22" s="8">
        <v>0</v>
      </c>
      <c r="P22" s="13">
        <v>0</v>
      </c>
      <c r="Q22" s="13">
        <v>0</v>
      </c>
      <c r="R22" s="14">
        <f t="shared" si="0"/>
        <v>0</v>
      </c>
      <c r="S22" s="13">
        <f t="shared" si="1"/>
        <v>100</v>
      </c>
      <c r="T22" s="13">
        <f t="shared" si="2"/>
        <v>200</v>
      </c>
      <c r="U22" s="13" t="s">
        <v>4181</v>
      </c>
      <c r="V22" s="15" t="s">
        <v>4062</v>
      </c>
      <c r="W22" t="s">
        <v>4079</v>
      </c>
    </row>
    <row r="23" spans="1:23" ht="30" customHeight="1">
      <c r="A23" s="1">
        <v>22</v>
      </c>
      <c r="B23" s="8">
        <v>6888</v>
      </c>
      <c r="C23" s="9" t="s">
        <v>4201</v>
      </c>
      <c r="D23" s="10" t="s">
        <v>4202</v>
      </c>
      <c r="E23" s="11" t="s">
        <v>4203</v>
      </c>
      <c r="F23" s="8">
        <v>2400</v>
      </c>
      <c r="G23" s="8">
        <v>0</v>
      </c>
      <c r="H23" s="8">
        <v>0</v>
      </c>
      <c r="I23" s="8">
        <v>0</v>
      </c>
      <c r="J23" s="8">
        <v>0</v>
      </c>
      <c r="K23" s="8">
        <v>0</v>
      </c>
      <c r="L23" s="8">
        <v>0</v>
      </c>
      <c r="M23" s="8">
        <v>0</v>
      </c>
      <c r="N23" s="12">
        <f t="shared" ref="N23" si="4">(SUM(G23:M23))</f>
        <v>0</v>
      </c>
      <c r="O23" s="8">
        <v>0</v>
      </c>
      <c r="P23" s="13">
        <v>0</v>
      </c>
      <c r="Q23" s="13">
        <v>3000</v>
      </c>
      <c r="R23" s="14">
        <f t="shared" ref="R23" si="5">(SUM(N23:Q23))</f>
        <v>3000</v>
      </c>
      <c r="S23" s="13">
        <f t="shared" ref="S23" si="6">R23+100</f>
        <v>3100</v>
      </c>
      <c r="T23" s="13">
        <f t="shared" ref="T23" si="7">R23+200</f>
        <v>3200</v>
      </c>
      <c r="U23" s="13" t="s">
        <v>4181</v>
      </c>
      <c r="V23" s="15" t="s">
        <v>4204</v>
      </c>
      <c r="W23" t="s">
        <v>4146</v>
      </c>
    </row>
    <row r="24" spans="1:23" ht="30" customHeight="1">
      <c r="A24" s="1">
        <v>23</v>
      </c>
      <c r="B24" s="8">
        <v>6890</v>
      </c>
      <c r="C24" s="9" t="s">
        <v>4209</v>
      </c>
      <c r="D24" s="10" t="s">
        <v>4210</v>
      </c>
      <c r="E24" s="11" t="s">
        <v>4203</v>
      </c>
      <c r="F24" s="8">
        <v>0</v>
      </c>
      <c r="G24" s="8">
        <v>0</v>
      </c>
      <c r="H24" s="8">
        <v>0</v>
      </c>
      <c r="I24" s="8">
        <v>0</v>
      </c>
      <c r="J24" s="8">
        <v>0</v>
      </c>
      <c r="K24" s="8">
        <v>0</v>
      </c>
      <c r="L24" s="8">
        <v>0</v>
      </c>
      <c r="M24" s="8">
        <v>0</v>
      </c>
      <c r="N24" s="12">
        <f t="shared" ref="N24" si="8">(SUM(G24:M24))</f>
        <v>0</v>
      </c>
      <c r="O24" s="8">
        <v>0</v>
      </c>
      <c r="P24" s="13">
        <v>0</v>
      </c>
      <c r="Q24" s="13">
        <v>3000</v>
      </c>
      <c r="R24" s="14">
        <f t="shared" ref="R24" si="9">(SUM(N24:Q24))</f>
        <v>3000</v>
      </c>
      <c r="S24" s="13">
        <f t="shared" ref="S24" si="10">R24+100</f>
        <v>3100</v>
      </c>
      <c r="T24" s="13">
        <f t="shared" ref="T24" si="11">R24+200</f>
        <v>3200</v>
      </c>
      <c r="U24" s="13" t="s">
        <v>4181</v>
      </c>
      <c r="V24" s="15" t="s">
        <v>4188</v>
      </c>
    </row>
    <row r="25" spans="1:23" ht="30" customHeight="1">
      <c r="A25" s="1">
        <v>24</v>
      </c>
      <c r="B25" s="8">
        <v>6891</v>
      </c>
      <c r="C25" s="9" t="s">
        <v>588</v>
      </c>
      <c r="D25" s="10" t="s">
        <v>4211</v>
      </c>
      <c r="E25" s="11" t="s">
        <v>4203</v>
      </c>
      <c r="F25" s="8">
        <v>2000</v>
      </c>
      <c r="G25" s="8">
        <v>0</v>
      </c>
      <c r="H25" s="8">
        <v>0</v>
      </c>
      <c r="I25" s="8">
        <v>0</v>
      </c>
      <c r="J25" s="8">
        <v>0</v>
      </c>
      <c r="K25" s="8">
        <v>0</v>
      </c>
      <c r="L25" s="8">
        <v>0</v>
      </c>
      <c r="M25" s="8">
        <v>0</v>
      </c>
      <c r="N25" s="12">
        <f t="shared" ref="N25" si="12">(SUM(G25:M25))</f>
        <v>0</v>
      </c>
      <c r="O25" s="8">
        <v>0</v>
      </c>
      <c r="P25" s="13">
        <v>0</v>
      </c>
      <c r="Q25" s="13">
        <v>0</v>
      </c>
      <c r="R25" s="14">
        <f t="shared" ref="R25" si="13">(SUM(N25:Q25))</f>
        <v>0</v>
      </c>
      <c r="S25" s="13">
        <f t="shared" ref="S25" si="14">R25+100</f>
        <v>100</v>
      </c>
      <c r="T25" s="13">
        <f t="shared" ref="T25" si="15">R25+200</f>
        <v>200</v>
      </c>
      <c r="U25" s="13" t="s">
        <v>4181</v>
      </c>
      <c r="V25" s="15" t="s">
        <v>4212</v>
      </c>
      <c r="W25" t="s">
        <v>4213</v>
      </c>
    </row>
    <row r="26" spans="1:23" ht="30" customHeight="1">
      <c r="A26" s="1">
        <v>1</v>
      </c>
      <c r="B26" s="8">
        <v>6569</v>
      </c>
      <c r="C26" s="16" t="s">
        <v>19</v>
      </c>
      <c r="D26" s="10" t="s">
        <v>20</v>
      </c>
      <c r="E26" s="11" t="s">
        <v>4056</v>
      </c>
      <c r="F26" s="8">
        <v>1900</v>
      </c>
      <c r="G26" s="8">
        <v>0</v>
      </c>
      <c r="H26" s="8">
        <v>0</v>
      </c>
      <c r="I26" s="8">
        <v>0</v>
      </c>
      <c r="J26" s="8">
        <v>0</v>
      </c>
      <c r="K26" s="8">
        <v>0</v>
      </c>
      <c r="L26" s="8">
        <v>0</v>
      </c>
      <c r="M26" s="8">
        <v>0</v>
      </c>
      <c r="N26" s="12">
        <f t="shared" si="3"/>
        <v>0</v>
      </c>
      <c r="O26" s="8">
        <v>0</v>
      </c>
      <c r="P26" s="13">
        <v>0</v>
      </c>
      <c r="Q26" s="13">
        <v>0</v>
      </c>
      <c r="R26" s="14">
        <f t="shared" si="0"/>
        <v>0</v>
      </c>
      <c r="S26" s="13">
        <f t="shared" si="1"/>
        <v>100</v>
      </c>
      <c r="T26" s="13">
        <f t="shared" si="2"/>
        <v>200</v>
      </c>
      <c r="U26" s="13" t="s">
        <v>4181</v>
      </c>
      <c r="V26" s="15" t="s">
        <v>21</v>
      </c>
    </row>
    <row r="27" spans="1:23" ht="30" customHeight="1">
      <c r="A27" s="1">
        <v>2</v>
      </c>
      <c r="B27" s="8">
        <v>6614</v>
      </c>
      <c r="C27" s="9" t="s">
        <v>25</v>
      </c>
      <c r="D27" s="10" t="s">
        <v>26</v>
      </c>
      <c r="E27" s="11" t="s">
        <v>4056</v>
      </c>
      <c r="F27" s="8">
        <v>2000</v>
      </c>
      <c r="G27" s="8">
        <v>0</v>
      </c>
      <c r="H27" s="8">
        <v>0</v>
      </c>
      <c r="I27" s="8">
        <v>0</v>
      </c>
      <c r="J27" s="8">
        <v>0</v>
      </c>
      <c r="K27" s="8">
        <v>0</v>
      </c>
      <c r="L27" s="8">
        <v>0</v>
      </c>
      <c r="M27" s="8">
        <v>0</v>
      </c>
      <c r="N27" s="12">
        <f t="shared" si="3"/>
        <v>0</v>
      </c>
      <c r="O27" s="8">
        <v>2000</v>
      </c>
      <c r="P27" s="13">
        <v>0</v>
      </c>
      <c r="Q27" s="13">
        <v>0</v>
      </c>
      <c r="R27" s="14">
        <f t="shared" si="0"/>
        <v>2000</v>
      </c>
      <c r="S27" s="13">
        <f t="shared" si="1"/>
        <v>2100</v>
      </c>
      <c r="T27" s="13">
        <f t="shared" si="2"/>
        <v>2200</v>
      </c>
      <c r="U27" s="13" t="s">
        <v>4181</v>
      </c>
      <c r="V27" s="15" t="s">
        <v>27</v>
      </c>
    </row>
    <row r="28" spans="1:23" ht="30" customHeight="1">
      <c r="A28" s="1">
        <v>3</v>
      </c>
      <c r="B28" s="8">
        <v>6615</v>
      </c>
      <c r="C28" s="9" t="s">
        <v>28</v>
      </c>
      <c r="D28" s="10" t="s">
        <v>29</v>
      </c>
      <c r="E28" s="11" t="s">
        <v>4056</v>
      </c>
      <c r="F28" s="8">
        <v>1700</v>
      </c>
      <c r="G28" s="8">
        <v>0</v>
      </c>
      <c r="H28" s="8">
        <v>0</v>
      </c>
      <c r="I28" s="8">
        <v>0</v>
      </c>
      <c r="J28" s="8">
        <v>0</v>
      </c>
      <c r="K28" s="8">
        <v>0</v>
      </c>
      <c r="L28" s="8">
        <v>0</v>
      </c>
      <c r="M28" s="8">
        <v>0</v>
      </c>
      <c r="N28" s="12">
        <f t="shared" si="3"/>
        <v>0</v>
      </c>
      <c r="O28" s="8">
        <v>0</v>
      </c>
      <c r="P28" s="13">
        <v>0</v>
      </c>
      <c r="Q28" s="13">
        <v>0</v>
      </c>
      <c r="R28" s="14">
        <f t="shared" si="0"/>
        <v>0</v>
      </c>
      <c r="S28" s="13">
        <f t="shared" si="1"/>
        <v>100</v>
      </c>
      <c r="T28" s="13">
        <f t="shared" si="2"/>
        <v>200</v>
      </c>
      <c r="U28" s="13" t="s">
        <v>4181</v>
      </c>
      <c r="V28" s="15" t="s">
        <v>30</v>
      </c>
    </row>
    <row r="29" spans="1:23" ht="30" customHeight="1">
      <c r="A29" s="1">
        <v>4</v>
      </c>
      <c r="B29" s="8">
        <v>6619</v>
      </c>
      <c r="C29" s="9" t="s">
        <v>34</v>
      </c>
      <c r="D29" s="10" t="s">
        <v>35</v>
      </c>
      <c r="E29" s="11" t="s">
        <v>4056</v>
      </c>
      <c r="F29" s="8">
        <v>2000</v>
      </c>
      <c r="G29" s="8">
        <v>0</v>
      </c>
      <c r="H29" s="8">
        <v>0</v>
      </c>
      <c r="I29" s="8">
        <v>0</v>
      </c>
      <c r="J29" s="8">
        <v>0</v>
      </c>
      <c r="K29" s="8">
        <v>0</v>
      </c>
      <c r="L29" s="8">
        <v>0</v>
      </c>
      <c r="M29" s="8">
        <v>0</v>
      </c>
      <c r="N29" s="12">
        <f t="shared" si="3"/>
        <v>0</v>
      </c>
      <c r="O29" s="8">
        <v>0</v>
      </c>
      <c r="P29" s="13">
        <v>0</v>
      </c>
      <c r="Q29" s="13">
        <v>0</v>
      </c>
      <c r="R29" s="14">
        <f t="shared" si="0"/>
        <v>0</v>
      </c>
      <c r="S29" s="13">
        <f t="shared" si="1"/>
        <v>100</v>
      </c>
      <c r="T29" s="13">
        <f t="shared" si="2"/>
        <v>200</v>
      </c>
      <c r="U29" s="13" t="s">
        <v>4181</v>
      </c>
      <c r="V29" s="15" t="s">
        <v>36</v>
      </c>
    </row>
    <row r="30" spans="1:23" ht="30" customHeight="1">
      <c r="A30" s="1">
        <v>5</v>
      </c>
      <c r="B30" s="8">
        <v>6710</v>
      </c>
      <c r="C30" s="9" t="s">
        <v>73</v>
      </c>
      <c r="D30" s="10" t="s">
        <v>74</v>
      </c>
      <c r="E30" s="11" t="s">
        <v>4056</v>
      </c>
      <c r="F30" s="8">
        <v>2400</v>
      </c>
      <c r="G30" s="8">
        <v>0</v>
      </c>
      <c r="H30" s="8">
        <v>0</v>
      </c>
      <c r="I30" s="8">
        <v>0</v>
      </c>
      <c r="J30" s="8">
        <v>0</v>
      </c>
      <c r="K30" s="8">
        <v>0</v>
      </c>
      <c r="L30" s="8">
        <v>0</v>
      </c>
      <c r="M30" s="8">
        <v>0</v>
      </c>
      <c r="N30" s="12">
        <f t="shared" si="3"/>
        <v>0</v>
      </c>
      <c r="O30" s="8">
        <v>0</v>
      </c>
      <c r="P30" s="13">
        <v>0</v>
      </c>
      <c r="Q30" s="13">
        <v>0</v>
      </c>
      <c r="R30" s="14">
        <f t="shared" si="0"/>
        <v>0</v>
      </c>
      <c r="S30" s="13">
        <f t="shared" si="1"/>
        <v>100</v>
      </c>
      <c r="T30" s="13">
        <f t="shared" si="2"/>
        <v>200</v>
      </c>
      <c r="U30" s="13" t="s">
        <v>4181</v>
      </c>
      <c r="V30" s="15" t="s">
        <v>4136</v>
      </c>
      <c r="W30" t="s">
        <v>68</v>
      </c>
    </row>
    <row r="31" spans="1:23" ht="30" customHeight="1">
      <c r="A31" s="1">
        <v>6</v>
      </c>
      <c r="B31" s="8">
        <v>6770</v>
      </c>
      <c r="C31" s="9" t="s">
        <v>95</v>
      </c>
      <c r="D31" s="10" t="s">
        <v>96</v>
      </c>
      <c r="E31" s="11" t="s">
        <v>4056</v>
      </c>
      <c r="F31" s="8">
        <v>2400</v>
      </c>
      <c r="G31" s="8">
        <v>0</v>
      </c>
      <c r="H31" s="8">
        <v>0</v>
      </c>
      <c r="I31" s="8">
        <v>0</v>
      </c>
      <c r="J31" s="8">
        <v>0</v>
      </c>
      <c r="K31" s="8">
        <v>0</v>
      </c>
      <c r="L31" s="8">
        <v>0</v>
      </c>
      <c r="M31" s="8">
        <v>0</v>
      </c>
      <c r="N31" s="12">
        <f t="shared" si="3"/>
        <v>0</v>
      </c>
      <c r="O31" s="8">
        <v>0</v>
      </c>
      <c r="P31" s="13">
        <v>0</v>
      </c>
      <c r="Q31" s="13">
        <v>0</v>
      </c>
      <c r="R31" s="14">
        <f t="shared" si="0"/>
        <v>0</v>
      </c>
      <c r="S31" s="13">
        <f t="shared" si="1"/>
        <v>100</v>
      </c>
      <c r="T31" s="13">
        <f t="shared" si="2"/>
        <v>200</v>
      </c>
      <c r="U31" s="13" t="s">
        <v>4181</v>
      </c>
      <c r="V31" s="15" t="s">
        <v>97</v>
      </c>
      <c r="W31" t="s">
        <v>98</v>
      </c>
    </row>
    <row r="32" spans="1:23" ht="30" customHeight="1">
      <c r="A32" s="1">
        <v>7</v>
      </c>
      <c r="B32" s="8">
        <v>6782</v>
      </c>
      <c r="C32" s="9" t="s">
        <v>99</v>
      </c>
      <c r="D32" s="10" t="s">
        <v>100</v>
      </c>
      <c r="E32" s="11" t="s">
        <v>4056</v>
      </c>
      <c r="F32" s="8">
        <v>0</v>
      </c>
      <c r="G32" s="8">
        <v>0</v>
      </c>
      <c r="H32" s="8">
        <v>0</v>
      </c>
      <c r="I32" s="8">
        <v>0</v>
      </c>
      <c r="J32" s="8">
        <v>0</v>
      </c>
      <c r="K32" s="8">
        <v>0</v>
      </c>
      <c r="L32" s="8">
        <v>0</v>
      </c>
      <c r="M32" s="8">
        <v>0</v>
      </c>
      <c r="N32" s="12">
        <f t="shared" si="3"/>
        <v>0</v>
      </c>
      <c r="O32" s="8">
        <v>0</v>
      </c>
      <c r="P32" s="13">
        <v>0</v>
      </c>
      <c r="Q32" s="13">
        <v>0</v>
      </c>
      <c r="R32" s="14">
        <f t="shared" si="0"/>
        <v>0</v>
      </c>
      <c r="S32" s="13">
        <f t="shared" si="1"/>
        <v>100</v>
      </c>
      <c r="T32" s="13">
        <f t="shared" si="2"/>
        <v>200</v>
      </c>
      <c r="U32" s="13" t="s">
        <v>4181</v>
      </c>
      <c r="V32" s="15" t="s">
        <v>101</v>
      </c>
      <c r="W32" t="s">
        <v>102</v>
      </c>
    </row>
    <row r="33" spans="1:23" ht="30" customHeight="1">
      <c r="A33" s="1">
        <v>8</v>
      </c>
      <c r="B33" s="8">
        <v>6798</v>
      </c>
      <c r="C33" s="9" t="s">
        <v>103</v>
      </c>
      <c r="D33" s="10" t="s">
        <v>104</v>
      </c>
      <c r="E33" s="11" t="s">
        <v>4056</v>
      </c>
      <c r="F33" s="8">
        <v>1700</v>
      </c>
      <c r="G33" s="8">
        <v>0</v>
      </c>
      <c r="H33" s="8">
        <v>0</v>
      </c>
      <c r="I33" s="8">
        <v>0</v>
      </c>
      <c r="J33" s="8">
        <v>0</v>
      </c>
      <c r="K33" s="8">
        <v>0</v>
      </c>
      <c r="L33" s="8">
        <v>0</v>
      </c>
      <c r="M33" s="8">
        <v>0</v>
      </c>
      <c r="N33" s="12">
        <f t="shared" si="3"/>
        <v>0</v>
      </c>
      <c r="O33" s="8">
        <v>0</v>
      </c>
      <c r="P33" s="13"/>
      <c r="Q33" s="13">
        <v>0</v>
      </c>
      <c r="R33" s="14">
        <f t="shared" si="0"/>
        <v>0</v>
      </c>
      <c r="S33" s="13">
        <f t="shared" si="1"/>
        <v>100</v>
      </c>
      <c r="T33" s="13">
        <f t="shared" si="2"/>
        <v>200</v>
      </c>
      <c r="U33" s="13" t="s">
        <v>4181</v>
      </c>
      <c r="V33" s="15" t="s">
        <v>105</v>
      </c>
    </row>
    <row r="34" spans="1:23" ht="30" customHeight="1">
      <c r="A34" s="1">
        <v>9</v>
      </c>
      <c r="B34" s="8">
        <v>6799</v>
      </c>
      <c r="C34" s="9" t="s">
        <v>106</v>
      </c>
      <c r="D34" s="10" t="s">
        <v>107</v>
      </c>
      <c r="E34" s="11" t="s">
        <v>4056</v>
      </c>
      <c r="F34" s="8">
        <v>2200</v>
      </c>
      <c r="G34" s="8">
        <v>0</v>
      </c>
      <c r="H34" s="8">
        <v>0</v>
      </c>
      <c r="I34" s="8">
        <v>0</v>
      </c>
      <c r="J34" s="8">
        <v>0</v>
      </c>
      <c r="K34" s="8">
        <v>0</v>
      </c>
      <c r="L34" s="8">
        <v>0</v>
      </c>
      <c r="M34" s="8">
        <v>0</v>
      </c>
      <c r="N34" s="12">
        <f t="shared" si="3"/>
        <v>0</v>
      </c>
      <c r="O34" s="8">
        <v>0</v>
      </c>
      <c r="P34" s="13">
        <v>0</v>
      </c>
      <c r="Q34" s="13">
        <v>0</v>
      </c>
      <c r="R34" s="14">
        <f t="shared" si="0"/>
        <v>0</v>
      </c>
      <c r="S34" s="13">
        <f t="shared" si="1"/>
        <v>100</v>
      </c>
      <c r="T34" s="13">
        <f t="shared" si="2"/>
        <v>200</v>
      </c>
      <c r="U34" s="13" t="s">
        <v>4181</v>
      </c>
      <c r="V34" s="15" t="s">
        <v>105</v>
      </c>
    </row>
    <row r="35" spans="1:23" ht="30" customHeight="1">
      <c r="A35" s="1">
        <v>10</v>
      </c>
      <c r="B35" s="8">
        <v>6800</v>
      </c>
      <c r="C35" s="9" t="s">
        <v>108</v>
      </c>
      <c r="D35" s="10" t="s">
        <v>104</v>
      </c>
      <c r="E35" s="11" t="s">
        <v>4056</v>
      </c>
      <c r="F35" s="8">
        <v>2200</v>
      </c>
      <c r="G35" s="8">
        <v>0</v>
      </c>
      <c r="H35" s="8">
        <v>0</v>
      </c>
      <c r="I35" s="8">
        <v>0</v>
      </c>
      <c r="J35" s="8">
        <v>0</v>
      </c>
      <c r="K35" s="8">
        <v>0</v>
      </c>
      <c r="L35" s="8">
        <v>0</v>
      </c>
      <c r="M35" s="8">
        <v>0</v>
      </c>
      <c r="N35" s="12">
        <f t="shared" si="3"/>
        <v>0</v>
      </c>
      <c r="O35" s="8">
        <v>0</v>
      </c>
      <c r="P35" s="13">
        <v>0</v>
      </c>
      <c r="Q35" s="13">
        <v>0</v>
      </c>
      <c r="R35" s="14">
        <f t="shared" si="0"/>
        <v>0</v>
      </c>
      <c r="S35" s="13">
        <f t="shared" si="1"/>
        <v>100</v>
      </c>
      <c r="T35" s="13">
        <f t="shared" si="2"/>
        <v>200</v>
      </c>
      <c r="U35" s="13" t="s">
        <v>4181</v>
      </c>
      <c r="V35" s="15" t="s">
        <v>105</v>
      </c>
    </row>
    <row r="36" spans="1:23" ht="30" customHeight="1">
      <c r="A36" s="1">
        <v>11</v>
      </c>
      <c r="B36" s="8">
        <v>6809</v>
      </c>
      <c r="C36" s="9" t="s">
        <v>109</v>
      </c>
      <c r="D36" s="10" t="s">
        <v>110</v>
      </c>
      <c r="E36" s="11" t="s">
        <v>4056</v>
      </c>
      <c r="F36" s="8">
        <v>2400</v>
      </c>
      <c r="G36" s="8">
        <v>0</v>
      </c>
      <c r="H36" s="8">
        <v>0</v>
      </c>
      <c r="I36" s="8">
        <v>0</v>
      </c>
      <c r="J36" s="8">
        <v>0</v>
      </c>
      <c r="K36" s="8">
        <v>0</v>
      </c>
      <c r="L36" s="8">
        <v>0</v>
      </c>
      <c r="M36" s="8">
        <v>0</v>
      </c>
      <c r="N36" s="12">
        <f t="shared" si="3"/>
        <v>0</v>
      </c>
      <c r="O36" s="8">
        <v>0</v>
      </c>
      <c r="P36" s="13">
        <v>0</v>
      </c>
      <c r="Q36" s="13">
        <v>0</v>
      </c>
      <c r="R36" s="14">
        <f t="shared" si="0"/>
        <v>0</v>
      </c>
      <c r="S36" s="13">
        <f t="shared" si="1"/>
        <v>100</v>
      </c>
      <c r="T36" s="13">
        <f t="shared" si="2"/>
        <v>200</v>
      </c>
      <c r="U36" s="13" t="s">
        <v>4181</v>
      </c>
      <c r="V36" s="15" t="s">
        <v>111</v>
      </c>
    </row>
    <row r="37" spans="1:23" ht="30" customHeight="1">
      <c r="A37" s="1">
        <v>12</v>
      </c>
      <c r="B37" s="8">
        <v>6811</v>
      </c>
      <c r="C37" s="9" t="s">
        <v>112</v>
      </c>
      <c r="D37" s="10" t="s">
        <v>113</v>
      </c>
      <c r="E37" s="11" t="s">
        <v>4056</v>
      </c>
      <c r="F37" s="8">
        <v>2400</v>
      </c>
      <c r="G37" s="8">
        <v>0</v>
      </c>
      <c r="H37" s="8">
        <v>0</v>
      </c>
      <c r="I37" s="8">
        <v>0</v>
      </c>
      <c r="J37" s="8">
        <v>0</v>
      </c>
      <c r="K37" s="8">
        <v>0</v>
      </c>
      <c r="L37" s="8">
        <v>0</v>
      </c>
      <c r="M37" s="8">
        <v>0</v>
      </c>
      <c r="N37" s="12">
        <f t="shared" si="3"/>
        <v>0</v>
      </c>
      <c r="O37" s="8">
        <v>0</v>
      </c>
      <c r="P37" s="13">
        <v>0</v>
      </c>
      <c r="Q37" s="13">
        <v>0</v>
      </c>
      <c r="R37" s="14">
        <f t="shared" si="0"/>
        <v>0</v>
      </c>
      <c r="S37" s="13">
        <f t="shared" si="1"/>
        <v>100</v>
      </c>
      <c r="T37" s="13">
        <f t="shared" si="2"/>
        <v>200</v>
      </c>
      <c r="U37" s="13" t="s">
        <v>4181</v>
      </c>
      <c r="V37" s="15" t="s">
        <v>114</v>
      </c>
    </row>
    <row r="38" spans="1:23" ht="30" customHeight="1">
      <c r="A38" s="1">
        <v>13</v>
      </c>
      <c r="B38" s="8">
        <v>6812</v>
      </c>
      <c r="C38" s="9" t="s">
        <v>115</v>
      </c>
      <c r="D38" s="10" t="s">
        <v>116</v>
      </c>
      <c r="E38" s="11" t="s">
        <v>4056</v>
      </c>
      <c r="F38" s="8">
        <v>1600</v>
      </c>
      <c r="G38" s="8">
        <v>0</v>
      </c>
      <c r="H38" s="8">
        <v>0</v>
      </c>
      <c r="I38" s="8">
        <v>0</v>
      </c>
      <c r="J38" s="8">
        <v>0</v>
      </c>
      <c r="K38" s="8">
        <v>0</v>
      </c>
      <c r="L38" s="8">
        <v>0</v>
      </c>
      <c r="M38" s="8">
        <v>0</v>
      </c>
      <c r="N38" s="12">
        <f t="shared" si="3"/>
        <v>0</v>
      </c>
      <c r="O38" s="8">
        <v>1600</v>
      </c>
      <c r="P38" s="13">
        <v>0</v>
      </c>
      <c r="Q38" s="13">
        <v>0</v>
      </c>
      <c r="R38" s="14">
        <f t="shared" si="0"/>
        <v>1600</v>
      </c>
      <c r="S38" s="13">
        <f t="shared" si="1"/>
        <v>1700</v>
      </c>
      <c r="T38" s="13">
        <f t="shared" si="2"/>
        <v>1800</v>
      </c>
      <c r="U38" s="13" t="s">
        <v>4181</v>
      </c>
      <c r="V38" s="15" t="s">
        <v>117</v>
      </c>
    </row>
    <row r="39" spans="1:23" ht="30" customHeight="1">
      <c r="A39" s="1">
        <v>14</v>
      </c>
      <c r="B39" s="8">
        <v>6813</v>
      </c>
      <c r="C39" s="9" t="s">
        <v>118</v>
      </c>
      <c r="D39" s="10" t="s">
        <v>119</v>
      </c>
      <c r="E39" s="11" t="s">
        <v>4056</v>
      </c>
      <c r="F39" s="8">
        <v>1200</v>
      </c>
      <c r="G39" s="8">
        <v>0</v>
      </c>
      <c r="H39" s="8">
        <v>0</v>
      </c>
      <c r="I39" s="8">
        <v>0</v>
      </c>
      <c r="J39" s="8">
        <v>0</v>
      </c>
      <c r="K39" s="8">
        <v>300</v>
      </c>
      <c r="L39" s="8">
        <v>1200</v>
      </c>
      <c r="M39" s="8">
        <v>1200</v>
      </c>
      <c r="N39" s="12">
        <f t="shared" si="3"/>
        <v>2700</v>
      </c>
      <c r="O39" s="8">
        <v>1200</v>
      </c>
      <c r="P39" s="13">
        <v>0</v>
      </c>
      <c r="Q39" s="13">
        <v>1300</v>
      </c>
      <c r="R39" s="14">
        <f t="shared" si="0"/>
        <v>5200</v>
      </c>
      <c r="S39" s="13">
        <f t="shared" si="1"/>
        <v>5300</v>
      </c>
      <c r="T39" s="13">
        <f t="shared" si="2"/>
        <v>5400</v>
      </c>
      <c r="U39" s="13" t="s">
        <v>4181</v>
      </c>
      <c r="V39" s="15" t="s">
        <v>120</v>
      </c>
    </row>
    <row r="40" spans="1:23" ht="30" customHeight="1">
      <c r="A40" s="1">
        <v>15</v>
      </c>
      <c r="B40" s="8">
        <v>6836</v>
      </c>
      <c r="C40" s="9" t="s">
        <v>121</v>
      </c>
      <c r="D40" s="10" t="s">
        <v>122</v>
      </c>
      <c r="E40" s="11" t="s">
        <v>4056</v>
      </c>
      <c r="F40" s="8">
        <v>2400</v>
      </c>
      <c r="G40" s="8">
        <v>0</v>
      </c>
      <c r="H40" s="8">
        <v>0</v>
      </c>
      <c r="I40" s="8">
        <v>0</v>
      </c>
      <c r="J40" s="8">
        <v>0</v>
      </c>
      <c r="K40" s="8">
        <v>0</v>
      </c>
      <c r="L40" s="8">
        <v>0</v>
      </c>
      <c r="M40" s="8">
        <v>0</v>
      </c>
      <c r="N40" s="12">
        <f t="shared" si="3"/>
        <v>0</v>
      </c>
      <c r="O40" s="8">
        <v>2400</v>
      </c>
      <c r="P40" s="13">
        <v>0</v>
      </c>
      <c r="Q40" s="13">
        <v>0</v>
      </c>
      <c r="R40" s="14">
        <f t="shared" si="0"/>
        <v>2400</v>
      </c>
      <c r="S40" s="13">
        <f t="shared" si="1"/>
        <v>2500</v>
      </c>
      <c r="T40" s="13">
        <f t="shared" si="2"/>
        <v>2600</v>
      </c>
      <c r="U40" s="13" t="s">
        <v>4181</v>
      </c>
      <c r="V40" s="15" t="s">
        <v>123</v>
      </c>
      <c r="W40" t="s">
        <v>124</v>
      </c>
    </row>
    <row r="41" spans="1:23" ht="30" customHeight="1">
      <c r="A41" s="1">
        <v>16</v>
      </c>
      <c r="B41" s="8">
        <v>6837</v>
      </c>
      <c r="C41" s="9" t="s">
        <v>125</v>
      </c>
      <c r="D41" s="10" t="s">
        <v>126</v>
      </c>
      <c r="E41" s="11" t="s">
        <v>4056</v>
      </c>
      <c r="F41" s="8">
        <v>2400</v>
      </c>
      <c r="G41" s="8">
        <v>0</v>
      </c>
      <c r="H41" s="8">
        <v>0</v>
      </c>
      <c r="I41" s="8">
        <v>0</v>
      </c>
      <c r="J41" s="8">
        <v>0</v>
      </c>
      <c r="K41" s="8">
        <v>0</v>
      </c>
      <c r="L41" s="8">
        <v>0</v>
      </c>
      <c r="M41" s="8">
        <v>0</v>
      </c>
      <c r="N41" s="12">
        <f t="shared" si="3"/>
        <v>0</v>
      </c>
      <c r="O41" s="8">
        <v>0</v>
      </c>
      <c r="P41" s="13">
        <v>0</v>
      </c>
      <c r="Q41" s="13">
        <v>0</v>
      </c>
      <c r="R41" s="14">
        <f t="shared" si="0"/>
        <v>0</v>
      </c>
      <c r="S41" s="13">
        <f t="shared" si="1"/>
        <v>100</v>
      </c>
      <c r="T41" s="13">
        <f t="shared" si="2"/>
        <v>200</v>
      </c>
      <c r="U41" s="13" t="s">
        <v>4181</v>
      </c>
      <c r="V41" s="15" t="s">
        <v>127</v>
      </c>
      <c r="W41" t="s">
        <v>124</v>
      </c>
    </row>
    <row r="42" spans="1:23" ht="30" customHeight="1">
      <c r="A42" s="1">
        <v>17</v>
      </c>
      <c r="B42" s="8">
        <v>6819</v>
      </c>
      <c r="C42" s="9" t="s">
        <v>128</v>
      </c>
      <c r="D42" s="10" t="s">
        <v>129</v>
      </c>
      <c r="E42" s="11" t="s">
        <v>4056</v>
      </c>
      <c r="F42" s="8">
        <v>1500</v>
      </c>
      <c r="G42" s="8">
        <v>0</v>
      </c>
      <c r="H42" s="8">
        <v>0</v>
      </c>
      <c r="I42" s="8">
        <v>0</v>
      </c>
      <c r="J42" s="8">
        <v>0</v>
      </c>
      <c r="K42" s="8">
        <v>0</v>
      </c>
      <c r="L42" s="8">
        <v>0</v>
      </c>
      <c r="M42" s="8">
        <v>0</v>
      </c>
      <c r="N42" s="12">
        <f t="shared" si="3"/>
        <v>0</v>
      </c>
      <c r="O42" s="8">
        <v>1500</v>
      </c>
      <c r="P42" s="13">
        <v>0</v>
      </c>
      <c r="Q42" s="13">
        <v>0</v>
      </c>
      <c r="R42" s="14">
        <f t="shared" si="0"/>
        <v>1500</v>
      </c>
      <c r="S42" s="13">
        <f t="shared" si="1"/>
        <v>1600</v>
      </c>
      <c r="T42" s="13">
        <f t="shared" si="2"/>
        <v>1700</v>
      </c>
      <c r="U42" s="13" t="s">
        <v>4181</v>
      </c>
      <c r="V42" s="15" t="s">
        <v>130</v>
      </c>
      <c r="W42" t="s">
        <v>124</v>
      </c>
    </row>
    <row r="43" spans="1:23" ht="30" customHeight="1">
      <c r="A43" s="1">
        <v>18</v>
      </c>
      <c r="B43" s="8">
        <v>6824</v>
      </c>
      <c r="C43" s="9" t="s">
        <v>131</v>
      </c>
      <c r="D43" s="10" t="s">
        <v>132</v>
      </c>
      <c r="E43" s="11" t="s">
        <v>4056</v>
      </c>
      <c r="F43" s="8">
        <v>2000</v>
      </c>
      <c r="G43" s="8">
        <v>0</v>
      </c>
      <c r="H43" s="8">
        <v>0</v>
      </c>
      <c r="I43" s="8">
        <v>0</v>
      </c>
      <c r="J43" s="8">
        <v>0</v>
      </c>
      <c r="K43" s="8">
        <v>0</v>
      </c>
      <c r="L43" s="8">
        <v>0</v>
      </c>
      <c r="M43" s="8">
        <v>0</v>
      </c>
      <c r="N43" s="12">
        <f t="shared" si="3"/>
        <v>0</v>
      </c>
      <c r="O43" s="8">
        <v>0</v>
      </c>
      <c r="P43" s="13">
        <v>0</v>
      </c>
      <c r="Q43" s="13">
        <v>0</v>
      </c>
      <c r="R43" s="14">
        <f t="shared" si="0"/>
        <v>0</v>
      </c>
      <c r="S43" s="13">
        <f t="shared" si="1"/>
        <v>100</v>
      </c>
      <c r="T43" s="13">
        <f t="shared" si="2"/>
        <v>200</v>
      </c>
      <c r="U43" s="13" t="s">
        <v>4181</v>
      </c>
      <c r="V43" s="15" t="s">
        <v>133</v>
      </c>
      <c r="W43" t="s">
        <v>124</v>
      </c>
    </row>
    <row r="44" spans="1:23" ht="30" customHeight="1">
      <c r="A44" s="1">
        <v>19</v>
      </c>
      <c r="B44" s="8">
        <v>6827</v>
      </c>
      <c r="C44" s="9" t="s">
        <v>134</v>
      </c>
      <c r="D44" s="10" t="s">
        <v>135</v>
      </c>
      <c r="E44" s="11" t="s">
        <v>4056</v>
      </c>
      <c r="F44" s="8">
        <v>2000</v>
      </c>
      <c r="G44" s="8">
        <v>0</v>
      </c>
      <c r="H44" s="8">
        <v>0</v>
      </c>
      <c r="I44" s="8">
        <v>0</v>
      </c>
      <c r="J44" s="8">
        <v>0</v>
      </c>
      <c r="K44" s="8">
        <v>0</v>
      </c>
      <c r="L44" s="8">
        <v>0</v>
      </c>
      <c r="M44" s="8">
        <v>0</v>
      </c>
      <c r="N44" s="12">
        <f t="shared" si="3"/>
        <v>0</v>
      </c>
      <c r="O44" s="8">
        <v>0</v>
      </c>
      <c r="P44" s="13">
        <v>0</v>
      </c>
      <c r="Q44" s="13">
        <v>0</v>
      </c>
      <c r="R44" s="14">
        <f t="shared" si="0"/>
        <v>0</v>
      </c>
      <c r="S44" s="13">
        <f t="shared" si="1"/>
        <v>100</v>
      </c>
      <c r="T44" s="13">
        <f t="shared" si="2"/>
        <v>200</v>
      </c>
      <c r="U44" s="13" t="s">
        <v>4181</v>
      </c>
      <c r="V44" s="15" t="s">
        <v>136</v>
      </c>
      <c r="W44" t="s">
        <v>137</v>
      </c>
    </row>
    <row r="45" spans="1:23" ht="30" customHeight="1">
      <c r="A45" s="1">
        <v>20</v>
      </c>
      <c r="B45" s="8">
        <v>6838</v>
      </c>
      <c r="C45" s="9" t="s">
        <v>126</v>
      </c>
      <c r="D45" s="10" t="s">
        <v>92</v>
      </c>
      <c r="E45" s="11" t="s">
        <v>4056</v>
      </c>
      <c r="F45" s="8">
        <v>2400</v>
      </c>
      <c r="G45" s="8">
        <v>0</v>
      </c>
      <c r="H45" s="8">
        <v>0</v>
      </c>
      <c r="I45" s="8">
        <v>0</v>
      </c>
      <c r="J45" s="8">
        <v>0</v>
      </c>
      <c r="K45" s="8">
        <v>0</v>
      </c>
      <c r="L45" s="8">
        <v>0</v>
      </c>
      <c r="M45" s="8">
        <v>0</v>
      </c>
      <c r="N45" s="12">
        <f t="shared" si="3"/>
        <v>0</v>
      </c>
      <c r="O45" s="8">
        <v>0</v>
      </c>
      <c r="P45" s="13">
        <v>0</v>
      </c>
      <c r="Q45" s="13">
        <v>0</v>
      </c>
      <c r="R45" s="14">
        <f t="shared" si="0"/>
        <v>0</v>
      </c>
      <c r="S45" s="13">
        <f t="shared" si="1"/>
        <v>100</v>
      </c>
      <c r="T45" s="13">
        <f t="shared" si="2"/>
        <v>200</v>
      </c>
      <c r="U45" s="13" t="s">
        <v>4181</v>
      </c>
      <c r="V45" s="15" t="s">
        <v>308</v>
      </c>
      <c r="W45" t="s">
        <v>144</v>
      </c>
    </row>
    <row r="46" spans="1:23" ht="30" customHeight="1">
      <c r="A46" s="1">
        <v>21</v>
      </c>
      <c r="B46" s="8">
        <v>6846</v>
      </c>
      <c r="C46" s="9" t="s">
        <v>1258</v>
      </c>
      <c r="D46" s="10" t="s">
        <v>4059</v>
      </c>
      <c r="E46" s="11" t="s">
        <v>4056</v>
      </c>
      <c r="F46" s="8">
        <v>800</v>
      </c>
      <c r="G46" s="8">
        <v>0</v>
      </c>
      <c r="H46" s="8">
        <v>0</v>
      </c>
      <c r="I46" s="8">
        <v>0</v>
      </c>
      <c r="J46" s="8">
        <v>0</v>
      </c>
      <c r="K46" s="8">
        <v>0</v>
      </c>
      <c r="L46" s="8">
        <v>0</v>
      </c>
      <c r="M46" s="8">
        <v>0</v>
      </c>
      <c r="N46" s="12">
        <f t="shared" si="3"/>
        <v>0</v>
      </c>
      <c r="O46" s="8">
        <v>0</v>
      </c>
      <c r="P46" s="13">
        <v>0</v>
      </c>
      <c r="Q46" s="13">
        <v>2000</v>
      </c>
      <c r="R46" s="14">
        <f t="shared" si="0"/>
        <v>2000</v>
      </c>
      <c r="S46" s="13">
        <f t="shared" si="1"/>
        <v>2100</v>
      </c>
      <c r="T46" s="13">
        <f t="shared" si="2"/>
        <v>2200</v>
      </c>
      <c r="U46" s="13" t="s">
        <v>4181</v>
      </c>
      <c r="V46" s="15" t="s">
        <v>945</v>
      </c>
      <c r="W46" t="s">
        <v>144</v>
      </c>
    </row>
    <row r="47" spans="1:23" ht="30" customHeight="1">
      <c r="A47" s="1">
        <v>22</v>
      </c>
      <c r="B47" s="8">
        <v>6866</v>
      </c>
      <c r="C47" s="9" t="s">
        <v>4122</v>
      </c>
      <c r="D47" s="10" t="s">
        <v>4123</v>
      </c>
      <c r="E47" s="11" t="s">
        <v>4056</v>
      </c>
      <c r="F47" s="8">
        <v>1500</v>
      </c>
      <c r="G47" s="8">
        <v>0</v>
      </c>
      <c r="H47" s="8">
        <v>0</v>
      </c>
      <c r="I47" s="8">
        <v>0</v>
      </c>
      <c r="J47" s="8">
        <v>0</v>
      </c>
      <c r="K47" s="8">
        <v>0</v>
      </c>
      <c r="L47" s="8">
        <v>0</v>
      </c>
      <c r="M47" s="8">
        <v>0</v>
      </c>
      <c r="N47" s="12">
        <f t="shared" si="3"/>
        <v>0</v>
      </c>
      <c r="O47" s="8">
        <v>0</v>
      </c>
      <c r="P47" s="13">
        <v>0</v>
      </c>
      <c r="Q47" s="13">
        <v>0</v>
      </c>
      <c r="R47" s="14">
        <f t="shared" si="0"/>
        <v>0</v>
      </c>
      <c r="S47" s="13">
        <f t="shared" si="1"/>
        <v>100</v>
      </c>
      <c r="T47" s="13">
        <f t="shared" si="2"/>
        <v>200</v>
      </c>
      <c r="U47" s="13" t="s">
        <v>4181</v>
      </c>
      <c r="V47" s="15" t="s">
        <v>4124</v>
      </c>
      <c r="W47" t="s">
        <v>144</v>
      </c>
    </row>
    <row r="48" spans="1:23" ht="30" customHeight="1">
      <c r="A48" s="1">
        <v>23</v>
      </c>
      <c r="B48" s="8">
        <v>6867</v>
      </c>
      <c r="C48" s="9" t="s">
        <v>4125</v>
      </c>
      <c r="D48" s="10" t="s">
        <v>4126</v>
      </c>
      <c r="E48" s="11" t="s">
        <v>4056</v>
      </c>
      <c r="F48" s="8">
        <v>0</v>
      </c>
      <c r="G48" s="8">
        <v>0</v>
      </c>
      <c r="H48" s="8">
        <v>0</v>
      </c>
      <c r="I48" s="8">
        <v>0</v>
      </c>
      <c r="J48" s="8">
        <v>0</v>
      </c>
      <c r="K48" s="8">
        <v>0</v>
      </c>
      <c r="L48" s="8">
        <v>0</v>
      </c>
      <c r="M48" s="8">
        <v>0</v>
      </c>
      <c r="N48" s="12">
        <f t="shared" si="3"/>
        <v>0</v>
      </c>
      <c r="O48" s="8">
        <v>0</v>
      </c>
      <c r="P48" s="13">
        <v>0</v>
      </c>
      <c r="Q48" s="13">
        <v>0</v>
      </c>
      <c r="R48" s="14">
        <f t="shared" si="0"/>
        <v>0</v>
      </c>
      <c r="S48" s="13">
        <f t="shared" si="1"/>
        <v>100</v>
      </c>
      <c r="T48" s="13">
        <f t="shared" si="2"/>
        <v>200</v>
      </c>
      <c r="U48" s="13" t="s">
        <v>4181</v>
      </c>
      <c r="V48" s="15" t="s">
        <v>4127</v>
      </c>
      <c r="W48" t="s">
        <v>144</v>
      </c>
    </row>
    <row r="49" spans="1:23" ht="30" customHeight="1">
      <c r="A49" s="1">
        <v>24</v>
      </c>
      <c r="B49" s="8">
        <v>6868</v>
      </c>
      <c r="C49" s="9" t="s">
        <v>4128</v>
      </c>
      <c r="D49" s="10" t="s">
        <v>4129</v>
      </c>
      <c r="E49" s="11" t="s">
        <v>4056</v>
      </c>
      <c r="F49" s="8">
        <v>0</v>
      </c>
      <c r="G49" s="8">
        <v>0</v>
      </c>
      <c r="H49" s="8">
        <v>0</v>
      </c>
      <c r="I49" s="8">
        <v>0</v>
      </c>
      <c r="J49" s="8">
        <v>0</v>
      </c>
      <c r="K49" s="8">
        <v>0</v>
      </c>
      <c r="L49" s="8">
        <v>0</v>
      </c>
      <c r="M49" s="8">
        <v>0</v>
      </c>
      <c r="N49" s="12">
        <f t="shared" si="3"/>
        <v>0</v>
      </c>
      <c r="O49" s="8">
        <v>0</v>
      </c>
      <c r="P49" s="13">
        <v>0</v>
      </c>
      <c r="Q49" s="13">
        <v>0</v>
      </c>
      <c r="R49" s="14">
        <f t="shared" si="0"/>
        <v>0</v>
      </c>
      <c r="S49" s="13">
        <f t="shared" si="1"/>
        <v>100</v>
      </c>
      <c r="T49" s="13">
        <f t="shared" si="2"/>
        <v>200</v>
      </c>
      <c r="U49" s="13" t="s">
        <v>4181</v>
      </c>
      <c r="V49" s="15" t="s">
        <v>4127</v>
      </c>
      <c r="W49" t="s">
        <v>144</v>
      </c>
    </row>
    <row r="50" spans="1:23" ht="30" customHeight="1">
      <c r="A50" s="1">
        <v>1</v>
      </c>
      <c r="B50" s="13">
        <v>6249</v>
      </c>
      <c r="C50" s="9" t="s">
        <v>145</v>
      </c>
      <c r="D50" s="9" t="s">
        <v>146</v>
      </c>
      <c r="E50" s="11" t="s">
        <v>147</v>
      </c>
      <c r="F50" s="13">
        <v>1400</v>
      </c>
      <c r="G50" s="13">
        <v>0</v>
      </c>
      <c r="H50" s="13">
        <v>0</v>
      </c>
      <c r="I50" s="13">
        <v>0</v>
      </c>
      <c r="J50" s="13">
        <v>0</v>
      </c>
      <c r="K50" s="13">
        <v>0</v>
      </c>
      <c r="L50" s="13">
        <v>0</v>
      </c>
      <c r="M50" s="13">
        <v>0</v>
      </c>
      <c r="N50" s="12">
        <f t="shared" si="3"/>
        <v>0</v>
      </c>
      <c r="O50" s="13">
        <v>0</v>
      </c>
      <c r="P50" s="13">
        <v>0</v>
      </c>
      <c r="Q50" s="13">
        <v>0</v>
      </c>
      <c r="R50" s="14">
        <f t="shared" si="0"/>
        <v>0</v>
      </c>
      <c r="S50" s="13">
        <f t="shared" si="1"/>
        <v>100</v>
      </c>
      <c r="T50" s="13">
        <f t="shared" si="2"/>
        <v>200</v>
      </c>
      <c r="U50" s="13" t="s">
        <v>4181</v>
      </c>
      <c r="V50" s="15" t="s">
        <v>148</v>
      </c>
    </row>
    <row r="51" spans="1:23" ht="30" customHeight="1">
      <c r="A51" s="1">
        <v>2</v>
      </c>
      <c r="B51" s="13">
        <v>6311</v>
      </c>
      <c r="C51" s="9" t="s">
        <v>162</v>
      </c>
      <c r="D51" s="9" t="s">
        <v>86</v>
      </c>
      <c r="E51" s="11" t="s">
        <v>147</v>
      </c>
      <c r="F51" s="13">
        <v>1900</v>
      </c>
      <c r="G51" s="13">
        <v>0</v>
      </c>
      <c r="H51" s="13">
        <v>0</v>
      </c>
      <c r="I51" s="13">
        <v>0</v>
      </c>
      <c r="J51" s="13">
        <v>0</v>
      </c>
      <c r="K51" s="13">
        <v>0</v>
      </c>
      <c r="L51" s="13">
        <v>0</v>
      </c>
      <c r="M51" s="13">
        <v>0</v>
      </c>
      <c r="N51" s="12">
        <f t="shared" si="3"/>
        <v>0</v>
      </c>
      <c r="O51" s="13">
        <v>0</v>
      </c>
      <c r="P51" s="13">
        <v>0</v>
      </c>
      <c r="Q51" s="13">
        <v>0</v>
      </c>
      <c r="R51" s="14">
        <f t="shared" si="0"/>
        <v>0</v>
      </c>
      <c r="S51" s="13">
        <f t="shared" si="1"/>
        <v>100</v>
      </c>
      <c r="T51" s="13">
        <f t="shared" si="2"/>
        <v>200</v>
      </c>
      <c r="U51" s="13" t="s">
        <v>4181</v>
      </c>
      <c r="V51" s="15" t="s">
        <v>163</v>
      </c>
    </row>
    <row r="52" spans="1:23" ht="30" customHeight="1">
      <c r="A52" s="1">
        <v>3</v>
      </c>
      <c r="B52" s="13">
        <v>6414</v>
      </c>
      <c r="C52" s="9" t="s">
        <v>189</v>
      </c>
      <c r="D52" s="9" t="s">
        <v>190</v>
      </c>
      <c r="E52" s="11" t="s">
        <v>147</v>
      </c>
      <c r="F52" s="13">
        <v>0</v>
      </c>
      <c r="G52" s="13">
        <v>0</v>
      </c>
      <c r="H52" s="13">
        <v>0</v>
      </c>
      <c r="I52" s="13">
        <v>0</v>
      </c>
      <c r="J52" s="13">
        <v>0</v>
      </c>
      <c r="K52" s="13">
        <v>0</v>
      </c>
      <c r="L52" s="13">
        <v>0</v>
      </c>
      <c r="M52" s="13">
        <v>0</v>
      </c>
      <c r="N52" s="12">
        <f t="shared" si="3"/>
        <v>0</v>
      </c>
      <c r="O52" s="13">
        <v>0</v>
      </c>
      <c r="P52" s="13">
        <v>0</v>
      </c>
      <c r="Q52" s="13">
        <v>0</v>
      </c>
      <c r="R52" s="14">
        <f t="shared" si="0"/>
        <v>0</v>
      </c>
      <c r="S52" s="13">
        <f t="shared" si="1"/>
        <v>100</v>
      </c>
      <c r="T52" s="13">
        <f t="shared" si="2"/>
        <v>200</v>
      </c>
      <c r="U52" s="13" t="s">
        <v>4181</v>
      </c>
      <c r="V52" s="15" t="s">
        <v>191</v>
      </c>
    </row>
    <row r="53" spans="1:23" ht="30" customHeight="1">
      <c r="A53" s="1">
        <v>4</v>
      </c>
      <c r="B53" s="13">
        <v>6508</v>
      </c>
      <c r="C53" s="9" t="s">
        <v>214</v>
      </c>
      <c r="D53" s="9" t="s">
        <v>215</v>
      </c>
      <c r="E53" s="11" t="s">
        <v>147</v>
      </c>
      <c r="F53" s="13">
        <v>2400</v>
      </c>
      <c r="G53" s="13">
        <v>0</v>
      </c>
      <c r="H53" s="13">
        <v>0</v>
      </c>
      <c r="I53" s="13">
        <v>0</v>
      </c>
      <c r="J53" s="13">
        <v>0</v>
      </c>
      <c r="K53" s="13">
        <v>0</v>
      </c>
      <c r="L53" s="13">
        <v>0</v>
      </c>
      <c r="M53" s="13">
        <v>0</v>
      </c>
      <c r="N53" s="12">
        <f t="shared" si="3"/>
        <v>0</v>
      </c>
      <c r="O53" s="13">
        <v>0</v>
      </c>
      <c r="P53" s="13">
        <v>0</v>
      </c>
      <c r="Q53" s="13">
        <v>0</v>
      </c>
      <c r="R53" s="14">
        <f t="shared" si="0"/>
        <v>0</v>
      </c>
      <c r="S53" s="13">
        <f t="shared" si="1"/>
        <v>100</v>
      </c>
      <c r="T53" s="13">
        <f t="shared" si="2"/>
        <v>200</v>
      </c>
      <c r="U53" s="13" t="s">
        <v>4181</v>
      </c>
      <c r="V53" s="15" t="s">
        <v>216</v>
      </c>
    </row>
    <row r="54" spans="1:23" s="17" customFormat="1" ht="30" customHeight="1">
      <c r="A54" s="1">
        <v>5</v>
      </c>
      <c r="B54" s="13">
        <v>6623</v>
      </c>
      <c r="C54" s="9" t="s">
        <v>221</v>
      </c>
      <c r="D54" s="10" t="s">
        <v>222</v>
      </c>
      <c r="E54" s="11" t="s">
        <v>147</v>
      </c>
      <c r="F54" s="13">
        <v>2200</v>
      </c>
      <c r="G54" s="13">
        <v>0</v>
      </c>
      <c r="H54" s="13">
        <v>0</v>
      </c>
      <c r="I54" s="13">
        <v>0</v>
      </c>
      <c r="J54" s="13">
        <v>0</v>
      </c>
      <c r="K54" s="13">
        <v>0</v>
      </c>
      <c r="L54" s="13">
        <v>0</v>
      </c>
      <c r="M54" s="13">
        <v>0</v>
      </c>
      <c r="N54" s="12">
        <f t="shared" si="3"/>
        <v>0</v>
      </c>
      <c r="O54" s="13">
        <v>0</v>
      </c>
      <c r="P54" s="13">
        <v>0</v>
      </c>
      <c r="Q54" s="13">
        <v>0</v>
      </c>
      <c r="R54" s="14">
        <f t="shared" si="0"/>
        <v>0</v>
      </c>
      <c r="S54" s="13">
        <f t="shared" si="1"/>
        <v>100</v>
      </c>
      <c r="T54" s="13">
        <f t="shared" si="2"/>
        <v>200</v>
      </c>
      <c r="U54" s="13" t="s">
        <v>4181</v>
      </c>
      <c r="V54" s="15" t="s">
        <v>223</v>
      </c>
    </row>
    <row r="55" spans="1:23" s="17" customFormat="1" ht="30" customHeight="1">
      <c r="A55" s="1">
        <v>6</v>
      </c>
      <c r="B55" s="13">
        <v>6626</v>
      </c>
      <c r="C55" s="9" t="s">
        <v>224</v>
      </c>
      <c r="D55" s="10" t="s">
        <v>225</v>
      </c>
      <c r="E55" s="11" t="s">
        <v>147</v>
      </c>
      <c r="F55" s="13">
        <v>0</v>
      </c>
      <c r="G55" s="13">
        <v>0</v>
      </c>
      <c r="H55" s="13">
        <v>0</v>
      </c>
      <c r="I55" s="13">
        <v>0</v>
      </c>
      <c r="J55" s="13">
        <v>0</v>
      </c>
      <c r="K55" s="13">
        <v>0</v>
      </c>
      <c r="L55" s="13">
        <v>0</v>
      </c>
      <c r="M55" s="13">
        <v>0</v>
      </c>
      <c r="N55" s="12">
        <f t="shared" si="3"/>
        <v>0</v>
      </c>
      <c r="O55" s="13">
        <v>0</v>
      </c>
      <c r="P55" s="13">
        <v>0</v>
      </c>
      <c r="Q55" s="13">
        <v>0</v>
      </c>
      <c r="R55" s="14">
        <f t="shared" si="0"/>
        <v>0</v>
      </c>
      <c r="S55" s="13">
        <f t="shared" si="1"/>
        <v>100</v>
      </c>
      <c r="T55" s="13">
        <f t="shared" si="2"/>
        <v>200</v>
      </c>
      <c r="U55" s="13" t="s">
        <v>4181</v>
      </c>
      <c r="V55" s="15" t="s">
        <v>226</v>
      </c>
    </row>
    <row r="56" spans="1:23" s="17" customFormat="1" ht="30" customHeight="1">
      <c r="A56" s="1">
        <v>7</v>
      </c>
      <c r="B56" s="13">
        <v>6694</v>
      </c>
      <c r="C56" s="9" t="s">
        <v>227</v>
      </c>
      <c r="D56" s="10" t="s">
        <v>228</v>
      </c>
      <c r="E56" s="11" t="s">
        <v>147</v>
      </c>
      <c r="F56" s="13">
        <v>2400</v>
      </c>
      <c r="G56" s="13">
        <v>0</v>
      </c>
      <c r="H56" s="13">
        <v>0</v>
      </c>
      <c r="I56" s="13">
        <v>0</v>
      </c>
      <c r="J56" s="13">
        <v>0</v>
      </c>
      <c r="K56" s="13">
        <v>0</v>
      </c>
      <c r="L56" s="13">
        <v>0</v>
      </c>
      <c r="M56" s="13">
        <v>0</v>
      </c>
      <c r="N56" s="12">
        <f t="shared" si="3"/>
        <v>0</v>
      </c>
      <c r="O56" s="13">
        <v>0</v>
      </c>
      <c r="P56" s="13">
        <v>0</v>
      </c>
      <c r="Q56" s="13">
        <v>0</v>
      </c>
      <c r="R56" s="14">
        <f t="shared" si="0"/>
        <v>0</v>
      </c>
      <c r="S56" s="13">
        <f t="shared" si="1"/>
        <v>100</v>
      </c>
      <c r="T56" s="13">
        <f t="shared" si="2"/>
        <v>200</v>
      </c>
      <c r="U56" s="13" t="s">
        <v>4181</v>
      </c>
      <c r="V56" s="15" t="s">
        <v>229</v>
      </c>
    </row>
    <row r="57" spans="1:23" s="17" customFormat="1" ht="30" customHeight="1">
      <c r="A57" s="1">
        <v>8</v>
      </c>
      <c r="B57" s="13">
        <v>6730</v>
      </c>
      <c r="C57" s="9" t="s">
        <v>230</v>
      </c>
      <c r="D57" s="10" t="s">
        <v>231</v>
      </c>
      <c r="E57" s="11" t="s">
        <v>147</v>
      </c>
      <c r="F57" s="13">
        <v>1100</v>
      </c>
      <c r="G57" s="13">
        <v>0</v>
      </c>
      <c r="H57" s="13">
        <v>0</v>
      </c>
      <c r="I57" s="13">
        <v>0</v>
      </c>
      <c r="J57" s="13">
        <v>0</v>
      </c>
      <c r="K57" s="13">
        <v>0</v>
      </c>
      <c r="L57" s="13">
        <v>0</v>
      </c>
      <c r="M57" s="13">
        <v>0</v>
      </c>
      <c r="N57" s="12">
        <f t="shared" si="3"/>
        <v>0</v>
      </c>
      <c r="O57" s="13">
        <v>0</v>
      </c>
      <c r="P57" s="13">
        <v>0</v>
      </c>
      <c r="Q57" s="13">
        <v>0</v>
      </c>
      <c r="R57" s="14">
        <f t="shared" si="0"/>
        <v>0</v>
      </c>
      <c r="S57" s="13">
        <f t="shared" si="1"/>
        <v>100</v>
      </c>
      <c r="T57" s="13">
        <f t="shared" si="2"/>
        <v>200</v>
      </c>
      <c r="U57" s="13" t="s">
        <v>4181</v>
      </c>
      <c r="V57" s="15" t="s">
        <v>232</v>
      </c>
      <c r="W57" s="17" t="s">
        <v>78</v>
      </c>
    </row>
    <row r="58" spans="1:23" s="17" customFormat="1" ht="30" customHeight="1">
      <c r="A58" s="1">
        <v>9</v>
      </c>
      <c r="B58" s="13">
        <v>6746</v>
      </c>
      <c r="C58" s="9" t="s">
        <v>235</v>
      </c>
      <c r="D58" s="10" t="s">
        <v>236</v>
      </c>
      <c r="E58" s="11" t="s">
        <v>147</v>
      </c>
      <c r="F58" s="13">
        <v>1400</v>
      </c>
      <c r="G58" s="13">
        <v>0</v>
      </c>
      <c r="H58" s="13">
        <v>0</v>
      </c>
      <c r="I58" s="13">
        <v>0</v>
      </c>
      <c r="J58" s="13">
        <v>0</v>
      </c>
      <c r="K58" s="13">
        <v>0</v>
      </c>
      <c r="L58" s="13">
        <v>0</v>
      </c>
      <c r="M58" s="13">
        <v>0</v>
      </c>
      <c r="N58" s="12">
        <f t="shared" si="3"/>
        <v>0</v>
      </c>
      <c r="O58" s="13">
        <v>0</v>
      </c>
      <c r="P58" s="13">
        <v>0</v>
      </c>
      <c r="Q58" s="13">
        <v>0</v>
      </c>
      <c r="R58" s="14">
        <f t="shared" si="0"/>
        <v>0</v>
      </c>
      <c r="S58" s="13">
        <f t="shared" si="1"/>
        <v>100</v>
      </c>
      <c r="T58" s="13">
        <f t="shared" si="2"/>
        <v>200</v>
      </c>
      <c r="U58" s="13" t="s">
        <v>4181</v>
      </c>
      <c r="V58" s="15" t="s">
        <v>237</v>
      </c>
      <c r="W58" s="17" t="s">
        <v>78</v>
      </c>
    </row>
    <row r="59" spans="1:23" s="17" customFormat="1" ht="30" customHeight="1">
      <c r="A59" s="1">
        <v>10</v>
      </c>
      <c r="B59" s="13">
        <v>6784</v>
      </c>
      <c r="C59" s="9" t="s">
        <v>241</v>
      </c>
      <c r="D59" s="10" t="s">
        <v>242</v>
      </c>
      <c r="E59" s="11" t="s">
        <v>147</v>
      </c>
      <c r="F59" s="13">
        <v>1300</v>
      </c>
      <c r="G59" s="13">
        <v>0</v>
      </c>
      <c r="H59" s="13">
        <v>0</v>
      </c>
      <c r="I59" s="13">
        <v>0</v>
      </c>
      <c r="J59" s="13">
        <v>0</v>
      </c>
      <c r="K59" s="13">
        <v>0</v>
      </c>
      <c r="L59" s="13">
        <v>0</v>
      </c>
      <c r="M59" s="13">
        <v>0</v>
      </c>
      <c r="N59" s="12">
        <f t="shared" si="3"/>
        <v>0</v>
      </c>
      <c r="O59" s="13">
        <v>0</v>
      </c>
      <c r="P59" s="13">
        <v>0</v>
      </c>
      <c r="Q59" s="13">
        <v>0</v>
      </c>
      <c r="R59" s="14">
        <f t="shared" si="0"/>
        <v>0</v>
      </c>
      <c r="S59" s="13">
        <f t="shared" si="1"/>
        <v>100</v>
      </c>
      <c r="T59" s="13">
        <f t="shared" si="2"/>
        <v>200</v>
      </c>
      <c r="U59" s="13" t="s">
        <v>4181</v>
      </c>
      <c r="V59" s="15" t="s">
        <v>243</v>
      </c>
      <c r="W59" s="18" t="s">
        <v>244</v>
      </c>
    </row>
    <row r="60" spans="1:23" s="17" customFormat="1" ht="30" customHeight="1">
      <c r="A60" s="1">
        <v>11</v>
      </c>
      <c r="B60" s="13">
        <v>6785</v>
      </c>
      <c r="C60" s="9" t="s">
        <v>245</v>
      </c>
      <c r="D60" s="10" t="s">
        <v>242</v>
      </c>
      <c r="E60" s="11" t="s">
        <v>147</v>
      </c>
      <c r="F60" s="13">
        <v>2400</v>
      </c>
      <c r="G60" s="13">
        <v>0</v>
      </c>
      <c r="H60" s="13">
        <v>0</v>
      </c>
      <c r="I60" s="13">
        <v>0</v>
      </c>
      <c r="J60" s="13">
        <v>0</v>
      </c>
      <c r="K60" s="13">
        <v>0</v>
      </c>
      <c r="L60" s="13">
        <v>0</v>
      </c>
      <c r="M60" s="13">
        <v>0</v>
      </c>
      <c r="N60" s="12">
        <f t="shared" si="3"/>
        <v>0</v>
      </c>
      <c r="O60" s="13">
        <v>0</v>
      </c>
      <c r="P60" s="13">
        <v>0</v>
      </c>
      <c r="Q60" s="13">
        <v>0</v>
      </c>
      <c r="R60" s="14">
        <f t="shared" si="0"/>
        <v>0</v>
      </c>
      <c r="S60" s="13">
        <f t="shared" si="1"/>
        <v>100</v>
      </c>
      <c r="T60" s="13">
        <f t="shared" si="2"/>
        <v>200</v>
      </c>
      <c r="U60" s="13" t="s">
        <v>4181</v>
      </c>
      <c r="V60" s="15" t="s">
        <v>246</v>
      </c>
      <c r="W60" s="18" t="s">
        <v>244</v>
      </c>
    </row>
    <row r="61" spans="1:23" s="17" customFormat="1" ht="30" customHeight="1">
      <c r="A61" s="1">
        <v>12</v>
      </c>
      <c r="B61" s="13">
        <v>6822</v>
      </c>
      <c r="C61" s="9" t="s">
        <v>247</v>
      </c>
      <c r="D61" s="10" t="s">
        <v>248</v>
      </c>
      <c r="E61" s="11" t="s">
        <v>147</v>
      </c>
      <c r="F61" s="13">
        <v>2400</v>
      </c>
      <c r="G61" s="13">
        <v>0</v>
      </c>
      <c r="H61" s="13">
        <v>0</v>
      </c>
      <c r="I61" s="13">
        <v>0</v>
      </c>
      <c r="J61" s="13">
        <v>0</v>
      </c>
      <c r="K61" s="13">
        <v>0</v>
      </c>
      <c r="L61" s="13">
        <v>0</v>
      </c>
      <c r="M61" s="13">
        <v>0</v>
      </c>
      <c r="N61" s="12">
        <f t="shared" si="3"/>
        <v>0</v>
      </c>
      <c r="O61" s="13">
        <v>2400</v>
      </c>
      <c r="P61" s="13">
        <v>0</v>
      </c>
      <c r="Q61" s="13">
        <v>0</v>
      </c>
      <c r="R61" s="14">
        <f t="shared" si="0"/>
        <v>2400</v>
      </c>
      <c r="S61" s="13">
        <f t="shared" si="1"/>
        <v>2500</v>
      </c>
      <c r="T61" s="13">
        <f t="shared" si="2"/>
        <v>2600</v>
      </c>
      <c r="U61" s="13" t="s">
        <v>4181</v>
      </c>
      <c r="V61" s="15" t="s">
        <v>249</v>
      </c>
      <c r="W61" s="18" t="s">
        <v>244</v>
      </c>
    </row>
    <row r="62" spans="1:23" s="17" customFormat="1" ht="30" customHeight="1">
      <c r="A62" s="1">
        <v>13</v>
      </c>
      <c r="B62" s="13">
        <v>6823</v>
      </c>
      <c r="C62" s="9" t="s">
        <v>250</v>
      </c>
      <c r="D62" s="10" t="s">
        <v>251</v>
      </c>
      <c r="E62" s="11" t="s">
        <v>147</v>
      </c>
      <c r="F62" s="13">
        <v>1000</v>
      </c>
      <c r="G62" s="13">
        <v>0</v>
      </c>
      <c r="H62" s="13">
        <v>0</v>
      </c>
      <c r="I62" s="13">
        <v>0</v>
      </c>
      <c r="J62" s="13">
        <v>0</v>
      </c>
      <c r="K62" s="13">
        <v>0</v>
      </c>
      <c r="L62" s="13">
        <v>0</v>
      </c>
      <c r="M62" s="13">
        <v>0</v>
      </c>
      <c r="N62" s="12">
        <f t="shared" si="3"/>
        <v>0</v>
      </c>
      <c r="O62" s="13">
        <v>1000</v>
      </c>
      <c r="P62" s="13">
        <v>0</v>
      </c>
      <c r="Q62" s="13">
        <v>0</v>
      </c>
      <c r="R62" s="14">
        <f t="shared" si="0"/>
        <v>1000</v>
      </c>
      <c r="S62" s="13">
        <f t="shared" si="1"/>
        <v>1100</v>
      </c>
      <c r="T62" s="13">
        <f t="shared" si="2"/>
        <v>1200</v>
      </c>
      <c r="U62" s="13" t="s">
        <v>4181</v>
      </c>
      <c r="V62" s="15" t="s">
        <v>252</v>
      </c>
      <c r="W62" s="18" t="s">
        <v>244</v>
      </c>
    </row>
    <row r="63" spans="1:23" ht="30" customHeight="1">
      <c r="A63" s="1">
        <v>14</v>
      </c>
      <c r="B63" s="8">
        <v>6532</v>
      </c>
      <c r="C63" s="9" t="s">
        <v>262</v>
      </c>
      <c r="D63" s="10" t="s">
        <v>263</v>
      </c>
      <c r="E63" s="11" t="s">
        <v>147</v>
      </c>
      <c r="F63" s="8">
        <v>2200</v>
      </c>
      <c r="G63" s="8">
        <v>0</v>
      </c>
      <c r="H63" s="8">
        <v>0</v>
      </c>
      <c r="I63" s="8">
        <v>0</v>
      </c>
      <c r="J63" s="8">
        <v>0</v>
      </c>
      <c r="K63" s="8">
        <v>0</v>
      </c>
      <c r="L63" s="8">
        <v>0</v>
      </c>
      <c r="M63" s="8">
        <v>0</v>
      </c>
      <c r="N63" s="12">
        <f t="shared" si="3"/>
        <v>0</v>
      </c>
      <c r="O63" s="8">
        <v>0</v>
      </c>
      <c r="P63" s="13">
        <v>0</v>
      </c>
      <c r="Q63" s="13">
        <v>0</v>
      </c>
      <c r="R63" s="14">
        <f t="shared" si="0"/>
        <v>0</v>
      </c>
      <c r="S63" s="13">
        <f t="shared" si="1"/>
        <v>100</v>
      </c>
      <c r="T63" s="13">
        <f t="shared" si="2"/>
        <v>200</v>
      </c>
      <c r="U63" s="13" t="s">
        <v>4181</v>
      </c>
      <c r="V63" s="15" t="s">
        <v>264</v>
      </c>
    </row>
    <row r="64" spans="1:23" ht="30" customHeight="1">
      <c r="A64" s="1">
        <v>15</v>
      </c>
      <c r="B64" s="8">
        <v>6536</v>
      </c>
      <c r="C64" s="9" t="s">
        <v>268</v>
      </c>
      <c r="D64" s="10" t="s">
        <v>269</v>
      </c>
      <c r="E64" s="11" t="s">
        <v>147</v>
      </c>
      <c r="F64" s="8">
        <v>2400</v>
      </c>
      <c r="G64" s="8">
        <v>0</v>
      </c>
      <c r="H64" s="8">
        <v>0</v>
      </c>
      <c r="I64" s="8">
        <v>0</v>
      </c>
      <c r="J64" s="8">
        <v>0</v>
      </c>
      <c r="K64" s="8">
        <v>0</v>
      </c>
      <c r="L64" s="8">
        <v>0</v>
      </c>
      <c r="M64" s="8">
        <v>0</v>
      </c>
      <c r="N64" s="12">
        <f t="shared" si="3"/>
        <v>0</v>
      </c>
      <c r="O64" s="8">
        <v>2400</v>
      </c>
      <c r="P64" s="13">
        <v>0</v>
      </c>
      <c r="Q64" s="13">
        <v>0</v>
      </c>
      <c r="R64" s="14">
        <f t="shared" si="0"/>
        <v>2400</v>
      </c>
      <c r="S64" s="13">
        <f t="shared" si="1"/>
        <v>2500</v>
      </c>
      <c r="T64" s="13">
        <f t="shared" si="2"/>
        <v>2600</v>
      </c>
      <c r="U64" s="13" t="s">
        <v>4181</v>
      </c>
      <c r="V64" s="15" t="s">
        <v>270</v>
      </c>
    </row>
    <row r="65" spans="1:23" s="17" customFormat="1" ht="30" customHeight="1">
      <c r="A65" s="1">
        <v>16</v>
      </c>
      <c r="B65" s="13">
        <v>6648</v>
      </c>
      <c r="C65" s="9" t="s">
        <v>327</v>
      </c>
      <c r="D65" s="10" t="s">
        <v>328</v>
      </c>
      <c r="E65" s="11" t="s">
        <v>147</v>
      </c>
      <c r="F65" s="13">
        <v>2400</v>
      </c>
      <c r="G65" s="13">
        <v>0</v>
      </c>
      <c r="H65" s="13">
        <v>0</v>
      </c>
      <c r="I65" s="13">
        <v>0</v>
      </c>
      <c r="J65" s="13">
        <v>0</v>
      </c>
      <c r="K65" s="13">
        <v>0</v>
      </c>
      <c r="L65" s="13">
        <v>0</v>
      </c>
      <c r="M65" s="13">
        <v>0</v>
      </c>
      <c r="N65" s="12">
        <f t="shared" si="3"/>
        <v>0</v>
      </c>
      <c r="O65" s="13">
        <v>2400</v>
      </c>
      <c r="P65" s="13">
        <v>0</v>
      </c>
      <c r="Q65" s="13">
        <v>0</v>
      </c>
      <c r="R65" s="14">
        <f t="shared" si="0"/>
        <v>2400</v>
      </c>
      <c r="S65" s="13">
        <f t="shared" si="1"/>
        <v>2500</v>
      </c>
      <c r="T65" s="13">
        <f t="shared" si="2"/>
        <v>2600</v>
      </c>
      <c r="U65" s="13" t="s">
        <v>4181</v>
      </c>
      <c r="V65" s="15" t="s">
        <v>329</v>
      </c>
    </row>
    <row r="66" spans="1:23" s="17" customFormat="1" ht="30" customHeight="1">
      <c r="A66" s="1">
        <v>17</v>
      </c>
      <c r="B66" s="13">
        <v>6692</v>
      </c>
      <c r="C66" s="9" t="s">
        <v>330</v>
      </c>
      <c r="D66" s="10" t="s">
        <v>60</v>
      </c>
      <c r="E66" s="11" t="s">
        <v>147</v>
      </c>
      <c r="F66" s="13">
        <v>1700</v>
      </c>
      <c r="G66" s="13">
        <v>0</v>
      </c>
      <c r="H66" s="13">
        <v>0</v>
      </c>
      <c r="I66" s="13">
        <v>0</v>
      </c>
      <c r="J66" s="13">
        <v>0</v>
      </c>
      <c r="K66" s="13">
        <v>0</v>
      </c>
      <c r="L66" s="13">
        <v>0</v>
      </c>
      <c r="M66" s="13">
        <v>0</v>
      </c>
      <c r="N66" s="12">
        <f t="shared" si="3"/>
        <v>0</v>
      </c>
      <c r="O66" s="13">
        <v>0</v>
      </c>
      <c r="P66" s="13">
        <v>0</v>
      </c>
      <c r="Q66" s="13">
        <v>0</v>
      </c>
      <c r="R66" s="14">
        <f t="shared" si="0"/>
        <v>0</v>
      </c>
      <c r="S66" s="13">
        <f t="shared" si="1"/>
        <v>100</v>
      </c>
      <c r="T66" s="13">
        <f t="shared" si="2"/>
        <v>200</v>
      </c>
      <c r="U66" s="13" t="s">
        <v>4181</v>
      </c>
      <c r="V66" s="15" t="s">
        <v>331</v>
      </c>
    </row>
    <row r="67" spans="1:23" s="17" customFormat="1" ht="30" customHeight="1">
      <c r="A67" s="1">
        <v>18</v>
      </c>
      <c r="B67" s="13">
        <v>6728</v>
      </c>
      <c r="C67" s="9" t="s">
        <v>332</v>
      </c>
      <c r="D67" s="10" t="s">
        <v>80</v>
      </c>
      <c r="E67" s="11" t="s">
        <v>147</v>
      </c>
      <c r="F67" s="13">
        <v>2400</v>
      </c>
      <c r="G67" s="13">
        <v>0</v>
      </c>
      <c r="H67" s="13">
        <v>0</v>
      </c>
      <c r="I67" s="13">
        <v>0</v>
      </c>
      <c r="J67" s="13">
        <v>0</v>
      </c>
      <c r="K67" s="13">
        <v>0</v>
      </c>
      <c r="L67" s="13">
        <v>0</v>
      </c>
      <c r="M67" s="13">
        <v>0</v>
      </c>
      <c r="N67" s="12">
        <f t="shared" si="3"/>
        <v>0</v>
      </c>
      <c r="O67" s="13">
        <v>0</v>
      </c>
      <c r="P67" s="13">
        <v>0</v>
      </c>
      <c r="Q67" s="13">
        <v>0</v>
      </c>
      <c r="R67" s="14">
        <f t="shared" si="0"/>
        <v>0</v>
      </c>
      <c r="S67" s="13">
        <f t="shared" si="1"/>
        <v>100</v>
      </c>
      <c r="T67" s="13">
        <f t="shared" si="2"/>
        <v>200</v>
      </c>
      <c r="U67" s="13" t="s">
        <v>4181</v>
      </c>
      <c r="V67" s="15" t="s">
        <v>333</v>
      </c>
      <c r="W67" s="17" t="s">
        <v>78</v>
      </c>
    </row>
    <row r="68" spans="1:23" s="17" customFormat="1" ht="30" customHeight="1">
      <c r="A68" s="1">
        <v>19</v>
      </c>
      <c r="B68" s="13">
        <v>6736</v>
      </c>
      <c r="C68" s="9" t="s">
        <v>337</v>
      </c>
      <c r="D68" s="10" t="s">
        <v>338</v>
      </c>
      <c r="E68" s="11" t="s">
        <v>147</v>
      </c>
      <c r="F68" s="13">
        <v>2000</v>
      </c>
      <c r="G68" s="13">
        <v>0</v>
      </c>
      <c r="H68" s="13">
        <v>0</v>
      </c>
      <c r="I68" s="13">
        <v>0</v>
      </c>
      <c r="J68" s="13">
        <v>0</v>
      </c>
      <c r="K68" s="13">
        <v>0</v>
      </c>
      <c r="L68" s="13">
        <v>0</v>
      </c>
      <c r="M68" s="13">
        <v>0</v>
      </c>
      <c r="N68" s="12">
        <f t="shared" si="3"/>
        <v>0</v>
      </c>
      <c r="O68" s="13">
        <v>2000</v>
      </c>
      <c r="P68" s="13">
        <v>0</v>
      </c>
      <c r="Q68" s="13">
        <v>0</v>
      </c>
      <c r="R68" s="14">
        <f t="shared" si="0"/>
        <v>2000</v>
      </c>
      <c r="S68" s="13">
        <f t="shared" si="1"/>
        <v>2100</v>
      </c>
      <c r="T68" s="13">
        <f t="shared" si="2"/>
        <v>2200</v>
      </c>
      <c r="U68" s="13" t="s">
        <v>4181</v>
      </c>
      <c r="V68" s="24" t="s">
        <v>339</v>
      </c>
      <c r="W68" s="17" t="s">
        <v>78</v>
      </c>
    </row>
    <row r="69" spans="1:23" s="17" customFormat="1" ht="30" customHeight="1">
      <c r="A69" s="1">
        <v>20</v>
      </c>
      <c r="B69" s="13">
        <v>6776</v>
      </c>
      <c r="C69" s="9" t="s">
        <v>340</v>
      </c>
      <c r="D69" s="10" t="s">
        <v>341</v>
      </c>
      <c r="E69" s="11" t="s">
        <v>147</v>
      </c>
      <c r="F69" s="13">
        <v>2000</v>
      </c>
      <c r="G69" s="13">
        <v>0</v>
      </c>
      <c r="H69" s="13">
        <v>0</v>
      </c>
      <c r="I69" s="13">
        <v>0</v>
      </c>
      <c r="J69" s="13">
        <v>0</v>
      </c>
      <c r="K69" s="13">
        <v>0</v>
      </c>
      <c r="L69" s="13">
        <v>0</v>
      </c>
      <c r="M69" s="13">
        <v>0</v>
      </c>
      <c r="N69" s="12">
        <f t="shared" si="3"/>
        <v>0</v>
      </c>
      <c r="O69" s="13">
        <v>2000</v>
      </c>
      <c r="P69" s="13">
        <v>0</v>
      </c>
      <c r="Q69" s="13">
        <v>0</v>
      </c>
      <c r="R69" s="14">
        <f t="shared" ref="R69:R77" si="16">(SUM(N69:Q69))</f>
        <v>2000</v>
      </c>
      <c r="S69" s="13">
        <f t="shared" ref="S69:S75" si="17">R69+100</f>
        <v>2100</v>
      </c>
      <c r="T69" s="13">
        <f t="shared" ref="T69:T75" si="18">R69+200</f>
        <v>2200</v>
      </c>
      <c r="U69" s="13" t="s">
        <v>4181</v>
      </c>
      <c r="V69" s="24" t="s">
        <v>342</v>
      </c>
      <c r="W69" s="17" t="s">
        <v>343</v>
      </c>
    </row>
    <row r="70" spans="1:23" s="17" customFormat="1" ht="30" customHeight="1">
      <c r="A70" s="1">
        <v>21</v>
      </c>
      <c r="B70" s="13">
        <v>6777</v>
      </c>
      <c r="C70" s="9" t="s">
        <v>344</v>
      </c>
      <c r="D70" s="10" t="s">
        <v>345</v>
      </c>
      <c r="E70" s="11" t="s">
        <v>147</v>
      </c>
      <c r="F70" s="13">
        <v>0</v>
      </c>
      <c r="G70" s="13">
        <v>0</v>
      </c>
      <c r="H70" s="13">
        <v>0</v>
      </c>
      <c r="I70" s="13">
        <v>0</v>
      </c>
      <c r="J70" s="13">
        <v>0</v>
      </c>
      <c r="K70" s="13">
        <v>0</v>
      </c>
      <c r="L70" s="13">
        <v>0</v>
      </c>
      <c r="M70" s="13">
        <v>0</v>
      </c>
      <c r="N70" s="12">
        <f t="shared" ref="N70:N77" si="19">(SUM(G70:M70))</f>
        <v>0</v>
      </c>
      <c r="O70" s="13">
        <v>0</v>
      </c>
      <c r="P70" s="13">
        <v>0</v>
      </c>
      <c r="Q70" s="13">
        <v>0</v>
      </c>
      <c r="R70" s="14">
        <f t="shared" si="16"/>
        <v>0</v>
      </c>
      <c r="S70" s="13">
        <f t="shared" si="17"/>
        <v>100</v>
      </c>
      <c r="T70" s="13">
        <f t="shared" si="18"/>
        <v>200</v>
      </c>
      <c r="U70" s="13" t="s">
        <v>4181</v>
      </c>
      <c r="V70" s="24" t="s">
        <v>346</v>
      </c>
      <c r="W70" s="17" t="s">
        <v>343</v>
      </c>
    </row>
    <row r="71" spans="1:23" s="17" customFormat="1" ht="30" customHeight="1">
      <c r="A71" s="1">
        <v>22</v>
      </c>
      <c r="B71" s="13">
        <v>6786</v>
      </c>
      <c r="C71" s="9" t="s">
        <v>347</v>
      </c>
      <c r="D71" s="10" t="s">
        <v>348</v>
      </c>
      <c r="E71" s="11" t="s">
        <v>147</v>
      </c>
      <c r="F71" s="13">
        <v>1700</v>
      </c>
      <c r="G71" s="13">
        <v>0</v>
      </c>
      <c r="H71" s="13">
        <v>0</v>
      </c>
      <c r="I71" s="13">
        <v>0</v>
      </c>
      <c r="J71" s="13">
        <v>0</v>
      </c>
      <c r="K71" s="13">
        <v>0</v>
      </c>
      <c r="L71" s="13">
        <v>0</v>
      </c>
      <c r="M71" s="13">
        <v>0</v>
      </c>
      <c r="N71" s="12">
        <f t="shared" si="19"/>
        <v>0</v>
      </c>
      <c r="O71" s="13">
        <v>0</v>
      </c>
      <c r="P71" s="13">
        <v>0</v>
      </c>
      <c r="Q71" s="13">
        <v>0</v>
      </c>
      <c r="R71" s="14">
        <f t="shared" si="16"/>
        <v>0</v>
      </c>
      <c r="S71" s="13">
        <f t="shared" si="17"/>
        <v>100</v>
      </c>
      <c r="T71" s="13">
        <f t="shared" si="18"/>
        <v>200</v>
      </c>
      <c r="U71" s="13" t="s">
        <v>4181</v>
      </c>
      <c r="V71" s="24" t="s">
        <v>349</v>
      </c>
      <c r="W71" s="17" t="s">
        <v>350</v>
      </c>
    </row>
    <row r="72" spans="1:23" s="17" customFormat="1" ht="30" customHeight="1">
      <c r="A72" s="1">
        <v>23</v>
      </c>
      <c r="B72" s="13">
        <v>6787</v>
      </c>
      <c r="C72" s="9" t="s">
        <v>351</v>
      </c>
      <c r="D72" s="10" t="s">
        <v>352</v>
      </c>
      <c r="E72" s="11" t="s">
        <v>147</v>
      </c>
      <c r="F72" s="13">
        <v>2400</v>
      </c>
      <c r="G72" s="13">
        <v>0</v>
      </c>
      <c r="H72" s="13">
        <v>0</v>
      </c>
      <c r="I72" s="13">
        <v>0</v>
      </c>
      <c r="J72" s="13">
        <v>0</v>
      </c>
      <c r="K72" s="13">
        <v>0</v>
      </c>
      <c r="L72" s="13">
        <v>300</v>
      </c>
      <c r="M72" s="13">
        <v>2400</v>
      </c>
      <c r="N72" s="12">
        <f t="shared" si="19"/>
        <v>2700</v>
      </c>
      <c r="O72" s="13">
        <v>2400</v>
      </c>
      <c r="P72" s="13">
        <v>0</v>
      </c>
      <c r="Q72" s="13">
        <v>0</v>
      </c>
      <c r="R72" s="14">
        <f t="shared" si="16"/>
        <v>5100</v>
      </c>
      <c r="S72" s="13">
        <f t="shared" si="17"/>
        <v>5200</v>
      </c>
      <c r="T72" s="13">
        <f t="shared" si="18"/>
        <v>5300</v>
      </c>
      <c r="U72" s="13" t="s">
        <v>4181</v>
      </c>
      <c r="V72" s="24" t="s">
        <v>353</v>
      </c>
      <c r="W72" s="17" t="s">
        <v>350</v>
      </c>
    </row>
    <row r="73" spans="1:23" s="17" customFormat="1" ht="30" customHeight="1">
      <c r="A73" s="1">
        <v>24</v>
      </c>
      <c r="B73" s="13">
        <v>6790</v>
      </c>
      <c r="C73" s="9" t="s">
        <v>354</v>
      </c>
      <c r="D73" s="10" t="s">
        <v>355</v>
      </c>
      <c r="E73" s="11" t="s">
        <v>147</v>
      </c>
      <c r="F73" s="13">
        <v>2400</v>
      </c>
      <c r="G73" s="13">
        <v>0</v>
      </c>
      <c r="H73" s="13">
        <v>0</v>
      </c>
      <c r="I73" s="13">
        <v>0</v>
      </c>
      <c r="J73" s="13">
        <v>0</v>
      </c>
      <c r="K73" s="13">
        <v>0</v>
      </c>
      <c r="L73" s="13">
        <v>0</v>
      </c>
      <c r="M73" s="13">
        <v>0</v>
      </c>
      <c r="N73" s="12">
        <f t="shared" si="19"/>
        <v>0</v>
      </c>
      <c r="O73" s="13">
        <v>2400</v>
      </c>
      <c r="P73" s="13">
        <v>0</v>
      </c>
      <c r="Q73" s="13">
        <v>2000</v>
      </c>
      <c r="R73" s="14">
        <f t="shared" si="16"/>
        <v>4400</v>
      </c>
      <c r="S73" s="13">
        <f t="shared" si="17"/>
        <v>4500</v>
      </c>
      <c r="T73" s="13">
        <f t="shared" si="18"/>
        <v>4600</v>
      </c>
      <c r="U73" s="13" t="s">
        <v>4181</v>
      </c>
      <c r="V73" s="24" t="s">
        <v>356</v>
      </c>
      <c r="W73" s="17" t="s">
        <v>357</v>
      </c>
    </row>
    <row r="74" spans="1:23" s="17" customFormat="1" ht="30" customHeight="1">
      <c r="A74" s="1">
        <v>25</v>
      </c>
      <c r="B74" s="13">
        <v>6808</v>
      </c>
      <c r="C74" s="9" t="s">
        <v>358</v>
      </c>
      <c r="D74" s="10" t="s">
        <v>359</v>
      </c>
      <c r="E74" s="11" t="s">
        <v>147</v>
      </c>
      <c r="F74" s="13">
        <v>2400</v>
      </c>
      <c r="G74" s="13">
        <v>0</v>
      </c>
      <c r="H74" s="13">
        <v>0</v>
      </c>
      <c r="I74" s="13">
        <v>0</v>
      </c>
      <c r="J74" s="13">
        <v>0</v>
      </c>
      <c r="K74" s="13">
        <v>0</v>
      </c>
      <c r="L74" s="13">
        <v>0</v>
      </c>
      <c r="M74" s="13">
        <v>0</v>
      </c>
      <c r="N74" s="12">
        <f t="shared" si="19"/>
        <v>0</v>
      </c>
      <c r="O74" s="13">
        <v>2400</v>
      </c>
      <c r="P74" s="13">
        <v>0</v>
      </c>
      <c r="Q74" s="13">
        <v>0</v>
      </c>
      <c r="R74" s="14">
        <f t="shared" si="16"/>
        <v>2400</v>
      </c>
      <c r="S74" s="13">
        <f t="shared" si="17"/>
        <v>2500</v>
      </c>
      <c r="T74" s="13">
        <f t="shared" si="18"/>
        <v>2600</v>
      </c>
      <c r="U74" s="13" t="s">
        <v>4181</v>
      </c>
      <c r="V74" s="24" t="s">
        <v>360</v>
      </c>
      <c r="W74" s="17" t="s">
        <v>357</v>
      </c>
    </row>
    <row r="75" spans="1:23" ht="30" customHeight="1">
      <c r="A75" s="1">
        <v>26</v>
      </c>
      <c r="B75" s="13">
        <v>6363</v>
      </c>
      <c r="C75" s="9" t="s">
        <v>177</v>
      </c>
      <c r="D75" s="9" t="s">
        <v>178</v>
      </c>
      <c r="E75" s="11" t="s">
        <v>147</v>
      </c>
      <c r="F75" s="13">
        <v>1400</v>
      </c>
      <c r="G75" s="13">
        <v>0</v>
      </c>
      <c r="H75" s="13">
        <v>0</v>
      </c>
      <c r="I75" s="13">
        <v>0</v>
      </c>
      <c r="J75" s="13">
        <v>0</v>
      </c>
      <c r="K75" s="13">
        <v>0</v>
      </c>
      <c r="L75" s="13">
        <v>0</v>
      </c>
      <c r="M75" s="13">
        <v>0</v>
      </c>
      <c r="N75" s="12">
        <f t="shared" si="19"/>
        <v>0</v>
      </c>
      <c r="O75" s="13">
        <v>0</v>
      </c>
      <c r="P75" s="13">
        <v>0</v>
      </c>
      <c r="Q75" s="13">
        <v>3000</v>
      </c>
      <c r="R75" s="14">
        <f t="shared" si="16"/>
        <v>3000</v>
      </c>
      <c r="S75" s="13">
        <f t="shared" si="17"/>
        <v>3100</v>
      </c>
      <c r="T75" s="13">
        <f t="shared" si="18"/>
        <v>3200</v>
      </c>
      <c r="U75" s="13" t="s">
        <v>4181</v>
      </c>
      <c r="V75" s="15" t="s">
        <v>179</v>
      </c>
    </row>
    <row r="76" spans="1:23" ht="30" customHeight="1">
      <c r="A76" s="1">
        <v>28</v>
      </c>
      <c r="B76" s="13">
        <v>6873</v>
      </c>
      <c r="C76" s="9" t="s">
        <v>4149</v>
      </c>
      <c r="D76" s="9" t="s">
        <v>4150</v>
      </c>
      <c r="E76" s="11" t="s">
        <v>147</v>
      </c>
      <c r="F76" s="13">
        <v>2400</v>
      </c>
      <c r="G76" s="13">
        <v>0</v>
      </c>
      <c r="H76" s="13">
        <v>0</v>
      </c>
      <c r="I76" s="13">
        <v>0</v>
      </c>
      <c r="J76" s="13">
        <v>0</v>
      </c>
      <c r="K76" s="13">
        <v>0</v>
      </c>
      <c r="L76" s="13">
        <v>0</v>
      </c>
      <c r="M76" s="13">
        <v>0</v>
      </c>
      <c r="N76" s="12">
        <f t="shared" si="19"/>
        <v>0</v>
      </c>
      <c r="O76" s="13">
        <v>0</v>
      </c>
      <c r="P76" s="13">
        <v>0</v>
      </c>
      <c r="Q76" s="13">
        <v>3000</v>
      </c>
      <c r="R76" s="14">
        <f t="shared" si="16"/>
        <v>3000</v>
      </c>
      <c r="S76" s="13">
        <f t="shared" ref="S76" si="20">R76+100</f>
        <v>3100</v>
      </c>
      <c r="T76" s="13">
        <f t="shared" ref="T76" si="21">R76+200</f>
        <v>3200</v>
      </c>
      <c r="U76" s="13" t="s">
        <v>4181</v>
      </c>
      <c r="V76" s="15"/>
      <c r="W76" t="s">
        <v>4151</v>
      </c>
    </row>
    <row r="77" spans="1:23" ht="30" customHeight="1">
      <c r="A77" s="1">
        <v>29</v>
      </c>
      <c r="B77" s="13">
        <v>6879</v>
      </c>
      <c r="C77" s="9" t="s">
        <v>872</v>
      </c>
      <c r="D77" s="9" t="s">
        <v>4172</v>
      </c>
      <c r="E77" s="288" t="s">
        <v>4173</v>
      </c>
      <c r="F77" s="13">
        <v>2400</v>
      </c>
      <c r="G77" s="13">
        <v>0</v>
      </c>
      <c r="H77" s="13">
        <v>0</v>
      </c>
      <c r="I77" s="13">
        <v>0</v>
      </c>
      <c r="J77" s="13">
        <v>0</v>
      </c>
      <c r="K77" s="13">
        <v>0</v>
      </c>
      <c r="L77" s="13">
        <v>0</v>
      </c>
      <c r="M77" s="13">
        <v>0</v>
      </c>
      <c r="N77" s="12">
        <f t="shared" si="19"/>
        <v>0</v>
      </c>
      <c r="O77" s="13">
        <v>0</v>
      </c>
      <c r="P77" s="13">
        <v>0</v>
      </c>
      <c r="Q77" s="13">
        <v>0</v>
      </c>
      <c r="R77" s="14">
        <f t="shared" si="16"/>
        <v>0</v>
      </c>
      <c r="S77" s="13">
        <f t="shared" ref="S77" si="22">R77+100</f>
        <v>100</v>
      </c>
      <c r="T77" s="13">
        <f t="shared" ref="T77" si="23">R77+200</f>
        <v>200</v>
      </c>
      <c r="U77" s="13" t="s">
        <v>4181</v>
      </c>
      <c r="V77" s="15" t="s">
        <v>4174</v>
      </c>
      <c r="W77" t="s">
        <v>4175</v>
      </c>
    </row>
    <row r="78" spans="1:23" ht="30" customHeight="1">
      <c r="A78" s="1">
        <v>30</v>
      </c>
      <c r="B78" s="13">
        <v>6887</v>
      </c>
      <c r="C78" s="9" t="s">
        <v>121</v>
      </c>
      <c r="D78" s="9" t="s">
        <v>424</v>
      </c>
      <c r="E78" s="288" t="s">
        <v>4173</v>
      </c>
      <c r="F78" s="13">
        <v>2000</v>
      </c>
      <c r="G78" s="13">
        <v>0</v>
      </c>
      <c r="H78" s="13">
        <v>0</v>
      </c>
      <c r="I78" s="13">
        <v>0</v>
      </c>
      <c r="J78" s="13">
        <v>0</v>
      </c>
      <c r="K78" s="13">
        <v>0</v>
      </c>
      <c r="L78" s="13">
        <v>0</v>
      </c>
      <c r="M78" s="13">
        <v>0</v>
      </c>
      <c r="N78" s="12">
        <f t="shared" ref="N78" si="24">(SUM(G78:M78))</f>
        <v>0</v>
      </c>
      <c r="O78" s="13">
        <v>0</v>
      </c>
      <c r="P78" s="13">
        <v>0</v>
      </c>
      <c r="Q78" s="13">
        <v>0</v>
      </c>
      <c r="R78" s="14">
        <f t="shared" ref="R78" si="25">(SUM(N78:Q78))</f>
        <v>0</v>
      </c>
      <c r="S78" s="13">
        <f t="shared" ref="S78" si="26">R78+100</f>
        <v>100</v>
      </c>
      <c r="T78" s="13">
        <f t="shared" ref="T78" si="27">R78+200</f>
        <v>200</v>
      </c>
      <c r="U78" s="13" t="s">
        <v>4181</v>
      </c>
      <c r="V78" s="15" t="s">
        <v>4199</v>
      </c>
      <c r="W78" t="s">
        <v>4175</v>
      </c>
    </row>
    <row r="79" spans="1:23" s="17" customFormat="1" ht="30" customHeight="1">
      <c r="A79" s="1">
        <v>1</v>
      </c>
      <c r="B79" s="13">
        <v>6738</v>
      </c>
      <c r="C79" s="9" t="s">
        <v>146</v>
      </c>
      <c r="D79" s="10" t="s">
        <v>233</v>
      </c>
      <c r="E79" s="11" t="s">
        <v>255</v>
      </c>
      <c r="F79" s="13">
        <v>2400</v>
      </c>
      <c r="G79" s="13">
        <v>0</v>
      </c>
      <c r="H79" s="13">
        <v>0</v>
      </c>
      <c r="I79" s="13">
        <v>0</v>
      </c>
      <c r="J79" s="13">
        <v>0</v>
      </c>
      <c r="K79" s="13">
        <v>0</v>
      </c>
      <c r="L79" s="13">
        <v>0</v>
      </c>
      <c r="M79" s="13">
        <v>0</v>
      </c>
      <c r="N79" s="12">
        <f t="shared" ref="N79:N110" si="28">(SUM(G79:M79))</f>
        <v>0</v>
      </c>
      <c r="O79" s="13">
        <v>0</v>
      </c>
      <c r="P79" s="13">
        <v>0</v>
      </c>
      <c r="Q79" s="13">
        <v>0</v>
      </c>
      <c r="R79" s="14">
        <f t="shared" ref="R79:R110" si="29">(SUM(N79:Q79))</f>
        <v>0</v>
      </c>
      <c r="S79" s="13">
        <f t="shared" ref="S79:S103" si="30">R79+100</f>
        <v>100</v>
      </c>
      <c r="T79" s="13">
        <f t="shared" ref="T79:T103" si="31">R79+200</f>
        <v>200</v>
      </c>
      <c r="U79" s="13" t="s">
        <v>4181</v>
      </c>
      <c r="V79" s="15" t="s">
        <v>234</v>
      </c>
      <c r="W79" s="17" t="s">
        <v>78</v>
      </c>
    </row>
    <row r="80" spans="1:23" ht="30" customHeight="1">
      <c r="A80" s="1">
        <v>2</v>
      </c>
      <c r="B80" s="8">
        <v>6509</v>
      </c>
      <c r="C80" s="9" t="s">
        <v>253</v>
      </c>
      <c r="D80" s="10" t="s">
        <v>254</v>
      </c>
      <c r="E80" s="11" t="s">
        <v>255</v>
      </c>
      <c r="F80" s="8">
        <v>2400</v>
      </c>
      <c r="G80" s="8">
        <v>0</v>
      </c>
      <c r="H80" s="8">
        <v>0</v>
      </c>
      <c r="I80" s="8">
        <v>0</v>
      </c>
      <c r="J80" s="8">
        <v>0</v>
      </c>
      <c r="K80" s="8">
        <v>0</v>
      </c>
      <c r="L80" s="8">
        <v>0</v>
      </c>
      <c r="M80" s="8">
        <v>0</v>
      </c>
      <c r="N80" s="12">
        <f t="shared" si="28"/>
        <v>0</v>
      </c>
      <c r="O80" s="8">
        <v>0</v>
      </c>
      <c r="P80" s="13">
        <v>0</v>
      </c>
      <c r="Q80" s="13">
        <v>0</v>
      </c>
      <c r="R80" s="14">
        <f t="shared" si="29"/>
        <v>0</v>
      </c>
      <c r="S80" s="13">
        <f t="shared" si="30"/>
        <v>100</v>
      </c>
      <c r="T80" s="13">
        <f t="shared" si="31"/>
        <v>200</v>
      </c>
      <c r="U80" s="13" t="s">
        <v>4181</v>
      </c>
      <c r="V80" s="15" t="s">
        <v>256</v>
      </c>
      <c r="W80" t="s">
        <v>257</v>
      </c>
    </row>
    <row r="81" spans="1:23" ht="30" customHeight="1">
      <c r="A81" s="1">
        <v>3</v>
      </c>
      <c r="B81" s="8">
        <v>6530</v>
      </c>
      <c r="C81" s="9" t="s">
        <v>258</v>
      </c>
      <c r="D81" s="10" t="s">
        <v>259</v>
      </c>
      <c r="E81" s="11" t="s">
        <v>255</v>
      </c>
      <c r="F81" s="8">
        <v>2200</v>
      </c>
      <c r="G81" s="8">
        <v>0</v>
      </c>
      <c r="H81" s="8">
        <v>0</v>
      </c>
      <c r="I81" s="8">
        <v>0</v>
      </c>
      <c r="J81" s="8">
        <v>0</v>
      </c>
      <c r="K81" s="8">
        <v>0</v>
      </c>
      <c r="L81" s="8">
        <v>0</v>
      </c>
      <c r="M81" s="8">
        <v>0</v>
      </c>
      <c r="N81" s="12">
        <f t="shared" si="28"/>
        <v>0</v>
      </c>
      <c r="O81" s="8">
        <v>2200</v>
      </c>
      <c r="P81" s="13">
        <v>0</v>
      </c>
      <c r="Q81" s="13">
        <v>0</v>
      </c>
      <c r="R81" s="14">
        <f t="shared" si="29"/>
        <v>2200</v>
      </c>
      <c r="S81" s="13">
        <f t="shared" si="30"/>
        <v>2300</v>
      </c>
      <c r="T81" s="13">
        <f t="shared" si="31"/>
        <v>2400</v>
      </c>
      <c r="U81" s="13" t="s">
        <v>4181</v>
      </c>
      <c r="V81" s="15" t="s">
        <v>260</v>
      </c>
      <c r="W81" t="s">
        <v>257</v>
      </c>
    </row>
    <row r="82" spans="1:23" ht="30" customHeight="1">
      <c r="A82" s="1">
        <v>4</v>
      </c>
      <c r="B82" s="8">
        <v>6531</v>
      </c>
      <c r="C82" s="9" t="s">
        <v>214</v>
      </c>
      <c r="D82" s="10" t="s">
        <v>122</v>
      </c>
      <c r="E82" s="11" t="s">
        <v>255</v>
      </c>
      <c r="F82" s="8">
        <v>2400</v>
      </c>
      <c r="G82" s="8">
        <v>0</v>
      </c>
      <c r="H82" s="8">
        <v>0</v>
      </c>
      <c r="I82" s="8">
        <v>0</v>
      </c>
      <c r="J82" s="8">
        <v>0</v>
      </c>
      <c r="K82" s="8">
        <v>0</v>
      </c>
      <c r="L82" s="8">
        <v>0</v>
      </c>
      <c r="M82" s="8">
        <v>0</v>
      </c>
      <c r="N82" s="12">
        <f t="shared" si="28"/>
        <v>0</v>
      </c>
      <c r="O82" s="8">
        <v>0</v>
      </c>
      <c r="P82" s="13">
        <v>0</v>
      </c>
      <c r="Q82" s="13">
        <v>0</v>
      </c>
      <c r="R82" s="14">
        <f t="shared" si="29"/>
        <v>0</v>
      </c>
      <c r="S82" s="13">
        <f t="shared" si="30"/>
        <v>100</v>
      </c>
      <c r="T82" s="13">
        <f t="shared" si="31"/>
        <v>200</v>
      </c>
      <c r="U82" s="13" t="s">
        <v>4181</v>
      </c>
      <c r="V82" s="15" t="s">
        <v>261</v>
      </c>
    </row>
    <row r="83" spans="1:23" ht="30" customHeight="1">
      <c r="A83" s="1">
        <v>5</v>
      </c>
      <c r="B83" s="8">
        <v>6533</v>
      </c>
      <c r="C83" s="9" t="s">
        <v>265</v>
      </c>
      <c r="D83" s="10" t="s">
        <v>266</v>
      </c>
      <c r="E83" s="11" t="s">
        <v>255</v>
      </c>
      <c r="F83" s="8">
        <v>1400</v>
      </c>
      <c r="G83" s="8">
        <v>0</v>
      </c>
      <c r="H83" s="8">
        <v>0</v>
      </c>
      <c r="I83" s="8">
        <v>0</v>
      </c>
      <c r="J83" s="8">
        <v>0</v>
      </c>
      <c r="K83" s="8">
        <v>0</v>
      </c>
      <c r="L83" s="8">
        <v>0</v>
      </c>
      <c r="M83" s="8">
        <v>0</v>
      </c>
      <c r="N83" s="12">
        <f t="shared" si="28"/>
        <v>0</v>
      </c>
      <c r="O83" s="8">
        <v>0</v>
      </c>
      <c r="P83" s="13">
        <v>0</v>
      </c>
      <c r="Q83" s="13">
        <v>0</v>
      </c>
      <c r="R83" s="14">
        <f t="shared" si="29"/>
        <v>0</v>
      </c>
      <c r="S83" s="13">
        <f t="shared" si="30"/>
        <v>100</v>
      </c>
      <c r="T83" s="13">
        <f t="shared" si="31"/>
        <v>200</v>
      </c>
      <c r="U83" s="13" t="s">
        <v>4181</v>
      </c>
      <c r="V83" s="15" t="s">
        <v>267</v>
      </c>
    </row>
    <row r="84" spans="1:23" ht="30" customHeight="1">
      <c r="A84" s="1">
        <v>6</v>
      </c>
      <c r="B84" s="8">
        <v>6539</v>
      </c>
      <c r="C84" s="9" t="s">
        <v>271</v>
      </c>
      <c r="D84" s="10" t="s">
        <v>272</v>
      </c>
      <c r="E84" s="11" t="s">
        <v>255</v>
      </c>
      <c r="F84" s="8">
        <v>2400</v>
      </c>
      <c r="G84" s="8">
        <v>0</v>
      </c>
      <c r="H84" s="8">
        <v>0</v>
      </c>
      <c r="I84" s="8">
        <v>0</v>
      </c>
      <c r="J84" s="8">
        <v>0</v>
      </c>
      <c r="K84" s="8">
        <v>0</v>
      </c>
      <c r="L84" s="8">
        <v>0</v>
      </c>
      <c r="M84" s="8">
        <v>0</v>
      </c>
      <c r="N84" s="12">
        <f t="shared" si="28"/>
        <v>0</v>
      </c>
      <c r="O84" s="8">
        <v>0</v>
      </c>
      <c r="P84" s="13">
        <v>0</v>
      </c>
      <c r="Q84" s="13">
        <v>0</v>
      </c>
      <c r="R84" s="14">
        <f t="shared" si="29"/>
        <v>0</v>
      </c>
      <c r="S84" s="13">
        <f t="shared" si="30"/>
        <v>100</v>
      </c>
      <c r="T84" s="13">
        <f t="shared" si="31"/>
        <v>200</v>
      </c>
      <c r="U84" s="13" t="s">
        <v>4181</v>
      </c>
      <c r="V84" s="15" t="s">
        <v>273</v>
      </c>
      <c r="W84" t="s">
        <v>274</v>
      </c>
    </row>
    <row r="85" spans="1:23" ht="30" customHeight="1">
      <c r="A85" s="1">
        <v>7</v>
      </c>
      <c r="B85" s="8">
        <v>6545</v>
      </c>
      <c r="C85" s="9" t="s">
        <v>275</v>
      </c>
      <c r="D85" s="10" t="s">
        <v>276</v>
      </c>
      <c r="E85" s="11" t="s">
        <v>255</v>
      </c>
      <c r="F85" s="8">
        <v>1400</v>
      </c>
      <c r="G85" s="8">
        <v>0</v>
      </c>
      <c r="H85" s="8">
        <v>0</v>
      </c>
      <c r="I85" s="8">
        <v>0</v>
      </c>
      <c r="J85" s="8">
        <v>0</v>
      </c>
      <c r="K85" s="8">
        <v>0</v>
      </c>
      <c r="L85" s="8">
        <v>0</v>
      </c>
      <c r="M85" s="8">
        <v>0</v>
      </c>
      <c r="N85" s="12">
        <f t="shared" si="28"/>
        <v>0</v>
      </c>
      <c r="O85" s="8">
        <v>1400</v>
      </c>
      <c r="P85" s="13">
        <v>0</v>
      </c>
      <c r="Q85" s="13">
        <v>0</v>
      </c>
      <c r="R85" s="14">
        <f t="shared" si="29"/>
        <v>1400</v>
      </c>
      <c r="S85" s="13">
        <f t="shared" si="30"/>
        <v>1500</v>
      </c>
      <c r="T85" s="13">
        <f t="shared" si="31"/>
        <v>1600</v>
      </c>
      <c r="U85" s="13" t="s">
        <v>4181</v>
      </c>
      <c r="V85" s="15" t="s">
        <v>277</v>
      </c>
    </row>
    <row r="86" spans="1:23" ht="30" customHeight="1">
      <c r="A86" s="1">
        <v>8</v>
      </c>
      <c r="B86" s="8">
        <v>6546</v>
      </c>
      <c r="C86" s="9" t="s">
        <v>278</v>
      </c>
      <c r="D86" s="10" t="s">
        <v>279</v>
      </c>
      <c r="E86" s="11" t="s">
        <v>255</v>
      </c>
      <c r="F86" s="8">
        <v>1400</v>
      </c>
      <c r="G86" s="8">
        <v>0</v>
      </c>
      <c r="H86" s="8">
        <v>0</v>
      </c>
      <c r="I86" s="8">
        <v>0</v>
      </c>
      <c r="J86" s="8">
        <v>0</v>
      </c>
      <c r="K86" s="8">
        <v>0</v>
      </c>
      <c r="L86" s="8">
        <v>0</v>
      </c>
      <c r="M86" s="8">
        <v>0</v>
      </c>
      <c r="N86" s="12">
        <f t="shared" si="28"/>
        <v>0</v>
      </c>
      <c r="O86" s="8">
        <v>1400</v>
      </c>
      <c r="P86" s="13">
        <v>0</v>
      </c>
      <c r="Q86" s="13">
        <v>0</v>
      </c>
      <c r="R86" s="14">
        <f t="shared" si="29"/>
        <v>1400</v>
      </c>
      <c r="S86" s="13">
        <f t="shared" si="30"/>
        <v>1500</v>
      </c>
      <c r="T86" s="13">
        <f t="shared" si="31"/>
        <v>1600</v>
      </c>
      <c r="U86" s="13" t="s">
        <v>4181</v>
      </c>
      <c r="V86" s="15">
        <v>3188300825</v>
      </c>
    </row>
    <row r="87" spans="1:23" ht="30" customHeight="1">
      <c r="A87" s="1">
        <v>9</v>
      </c>
      <c r="B87" s="8">
        <v>6554</v>
      </c>
      <c r="C87" s="9" t="s">
        <v>280</v>
      </c>
      <c r="D87" s="10" t="s">
        <v>281</v>
      </c>
      <c r="E87" s="11" t="s">
        <v>255</v>
      </c>
      <c r="F87" s="8">
        <v>1700</v>
      </c>
      <c r="G87" s="8">
        <v>0</v>
      </c>
      <c r="H87" s="8">
        <v>0</v>
      </c>
      <c r="I87" s="8">
        <v>0</v>
      </c>
      <c r="J87" s="8">
        <v>0</v>
      </c>
      <c r="K87" s="8">
        <v>0</v>
      </c>
      <c r="L87" s="8">
        <v>0</v>
      </c>
      <c r="M87" s="8">
        <v>0</v>
      </c>
      <c r="N87" s="12">
        <f t="shared" si="28"/>
        <v>0</v>
      </c>
      <c r="O87" s="8">
        <v>0</v>
      </c>
      <c r="P87" s="13">
        <v>0</v>
      </c>
      <c r="Q87" s="13">
        <v>0</v>
      </c>
      <c r="R87" s="14">
        <f t="shared" si="29"/>
        <v>0</v>
      </c>
      <c r="S87" s="13">
        <f t="shared" si="30"/>
        <v>100</v>
      </c>
      <c r="T87" s="13">
        <f t="shared" si="31"/>
        <v>200</v>
      </c>
      <c r="U87" s="13" t="s">
        <v>4181</v>
      </c>
      <c r="V87" s="15" t="s">
        <v>282</v>
      </c>
    </row>
    <row r="88" spans="1:23" ht="30" customHeight="1">
      <c r="A88" s="1">
        <v>10</v>
      </c>
      <c r="B88" s="8">
        <v>6555</v>
      </c>
      <c r="C88" s="9" t="s">
        <v>283</v>
      </c>
      <c r="D88" s="10" t="s">
        <v>186</v>
      </c>
      <c r="E88" s="11" t="s">
        <v>255</v>
      </c>
      <c r="F88" s="8">
        <v>1900</v>
      </c>
      <c r="G88" s="8">
        <v>0</v>
      </c>
      <c r="H88" s="8">
        <v>0</v>
      </c>
      <c r="I88" s="8">
        <v>0</v>
      </c>
      <c r="J88" s="8">
        <v>0</v>
      </c>
      <c r="K88" s="8">
        <v>0</v>
      </c>
      <c r="L88" s="8">
        <v>0</v>
      </c>
      <c r="M88" s="8">
        <v>0</v>
      </c>
      <c r="N88" s="12">
        <f t="shared" si="28"/>
        <v>0</v>
      </c>
      <c r="O88" s="8">
        <v>0</v>
      </c>
      <c r="P88" s="13">
        <v>0</v>
      </c>
      <c r="Q88" s="13">
        <v>0</v>
      </c>
      <c r="R88" s="14">
        <f t="shared" si="29"/>
        <v>0</v>
      </c>
      <c r="S88" s="13">
        <f t="shared" si="30"/>
        <v>100</v>
      </c>
      <c r="T88" s="13">
        <f t="shared" si="31"/>
        <v>200</v>
      </c>
      <c r="U88" s="13" t="s">
        <v>4181</v>
      </c>
      <c r="V88" s="15" t="s">
        <v>284</v>
      </c>
    </row>
    <row r="89" spans="1:23" ht="30" customHeight="1">
      <c r="A89" s="1">
        <v>11</v>
      </c>
      <c r="B89" s="8">
        <v>6556</v>
      </c>
      <c r="C89" s="9" t="s">
        <v>146</v>
      </c>
      <c r="D89" s="10" t="s">
        <v>285</v>
      </c>
      <c r="E89" s="11" t="s">
        <v>255</v>
      </c>
      <c r="F89" s="8">
        <v>2400</v>
      </c>
      <c r="G89" s="8">
        <v>0</v>
      </c>
      <c r="H89" s="8">
        <v>0</v>
      </c>
      <c r="I89" s="8">
        <v>0</v>
      </c>
      <c r="J89" s="8">
        <v>0</v>
      </c>
      <c r="K89" s="8">
        <v>0</v>
      </c>
      <c r="L89" s="8">
        <v>0</v>
      </c>
      <c r="M89" s="8">
        <v>0</v>
      </c>
      <c r="N89" s="12">
        <f t="shared" si="28"/>
        <v>0</v>
      </c>
      <c r="O89" s="8">
        <v>0</v>
      </c>
      <c r="P89" s="13">
        <v>0</v>
      </c>
      <c r="Q89" s="13">
        <v>0</v>
      </c>
      <c r="R89" s="14">
        <f t="shared" si="29"/>
        <v>0</v>
      </c>
      <c r="S89" s="13">
        <f t="shared" si="30"/>
        <v>100</v>
      </c>
      <c r="T89" s="13">
        <f t="shared" si="31"/>
        <v>200</v>
      </c>
      <c r="U89" s="13" t="s">
        <v>4181</v>
      </c>
      <c r="V89" s="15" t="s">
        <v>286</v>
      </c>
      <c r="W89" t="s">
        <v>287</v>
      </c>
    </row>
    <row r="90" spans="1:23" ht="30" customHeight="1">
      <c r="A90" s="1">
        <v>12</v>
      </c>
      <c r="B90" s="8">
        <v>6557</v>
      </c>
      <c r="C90" s="9" t="s">
        <v>288</v>
      </c>
      <c r="D90" s="10" t="s">
        <v>45</v>
      </c>
      <c r="E90" s="11" t="s">
        <v>255</v>
      </c>
      <c r="F90" s="8">
        <v>1900</v>
      </c>
      <c r="G90" s="8">
        <v>0</v>
      </c>
      <c r="H90" s="8">
        <v>0</v>
      </c>
      <c r="I90" s="8">
        <v>0</v>
      </c>
      <c r="J90" s="8">
        <v>0</v>
      </c>
      <c r="K90" s="8">
        <v>0</v>
      </c>
      <c r="L90" s="8">
        <v>0</v>
      </c>
      <c r="M90" s="8">
        <v>0</v>
      </c>
      <c r="N90" s="12">
        <f t="shared" si="28"/>
        <v>0</v>
      </c>
      <c r="O90" s="8">
        <v>0</v>
      </c>
      <c r="P90" s="13">
        <v>0</v>
      </c>
      <c r="Q90" s="13">
        <v>0</v>
      </c>
      <c r="R90" s="14">
        <f t="shared" si="29"/>
        <v>0</v>
      </c>
      <c r="S90" s="13">
        <f t="shared" si="30"/>
        <v>100</v>
      </c>
      <c r="T90" s="13">
        <f t="shared" si="31"/>
        <v>200</v>
      </c>
      <c r="U90" s="13" t="s">
        <v>4181</v>
      </c>
      <c r="V90" s="15" t="s">
        <v>289</v>
      </c>
    </row>
    <row r="91" spans="1:23" ht="30" customHeight="1">
      <c r="A91" s="1">
        <v>13</v>
      </c>
      <c r="B91" s="8">
        <v>6558</v>
      </c>
      <c r="C91" s="9" t="s">
        <v>290</v>
      </c>
      <c r="D91" s="10" t="s">
        <v>110</v>
      </c>
      <c r="E91" s="11" t="s">
        <v>255</v>
      </c>
      <c r="F91" s="8">
        <v>1400</v>
      </c>
      <c r="G91" s="8">
        <v>0</v>
      </c>
      <c r="H91" s="8">
        <v>0</v>
      </c>
      <c r="I91" s="8">
        <v>0</v>
      </c>
      <c r="J91" s="8">
        <v>0</v>
      </c>
      <c r="K91" s="8">
        <v>0</v>
      </c>
      <c r="L91" s="8">
        <v>0</v>
      </c>
      <c r="M91" s="8">
        <v>0</v>
      </c>
      <c r="N91" s="12">
        <f t="shared" si="28"/>
        <v>0</v>
      </c>
      <c r="O91" s="8">
        <v>400</v>
      </c>
      <c r="P91" s="13">
        <v>0</v>
      </c>
      <c r="Q91" s="13">
        <v>2000</v>
      </c>
      <c r="R91" s="14">
        <f t="shared" si="29"/>
        <v>2400</v>
      </c>
      <c r="S91" s="13">
        <f t="shared" si="30"/>
        <v>2500</v>
      </c>
      <c r="T91" s="13">
        <f t="shared" si="31"/>
        <v>2600</v>
      </c>
      <c r="U91" s="13" t="s">
        <v>4181</v>
      </c>
      <c r="V91" s="15" t="s">
        <v>291</v>
      </c>
    </row>
    <row r="92" spans="1:23" ht="30" customHeight="1">
      <c r="A92" s="1">
        <v>14</v>
      </c>
      <c r="B92" s="8">
        <v>6559</v>
      </c>
      <c r="C92" s="9" t="s">
        <v>292</v>
      </c>
      <c r="D92" s="10" t="s">
        <v>293</v>
      </c>
      <c r="E92" s="11" t="s">
        <v>255</v>
      </c>
      <c r="F92" s="8">
        <v>1400</v>
      </c>
      <c r="G92" s="8">
        <v>0</v>
      </c>
      <c r="H92" s="8">
        <v>0</v>
      </c>
      <c r="I92" s="8">
        <v>0</v>
      </c>
      <c r="J92" s="8">
        <v>0</v>
      </c>
      <c r="K92" s="8">
        <v>0</v>
      </c>
      <c r="L92" s="8">
        <v>0</v>
      </c>
      <c r="M92" s="8">
        <v>0</v>
      </c>
      <c r="N92" s="12">
        <f t="shared" si="28"/>
        <v>0</v>
      </c>
      <c r="O92" s="8">
        <v>0</v>
      </c>
      <c r="P92" s="13">
        <v>0</v>
      </c>
      <c r="Q92" s="13">
        <v>1400</v>
      </c>
      <c r="R92" s="14">
        <f t="shared" si="29"/>
        <v>1400</v>
      </c>
      <c r="S92" s="13">
        <f t="shared" si="30"/>
        <v>1500</v>
      </c>
      <c r="T92" s="13">
        <f t="shared" si="31"/>
        <v>1600</v>
      </c>
      <c r="U92" s="13" t="s">
        <v>4181</v>
      </c>
      <c r="V92" s="15" t="s">
        <v>291</v>
      </c>
    </row>
    <row r="93" spans="1:23" ht="30" customHeight="1">
      <c r="A93" s="1">
        <v>15</v>
      </c>
      <c r="B93" s="8">
        <v>6561</v>
      </c>
      <c r="C93" s="9" t="s">
        <v>294</v>
      </c>
      <c r="D93" s="10" t="s">
        <v>295</v>
      </c>
      <c r="E93" s="11" t="s">
        <v>255</v>
      </c>
      <c r="F93" s="8">
        <v>2200</v>
      </c>
      <c r="G93" s="8">
        <v>0</v>
      </c>
      <c r="H93" s="8">
        <v>0</v>
      </c>
      <c r="I93" s="8">
        <v>0</v>
      </c>
      <c r="J93" s="8">
        <v>0</v>
      </c>
      <c r="K93" s="8">
        <v>0</v>
      </c>
      <c r="L93" s="8">
        <v>0</v>
      </c>
      <c r="M93" s="8">
        <v>0</v>
      </c>
      <c r="N93" s="12">
        <f t="shared" si="28"/>
        <v>0</v>
      </c>
      <c r="O93" s="8">
        <v>0</v>
      </c>
      <c r="P93" s="13">
        <v>0</v>
      </c>
      <c r="Q93" s="13">
        <v>0</v>
      </c>
      <c r="R93" s="14">
        <f t="shared" si="29"/>
        <v>0</v>
      </c>
      <c r="S93" s="13">
        <f t="shared" si="30"/>
        <v>100</v>
      </c>
      <c r="T93" s="13">
        <f t="shared" si="31"/>
        <v>200</v>
      </c>
      <c r="U93" s="13" t="s">
        <v>4181</v>
      </c>
      <c r="V93" s="15" t="s">
        <v>296</v>
      </c>
    </row>
    <row r="94" spans="1:23" ht="30" customHeight="1">
      <c r="A94" s="1">
        <v>16</v>
      </c>
      <c r="B94" s="8">
        <v>6562</v>
      </c>
      <c r="C94" s="9" t="s">
        <v>297</v>
      </c>
      <c r="D94" s="10" t="s">
        <v>298</v>
      </c>
      <c r="E94" s="11" t="s">
        <v>255</v>
      </c>
      <c r="F94" s="8">
        <v>1100</v>
      </c>
      <c r="G94" s="8">
        <v>0</v>
      </c>
      <c r="H94" s="8">
        <v>0</v>
      </c>
      <c r="I94" s="8">
        <v>0</v>
      </c>
      <c r="J94" s="8">
        <v>0</v>
      </c>
      <c r="K94" s="8">
        <v>0</v>
      </c>
      <c r="L94" s="8">
        <v>0</v>
      </c>
      <c r="M94" s="8">
        <v>0</v>
      </c>
      <c r="N94" s="12">
        <f t="shared" si="28"/>
        <v>0</v>
      </c>
      <c r="O94" s="8">
        <v>0</v>
      </c>
      <c r="P94" s="13">
        <v>0</v>
      </c>
      <c r="Q94" s="13">
        <v>0</v>
      </c>
      <c r="R94" s="14">
        <f t="shared" si="29"/>
        <v>0</v>
      </c>
      <c r="S94" s="13">
        <f t="shared" si="30"/>
        <v>100</v>
      </c>
      <c r="T94" s="13">
        <f t="shared" si="31"/>
        <v>200</v>
      </c>
      <c r="U94" s="13" t="s">
        <v>4181</v>
      </c>
      <c r="V94" s="15" t="s">
        <v>299</v>
      </c>
      <c r="W94" t="s">
        <v>300</v>
      </c>
    </row>
    <row r="95" spans="1:23" ht="30" customHeight="1">
      <c r="A95" s="1">
        <v>17</v>
      </c>
      <c r="B95" s="8">
        <v>6563</v>
      </c>
      <c r="C95" s="9" t="s">
        <v>301</v>
      </c>
      <c r="D95" s="10" t="s">
        <v>302</v>
      </c>
      <c r="E95" s="11" t="s">
        <v>255</v>
      </c>
      <c r="F95" s="8">
        <v>0</v>
      </c>
      <c r="G95" s="8">
        <v>0</v>
      </c>
      <c r="H95" s="8">
        <v>0</v>
      </c>
      <c r="I95" s="8">
        <v>0</v>
      </c>
      <c r="J95" s="8">
        <v>0</v>
      </c>
      <c r="K95" s="8">
        <v>0</v>
      </c>
      <c r="L95" s="8">
        <v>0</v>
      </c>
      <c r="M95" s="8">
        <v>0</v>
      </c>
      <c r="N95" s="12">
        <f t="shared" si="28"/>
        <v>0</v>
      </c>
      <c r="O95" s="8">
        <v>0</v>
      </c>
      <c r="P95" s="13">
        <v>0</v>
      </c>
      <c r="Q95" s="13">
        <v>3000</v>
      </c>
      <c r="R95" s="14">
        <f t="shared" si="29"/>
        <v>3000</v>
      </c>
      <c r="S95" s="13">
        <f t="shared" si="30"/>
        <v>3100</v>
      </c>
      <c r="T95" s="13">
        <f t="shared" si="31"/>
        <v>3200</v>
      </c>
      <c r="U95" s="13" t="s">
        <v>4181</v>
      </c>
      <c r="V95" s="15" t="s">
        <v>303</v>
      </c>
    </row>
    <row r="96" spans="1:23" ht="30" customHeight="1">
      <c r="A96" s="1">
        <v>18</v>
      </c>
      <c r="B96" s="8">
        <v>6564</v>
      </c>
      <c r="C96" s="9" t="s">
        <v>304</v>
      </c>
      <c r="D96" s="10" t="s">
        <v>305</v>
      </c>
      <c r="E96" s="11" t="s">
        <v>255</v>
      </c>
      <c r="F96" s="8">
        <v>1900</v>
      </c>
      <c r="G96" s="8">
        <v>0</v>
      </c>
      <c r="H96" s="8">
        <v>0</v>
      </c>
      <c r="I96" s="8">
        <v>0</v>
      </c>
      <c r="J96" s="8">
        <v>0</v>
      </c>
      <c r="K96" s="8">
        <v>0</v>
      </c>
      <c r="L96" s="8">
        <v>0</v>
      </c>
      <c r="M96" s="8">
        <v>0</v>
      </c>
      <c r="N96" s="12">
        <f t="shared" si="28"/>
        <v>0</v>
      </c>
      <c r="O96" s="8">
        <v>0</v>
      </c>
      <c r="P96" s="13">
        <v>0</v>
      </c>
      <c r="Q96" s="13">
        <v>0</v>
      </c>
      <c r="R96" s="14">
        <f t="shared" si="29"/>
        <v>0</v>
      </c>
      <c r="S96" s="13">
        <f t="shared" si="30"/>
        <v>100</v>
      </c>
      <c r="T96" s="13">
        <f t="shared" si="31"/>
        <v>200</v>
      </c>
      <c r="U96" s="13" t="s">
        <v>4181</v>
      </c>
      <c r="V96" s="15" t="s">
        <v>3909</v>
      </c>
    </row>
    <row r="97" spans="1:23" ht="30" customHeight="1">
      <c r="A97" s="1">
        <v>19</v>
      </c>
      <c r="B97" s="8">
        <v>6570</v>
      </c>
      <c r="C97" s="9" t="s">
        <v>306</v>
      </c>
      <c r="D97" s="10" t="s">
        <v>307</v>
      </c>
      <c r="E97" s="11" t="s">
        <v>255</v>
      </c>
      <c r="F97" s="8">
        <v>2200</v>
      </c>
      <c r="G97" s="8">
        <v>0</v>
      </c>
      <c r="H97" s="8">
        <v>0</v>
      </c>
      <c r="I97" s="8">
        <v>0</v>
      </c>
      <c r="J97" s="8">
        <v>0</v>
      </c>
      <c r="K97" s="8">
        <v>0</v>
      </c>
      <c r="L97" s="8">
        <v>0</v>
      </c>
      <c r="M97" s="8">
        <v>0</v>
      </c>
      <c r="N97" s="12">
        <f t="shared" si="28"/>
        <v>0</v>
      </c>
      <c r="O97" s="8">
        <v>0</v>
      </c>
      <c r="P97" s="13">
        <v>0</v>
      </c>
      <c r="Q97" s="13">
        <v>0</v>
      </c>
      <c r="R97" s="14">
        <f t="shared" si="29"/>
        <v>0</v>
      </c>
      <c r="S97" s="13">
        <f t="shared" si="30"/>
        <v>100</v>
      </c>
      <c r="T97" s="13">
        <f t="shared" si="31"/>
        <v>200</v>
      </c>
      <c r="U97" s="13" t="s">
        <v>4181</v>
      </c>
      <c r="V97" s="15" t="s">
        <v>308</v>
      </c>
      <c r="W97" t="s">
        <v>309</v>
      </c>
    </row>
    <row r="98" spans="1:23" ht="30" customHeight="1">
      <c r="A98" s="1">
        <v>20</v>
      </c>
      <c r="B98" s="8">
        <v>6575</v>
      </c>
      <c r="C98" s="9" t="s">
        <v>271</v>
      </c>
      <c r="D98" s="10" t="s">
        <v>310</v>
      </c>
      <c r="E98" s="11" t="s">
        <v>255</v>
      </c>
      <c r="F98" s="8">
        <v>200</v>
      </c>
      <c r="G98" s="8">
        <v>0</v>
      </c>
      <c r="H98" s="8">
        <v>0</v>
      </c>
      <c r="I98" s="8">
        <v>0</v>
      </c>
      <c r="J98" s="8">
        <v>0</v>
      </c>
      <c r="K98" s="8">
        <v>0</v>
      </c>
      <c r="L98" s="8">
        <v>0</v>
      </c>
      <c r="M98" s="8">
        <v>0</v>
      </c>
      <c r="N98" s="12">
        <f t="shared" si="28"/>
        <v>0</v>
      </c>
      <c r="O98" s="8">
        <v>0</v>
      </c>
      <c r="P98" s="13">
        <v>0</v>
      </c>
      <c r="Q98" s="13">
        <v>0</v>
      </c>
      <c r="R98" s="14">
        <f t="shared" si="29"/>
        <v>0</v>
      </c>
      <c r="S98" s="13">
        <f t="shared" si="30"/>
        <v>100</v>
      </c>
      <c r="T98" s="13">
        <f t="shared" si="31"/>
        <v>200</v>
      </c>
      <c r="U98" s="13" t="s">
        <v>4181</v>
      </c>
      <c r="V98" s="15" t="s">
        <v>311</v>
      </c>
    </row>
    <row r="99" spans="1:23" ht="30" customHeight="1">
      <c r="A99" s="1">
        <v>21</v>
      </c>
      <c r="B99" s="8">
        <v>6576</v>
      </c>
      <c r="C99" s="9" t="s">
        <v>312</v>
      </c>
      <c r="D99" s="10" t="s">
        <v>313</v>
      </c>
      <c r="E99" s="11" t="s">
        <v>255</v>
      </c>
      <c r="F99" s="8">
        <v>2400</v>
      </c>
      <c r="G99" s="8">
        <v>0</v>
      </c>
      <c r="H99" s="8">
        <v>0</v>
      </c>
      <c r="I99" s="8">
        <v>0</v>
      </c>
      <c r="J99" s="8">
        <v>0</v>
      </c>
      <c r="K99" s="8">
        <v>0</v>
      </c>
      <c r="L99" s="8">
        <v>0</v>
      </c>
      <c r="M99" s="8">
        <v>0</v>
      </c>
      <c r="N99" s="12">
        <f t="shared" si="28"/>
        <v>0</v>
      </c>
      <c r="O99" s="8">
        <v>0</v>
      </c>
      <c r="P99" s="13">
        <v>0</v>
      </c>
      <c r="Q99" s="13">
        <v>0</v>
      </c>
      <c r="R99" s="14">
        <f t="shared" si="29"/>
        <v>0</v>
      </c>
      <c r="S99" s="13">
        <f t="shared" si="30"/>
        <v>100</v>
      </c>
      <c r="T99" s="13">
        <f t="shared" si="31"/>
        <v>200</v>
      </c>
      <c r="U99" s="13" t="s">
        <v>4181</v>
      </c>
      <c r="V99" s="15" t="s">
        <v>314</v>
      </c>
      <c r="W99" t="s">
        <v>4182</v>
      </c>
    </row>
    <row r="100" spans="1:23" ht="30" customHeight="1">
      <c r="A100" s="1">
        <v>22</v>
      </c>
      <c r="B100" s="8">
        <v>6580</v>
      </c>
      <c r="C100" s="9" t="s">
        <v>315</v>
      </c>
      <c r="D100" s="10" t="s">
        <v>316</v>
      </c>
      <c r="E100" s="11" t="s">
        <v>255</v>
      </c>
      <c r="F100" s="8">
        <v>2400</v>
      </c>
      <c r="G100" s="8">
        <v>0</v>
      </c>
      <c r="H100" s="8">
        <v>0</v>
      </c>
      <c r="I100" s="8">
        <v>0</v>
      </c>
      <c r="J100" s="8">
        <v>0</v>
      </c>
      <c r="K100" s="8">
        <v>0</v>
      </c>
      <c r="L100" s="8">
        <v>0</v>
      </c>
      <c r="M100" s="8">
        <v>0</v>
      </c>
      <c r="N100" s="12">
        <f t="shared" si="28"/>
        <v>0</v>
      </c>
      <c r="O100" s="8">
        <v>2400</v>
      </c>
      <c r="P100" s="13">
        <v>0</v>
      </c>
      <c r="Q100" s="13">
        <v>0</v>
      </c>
      <c r="R100" s="14">
        <f t="shared" si="29"/>
        <v>2400</v>
      </c>
      <c r="S100" s="13">
        <f t="shared" si="30"/>
        <v>2500</v>
      </c>
      <c r="T100" s="13">
        <f t="shared" si="31"/>
        <v>2600</v>
      </c>
      <c r="U100" s="13" t="s">
        <v>4181</v>
      </c>
      <c r="V100" s="15" t="s">
        <v>317</v>
      </c>
      <c r="W100" t="s">
        <v>318</v>
      </c>
    </row>
    <row r="101" spans="1:23" ht="30" customHeight="1">
      <c r="A101" s="1">
        <v>23</v>
      </c>
      <c r="B101" s="19">
        <v>6627</v>
      </c>
      <c r="C101" s="20" t="s">
        <v>324</v>
      </c>
      <c r="D101" s="21" t="s">
        <v>325</v>
      </c>
      <c r="E101" s="11" t="s">
        <v>255</v>
      </c>
      <c r="F101" s="22">
        <v>1200</v>
      </c>
      <c r="G101" s="22">
        <v>0</v>
      </c>
      <c r="H101" s="22">
        <v>0</v>
      </c>
      <c r="I101" s="22">
        <v>0</v>
      </c>
      <c r="J101" s="22">
        <v>0</v>
      </c>
      <c r="K101" s="22">
        <v>0</v>
      </c>
      <c r="L101" s="22">
        <v>0</v>
      </c>
      <c r="M101" s="22">
        <v>0</v>
      </c>
      <c r="N101" s="12">
        <f t="shared" si="28"/>
        <v>0</v>
      </c>
      <c r="O101" s="22">
        <v>0</v>
      </c>
      <c r="P101" s="13">
        <v>0</v>
      </c>
      <c r="Q101" s="13">
        <v>0</v>
      </c>
      <c r="R101" s="14">
        <f t="shared" si="29"/>
        <v>0</v>
      </c>
      <c r="S101" s="13">
        <f t="shared" si="30"/>
        <v>100</v>
      </c>
      <c r="T101" s="13">
        <f t="shared" si="31"/>
        <v>200</v>
      </c>
      <c r="U101" s="13" t="s">
        <v>4181</v>
      </c>
      <c r="V101" s="23" t="s">
        <v>326</v>
      </c>
    </row>
    <row r="102" spans="1:23" s="17" customFormat="1" ht="30" customHeight="1">
      <c r="A102" s="1">
        <v>24</v>
      </c>
      <c r="B102" s="13">
        <v>6729</v>
      </c>
      <c r="C102" s="9" t="s">
        <v>334</v>
      </c>
      <c r="D102" s="10" t="s">
        <v>335</v>
      </c>
      <c r="E102" s="11" t="s">
        <v>255</v>
      </c>
      <c r="F102" s="13">
        <v>1200</v>
      </c>
      <c r="G102" s="13">
        <v>0</v>
      </c>
      <c r="H102" s="13">
        <v>0</v>
      </c>
      <c r="I102" s="13">
        <v>0</v>
      </c>
      <c r="J102" s="13">
        <v>0</v>
      </c>
      <c r="K102" s="13">
        <v>0</v>
      </c>
      <c r="L102" s="13">
        <v>0</v>
      </c>
      <c r="M102" s="13">
        <v>0</v>
      </c>
      <c r="N102" s="12">
        <f t="shared" si="28"/>
        <v>0</v>
      </c>
      <c r="O102" s="13">
        <v>0</v>
      </c>
      <c r="P102" s="13">
        <v>0</v>
      </c>
      <c r="Q102" s="13">
        <v>0</v>
      </c>
      <c r="R102" s="14">
        <f t="shared" si="29"/>
        <v>0</v>
      </c>
      <c r="S102" s="13">
        <f t="shared" si="30"/>
        <v>100</v>
      </c>
      <c r="T102" s="13">
        <f t="shared" si="31"/>
        <v>200</v>
      </c>
      <c r="U102" s="13" t="s">
        <v>4181</v>
      </c>
      <c r="V102" s="24" t="s">
        <v>336</v>
      </c>
      <c r="W102" s="17" t="s">
        <v>78</v>
      </c>
    </row>
    <row r="103" spans="1:23" s="17" customFormat="1" ht="30" customHeight="1">
      <c r="A103" s="1">
        <v>25</v>
      </c>
      <c r="B103" s="13">
        <v>6870</v>
      </c>
      <c r="C103" s="9" t="s">
        <v>4138</v>
      </c>
      <c r="D103" s="10" t="s">
        <v>514</v>
      </c>
      <c r="E103" s="11" t="s">
        <v>255</v>
      </c>
      <c r="F103" s="13">
        <v>2400</v>
      </c>
      <c r="G103" s="13">
        <v>0</v>
      </c>
      <c r="H103" s="13">
        <v>0</v>
      </c>
      <c r="I103" s="13">
        <v>0</v>
      </c>
      <c r="J103" s="13">
        <v>0</v>
      </c>
      <c r="K103" s="13">
        <v>0</v>
      </c>
      <c r="L103" s="13">
        <v>0</v>
      </c>
      <c r="M103" s="13">
        <v>0</v>
      </c>
      <c r="N103" s="12">
        <f t="shared" si="28"/>
        <v>0</v>
      </c>
      <c r="O103" s="13">
        <v>2400</v>
      </c>
      <c r="P103" s="13">
        <v>0</v>
      </c>
      <c r="Q103" s="13">
        <v>0</v>
      </c>
      <c r="R103" s="14">
        <f t="shared" si="29"/>
        <v>2400</v>
      </c>
      <c r="S103" s="13">
        <f t="shared" si="30"/>
        <v>2500</v>
      </c>
      <c r="T103" s="13">
        <f t="shared" si="31"/>
        <v>2600</v>
      </c>
      <c r="U103" s="13" t="s">
        <v>4181</v>
      </c>
      <c r="V103" s="24" t="s">
        <v>4140</v>
      </c>
      <c r="W103" s="17" t="s">
        <v>4141</v>
      </c>
    </row>
    <row r="104" spans="1:23" s="17" customFormat="1" ht="30" customHeight="1">
      <c r="A104" s="1">
        <v>26</v>
      </c>
      <c r="B104" s="13">
        <v>6874</v>
      </c>
      <c r="C104" s="9" t="s">
        <v>4152</v>
      </c>
      <c r="D104" s="10" t="s">
        <v>4153</v>
      </c>
      <c r="E104" s="288" t="s">
        <v>4158</v>
      </c>
      <c r="F104" s="13">
        <v>1200</v>
      </c>
      <c r="G104" s="13">
        <v>0</v>
      </c>
      <c r="H104" s="13">
        <v>0</v>
      </c>
      <c r="I104" s="13">
        <v>0</v>
      </c>
      <c r="J104" s="13">
        <v>0</v>
      </c>
      <c r="K104" s="13">
        <v>0</v>
      </c>
      <c r="L104" s="13">
        <v>0</v>
      </c>
      <c r="M104" s="13">
        <v>0</v>
      </c>
      <c r="N104" s="12">
        <f t="shared" si="28"/>
        <v>0</v>
      </c>
      <c r="O104" s="13">
        <v>0</v>
      </c>
      <c r="P104" s="13">
        <v>0</v>
      </c>
      <c r="Q104" s="13">
        <v>0</v>
      </c>
      <c r="R104" s="14">
        <f t="shared" si="29"/>
        <v>0</v>
      </c>
      <c r="S104" s="13">
        <f t="shared" ref="S104" si="32">R104+100</f>
        <v>100</v>
      </c>
      <c r="T104" s="13">
        <f t="shared" ref="T104" si="33">R104+200</f>
        <v>200</v>
      </c>
      <c r="U104" s="13" t="s">
        <v>4181</v>
      </c>
      <c r="V104" s="24" t="s">
        <v>4154</v>
      </c>
      <c r="W104" s="17" t="s">
        <v>4146</v>
      </c>
    </row>
    <row r="105" spans="1:23" ht="30" customHeight="1">
      <c r="A105" s="1">
        <v>1</v>
      </c>
      <c r="B105" s="13">
        <v>6252</v>
      </c>
      <c r="C105" s="9" t="s">
        <v>149</v>
      </c>
      <c r="D105" s="9" t="s">
        <v>150</v>
      </c>
      <c r="E105" s="11" t="s">
        <v>4057</v>
      </c>
      <c r="F105" s="13">
        <v>2400</v>
      </c>
      <c r="G105" s="13">
        <v>0</v>
      </c>
      <c r="H105" s="13">
        <v>0</v>
      </c>
      <c r="I105" s="13">
        <v>0</v>
      </c>
      <c r="J105" s="13">
        <v>0</v>
      </c>
      <c r="K105" s="13">
        <v>0</v>
      </c>
      <c r="L105" s="13">
        <v>0</v>
      </c>
      <c r="M105" s="13">
        <v>0</v>
      </c>
      <c r="N105" s="12">
        <f t="shared" si="28"/>
        <v>0</v>
      </c>
      <c r="O105" s="13">
        <v>0</v>
      </c>
      <c r="P105" s="13">
        <v>0</v>
      </c>
      <c r="Q105" s="13">
        <v>0</v>
      </c>
      <c r="R105" s="14">
        <f t="shared" si="29"/>
        <v>0</v>
      </c>
      <c r="S105" s="13">
        <f t="shared" ref="S105:S135" si="34">R105+100</f>
        <v>100</v>
      </c>
      <c r="T105" s="13">
        <f t="shared" ref="T105:T135" si="35">R105+200</f>
        <v>200</v>
      </c>
      <c r="U105" s="13" t="s">
        <v>4181</v>
      </c>
      <c r="V105" s="15" t="s">
        <v>151</v>
      </c>
    </row>
    <row r="106" spans="1:23" ht="30" customHeight="1">
      <c r="A106" s="1">
        <v>2</v>
      </c>
      <c r="B106" s="13">
        <v>6262</v>
      </c>
      <c r="C106" s="9" t="s">
        <v>152</v>
      </c>
      <c r="D106" s="9" t="s">
        <v>153</v>
      </c>
      <c r="E106" s="11" t="s">
        <v>4057</v>
      </c>
      <c r="F106" s="13">
        <v>1900</v>
      </c>
      <c r="G106" s="13">
        <v>0</v>
      </c>
      <c r="H106" s="13">
        <v>0</v>
      </c>
      <c r="I106" s="13">
        <v>0</v>
      </c>
      <c r="J106" s="13">
        <v>0</v>
      </c>
      <c r="K106" s="13">
        <v>0</v>
      </c>
      <c r="L106" s="13">
        <v>0</v>
      </c>
      <c r="M106" s="13">
        <v>0</v>
      </c>
      <c r="N106" s="12">
        <f t="shared" si="28"/>
        <v>0</v>
      </c>
      <c r="O106" s="13">
        <v>0</v>
      </c>
      <c r="P106" s="13">
        <v>0</v>
      </c>
      <c r="Q106" s="13">
        <v>0</v>
      </c>
      <c r="R106" s="14">
        <f t="shared" si="29"/>
        <v>0</v>
      </c>
      <c r="S106" s="13">
        <f t="shared" si="34"/>
        <v>100</v>
      </c>
      <c r="T106" s="13">
        <f t="shared" si="35"/>
        <v>200</v>
      </c>
      <c r="U106" s="13" t="s">
        <v>4181</v>
      </c>
      <c r="V106" s="15" t="s">
        <v>154</v>
      </c>
    </row>
    <row r="107" spans="1:23" ht="30" customHeight="1">
      <c r="A107" s="1">
        <v>3</v>
      </c>
      <c r="B107" s="13">
        <v>6279</v>
      </c>
      <c r="C107" s="9" t="s">
        <v>155</v>
      </c>
      <c r="D107" s="9" t="s">
        <v>156</v>
      </c>
      <c r="E107" s="11" t="s">
        <v>4057</v>
      </c>
      <c r="F107" s="13">
        <v>2400</v>
      </c>
      <c r="G107" s="13">
        <v>0</v>
      </c>
      <c r="H107" s="13">
        <v>0</v>
      </c>
      <c r="I107" s="13">
        <v>0</v>
      </c>
      <c r="J107" s="13">
        <v>0</v>
      </c>
      <c r="K107" s="13">
        <v>0</v>
      </c>
      <c r="L107" s="13">
        <v>0</v>
      </c>
      <c r="M107" s="13">
        <v>0</v>
      </c>
      <c r="N107" s="12">
        <f t="shared" si="28"/>
        <v>0</v>
      </c>
      <c r="O107" s="13">
        <v>0</v>
      </c>
      <c r="P107" s="13">
        <v>0</v>
      </c>
      <c r="Q107" s="13">
        <v>0</v>
      </c>
      <c r="R107" s="14">
        <f t="shared" si="29"/>
        <v>0</v>
      </c>
      <c r="S107" s="13">
        <f t="shared" si="34"/>
        <v>100</v>
      </c>
      <c r="T107" s="13">
        <f t="shared" si="35"/>
        <v>200</v>
      </c>
      <c r="U107" s="13" t="s">
        <v>4181</v>
      </c>
      <c r="V107" s="15" t="s">
        <v>157</v>
      </c>
    </row>
    <row r="108" spans="1:23" ht="30" customHeight="1">
      <c r="A108" s="1">
        <v>4</v>
      </c>
      <c r="B108" s="13">
        <v>6309</v>
      </c>
      <c r="C108" s="9" t="s">
        <v>158</v>
      </c>
      <c r="D108" s="9" t="s">
        <v>35</v>
      </c>
      <c r="E108" s="11" t="s">
        <v>4057</v>
      </c>
      <c r="F108" s="13">
        <v>1900</v>
      </c>
      <c r="G108" s="13">
        <v>0</v>
      </c>
      <c r="H108" s="13">
        <v>0</v>
      </c>
      <c r="I108" s="13">
        <v>0</v>
      </c>
      <c r="J108" s="13">
        <v>0</v>
      </c>
      <c r="K108" s="13">
        <v>0</v>
      </c>
      <c r="L108" s="13">
        <v>0</v>
      </c>
      <c r="M108" s="13">
        <v>0</v>
      </c>
      <c r="N108" s="12">
        <f t="shared" si="28"/>
        <v>0</v>
      </c>
      <c r="O108" s="13">
        <v>0</v>
      </c>
      <c r="P108" s="13">
        <v>0</v>
      </c>
      <c r="Q108" s="13">
        <v>0</v>
      </c>
      <c r="R108" s="14">
        <f t="shared" si="29"/>
        <v>0</v>
      </c>
      <c r="S108" s="13">
        <f t="shared" si="34"/>
        <v>100</v>
      </c>
      <c r="T108" s="13">
        <f t="shared" si="35"/>
        <v>200</v>
      </c>
      <c r="U108" s="13" t="s">
        <v>4181</v>
      </c>
      <c r="V108" s="15" t="s">
        <v>159</v>
      </c>
    </row>
    <row r="109" spans="1:23" ht="30" customHeight="1">
      <c r="A109" s="1">
        <v>5</v>
      </c>
      <c r="B109" s="13">
        <v>6310</v>
      </c>
      <c r="C109" s="9" t="s">
        <v>160</v>
      </c>
      <c r="D109" s="9" t="s">
        <v>35</v>
      </c>
      <c r="E109" s="11" t="s">
        <v>4057</v>
      </c>
      <c r="F109" s="13">
        <v>2400</v>
      </c>
      <c r="G109" s="13">
        <v>0</v>
      </c>
      <c r="H109" s="13">
        <v>0</v>
      </c>
      <c r="I109" s="13">
        <v>0</v>
      </c>
      <c r="J109" s="13">
        <v>0</v>
      </c>
      <c r="K109" s="13">
        <v>0</v>
      </c>
      <c r="L109" s="13">
        <v>0</v>
      </c>
      <c r="M109" s="13">
        <v>0</v>
      </c>
      <c r="N109" s="12">
        <f t="shared" si="28"/>
        <v>0</v>
      </c>
      <c r="O109" s="13">
        <v>0</v>
      </c>
      <c r="P109" s="13">
        <v>0</v>
      </c>
      <c r="Q109" s="13">
        <v>0</v>
      </c>
      <c r="R109" s="14">
        <f t="shared" si="29"/>
        <v>0</v>
      </c>
      <c r="S109" s="13">
        <f t="shared" si="34"/>
        <v>100</v>
      </c>
      <c r="T109" s="13">
        <f t="shared" si="35"/>
        <v>200</v>
      </c>
      <c r="U109" s="13" t="s">
        <v>4181</v>
      </c>
      <c r="V109" s="15" t="s">
        <v>161</v>
      </c>
    </row>
    <row r="110" spans="1:23" ht="30" customHeight="1">
      <c r="A110" s="1">
        <v>6</v>
      </c>
      <c r="B110" s="13">
        <v>6317</v>
      </c>
      <c r="C110" s="9" t="s">
        <v>164</v>
      </c>
      <c r="D110" s="9" t="s">
        <v>165</v>
      </c>
      <c r="E110" s="11" t="s">
        <v>4057</v>
      </c>
      <c r="F110" s="13">
        <v>2000</v>
      </c>
      <c r="G110" s="13">
        <v>0</v>
      </c>
      <c r="H110" s="13">
        <v>0</v>
      </c>
      <c r="I110" s="13">
        <v>0</v>
      </c>
      <c r="J110" s="13">
        <v>0</v>
      </c>
      <c r="K110" s="13">
        <v>0</v>
      </c>
      <c r="L110" s="13">
        <v>0</v>
      </c>
      <c r="M110" s="13">
        <v>0</v>
      </c>
      <c r="N110" s="12">
        <f t="shared" si="28"/>
        <v>0</v>
      </c>
      <c r="O110" s="13">
        <v>0</v>
      </c>
      <c r="P110" s="13">
        <v>0</v>
      </c>
      <c r="Q110" s="13">
        <v>0</v>
      </c>
      <c r="R110" s="14">
        <f t="shared" si="29"/>
        <v>0</v>
      </c>
      <c r="S110" s="13">
        <f t="shared" si="34"/>
        <v>100</v>
      </c>
      <c r="T110" s="13">
        <f t="shared" si="35"/>
        <v>200</v>
      </c>
      <c r="U110" s="13" t="s">
        <v>4181</v>
      </c>
      <c r="V110" s="15"/>
      <c r="W110" t="s">
        <v>4176</v>
      </c>
    </row>
    <row r="111" spans="1:23" ht="30" customHeight="1">
      <c r="A111" s="1">
        <v>7</v>
      </c>
      <c r="B111" s="13">
        <v>6355</v>
      </c>
      <c r="C111" s="9" t="s">
        <v>166</v>
      </c>
      <c r="D111" s="9" t="s">
        <v>167</v>
      </c>
      <c r="E111" s="11" t="s">
        <v>4057</v>
      </c>
      <c r="F111" s="13">
        <v>2400</v>
      </c>
      <c r="G111" s="13">
        <v>0</v>
      </c>
      <c r="H111" s="13">
        <v>0</v>
      </c>
      <c r="I111" s="13">
        <v>0</v>
      </c>
      <c r="J111" s="13">
        <v>0</v>
      </c>
      <c r="K111" s="13">
        <v>0</v>
      </c>
      <c r="L111" s="13">
        <v>0</v>
      </c>
      <c r="M111" s="13">
        <v>0</v>
      </c>
      <c r="N111" s="12">
        <f t="shared" ref="N111:N133" si="36">(SUM(G111:M111))</f>
        <v>0</v>
      </c>
      <c r="O111" s="13">
        <v>2400</v>
      </c>
      <c r="P111" s="13">
        <v>0</v>
      </c>
      <c r="Q111" s="13">
        <v>800</v>
      </c>
      <c r="R111" s="14">
        <f t="shared" ref="R111:R132" si="37">(SUM(N111:Q111))</f>
        <v>3200</v>
      </c>
      <c r="S111" s="13">
        <f t="shared" si="34"/>
        <v>3300</v>
      </c>
      <c r="T111" s="13">
        <f t="shared" si="35"/>
        <v>3400</v>
      </c>
      <c r="U111" s="13" t="s">
        <v>4181</v>
      </c>
      <c r="V111" s="15" t="s">
        <v>168</v>
      </c>
    </row>
    <row r="112" spans="1:23" ht="30" customHeight="1">
      <c r="A112" s="1">
        <v>8</v>
      </c>
      <c r="B112" s="13">
        <v>6357</v>
      </c>
      <c r="C112" s="9" t="s">
        <v>169</v>
      </c>
      <c r="D112" s="9" t="s">
        <v>170</v>
      </c>
      <c r="E112" s="11" t="s">
        <v>4057</v>
      </c>
      <c r="F112" s="13">
        <v>1400</v>
      </c>
      <c r="G112" s="13">
        <v>0</v>
      </c>
      <c r="H112" s="13">
        <v>0</v>
      </c>
      <c r="I112" s="13">
        <v>0</v>
      </c>
      <c r="J112" s="13">
        <v>0</v>
      </c>
      <c r="K112" s="13">
        <v>0</v>
      </c>
      <c r="L112" s="13">
        <v>0</v>
      </c>
      <c r="M112" s="13">
        <v>0</v>
      </c>
      <c r="N112" s="12">
        <f t="shared" si="36"/>
        <v>0</v>
      </c>
      <c r="O112" s="13">
        <v>1400</v>
      </c>
      <c r="P112" s="13">
        <v>0</v>
      </c>
      <c r="Q112" s="13">
        <v>0</v>
      </c>
      <c r="R112" s="14">
        <f t="shared" si="37"/>
        <v>1400</v>
      </c>
      <c r="S112" s="13">
        <f t="shared" si="34"/>
        <v>1500</v>
      </c>
      <c r="T112" s="13">
        <f t="shared" si="35"/>
        <v>1600</v>
      </c>
      <c r="U112" s="13" t="s">
        <v>4181</v>
      </c>
      <c r="V112" s="15" t="s">
        <v>4178</v>
      </c>
    </row>
    <row r="113" spans="1:23" ht="30" customHeight="1">
      <c r="A113" s="1">
        <v>9</v>
      </c>
      <c r="B113" s="13">
        <v>6358</v>
      </c>
      <c r="C113" s="9" t="s">
        <v>171</v>
      </c>
      <c r="D113" s="9" t="s">
        <v>172</v>
      </c>
      <c r="E113" s="11" t="s">
        <v>4057</v>
      </c>
      <c r="F113" s="13">
        <v>2400</v>
      </c>
      <c r="G113" s="13">
        <v>0</v>
      </c>
      <c r="H113" s="13">
        <v>0</v>
      </c>
      <c r="I113" s="13">
        <v>0</v>
      </c>
      <c r="J113" s="13">
        <v>0</v>
      </c>
      <c r="K113" s="13">
        <v>0</v>
      </c>
      <c r="L113" s="13">
        <v>0</v>
      </c>
      <c r="M113" s="13">
        <v>0</v>
      </c>
      <c r="N113" s="12">
        <f t="shared" si="36"/>
        <v>0</v>
      </c>
      <c r="O113" s="13">
        <v>0</v>
      </c>
      <c r="P113" s="13">
        <v>0</v>
      </c>
      <c r="Q113" s="13">
        <v>0</v>
      </c>
      <c r="R113" s="14">
        <f t="shared" si="37"/>
        <v>0</v>
      </c>
      <c r="S113" s="13">
        <f t="shared" si="34"/>
        <v>100</v>
      </c>
      <c r="T113" s="13">
        <f t="shared" si="35"/>
        <v>200</v>
      </c>
      <c r="U113" s="13" t="s">
        <v>4181</v>
      </c>
      <c r="V113" s="15" t="s">
        <v>173</v>
      </c>
    </row>
    <row r="114" spans="1:23" ht="30" customHeight="1">
      <c r="A114" s="1">
        <v>10</v>
      </c>
      <c r="B114" s="13">
        <v>6362</v>
      </c>
      <c r="C114" s="9" t="s">
        <v>174</v>
      </c>
      <c r="D114" s="9" t="s">
        <v>175</v>
      </c>
      <c r="E114" s="11" t="s">
        <v>4057</v>
      </c>
      <c r="F114" s="13">
        <v>1900</v>
      </c>
      <c r="G114" s="13">
        <v>0</v>
      </c>
      <c r="H114" s="13">
        <v>0</v>
      </c>
      <c r="I114" s="13">
        <v>0</v>
      </c>
      <c r="J114" s="13">
        <v>0</v>
      </c>
      <c r="K114" s="13">
        <v>0</v>
      </c>
      <c r="L114" s="13">
        <v>0</v>
      </c>
      <c r="M114" s="13">
        <v>200</v>
      </c>
      <c r="N114" s="12">
        <f t="shared" si="36"/>
        <v>200</v>
      </c>
      <c r="O114" s="13">
        <v>1900</v>
      </c>
      <c r="P114" s="13">
        <v>0</v>
      </c>
      <c r="Q114" s="13">
        <v>0</v>
      </c>
      <c r="R114" s="14">
        <f t="shared" si="37"/>
        <v>2100</v>
      </c>
      <c r="S114" s="13">
        <f t="shared" si="34"/>
        <v>2200</v>
      </c>
      <c r="T114" s="13">
        <f t="shared" si="35"/>
        <v>2300</v>
      </c>
      <c r="U114" s="13" t="s">
        <v>4181</v>
      </c>
      <c r="V114" s="15" t="s">
        <v>176</v>
      </c>
    </row>
    <row r="115" spans="1:23" ht="30" customHeight="1">
      <c r="A115" s="1">
        <v>11</v>
      </c>
      <c r="B115" s="13">
        <v>6364</v>
      </c>
      <c r="C115" s="9" t="s">
        <v>180</v>
      </c>
      <c r="D115" s="9" t="s">
        <v>181</v>
      </c>
      <c r="E115" s="11" t="s">
        <v>4058</v>
      </c>
      <c r="F115" s="13">
        <v>1500</v>
      </c>
      <c r="G115" s="13">
        <v>0</v>
      </c>
      <c r="H115" s="13">
        <v>0</v>
      </c>
      <c r="I115" s="13">
        <v>0</v>
      </c>
      <c r="J115" s="13">
        <v>0</v>
      </c>
      <c r="K115" s="13">
        <v>0</v>
      </c>
      <c r="L115" s="13">
        <v>0</v>
      </c>
      <c r="M115" s="13">
        <v>0</v>
      </c>
      <c r="N115" s="12">
        <f t="shared" si="36"/>
        <v>0</v>
      </c>
      <c r="O115" s="13">
        <v>0</v>
      </c>
      <c r="P115" s="13">
        <v>0</v>
      </c>
      <c r="Q115" s="13">
        <v>0</v>
      </c>
      <c r="R115" s="14">
        <f t="shared" si="37"/>
        <v>0</v>
      </c>
      <c r="S115" s="13">
        <f t="shared" si="34"/>
        <v>100</v>
      </c>
      <c r="T115" s="13">
        <f t="shared" si="35"/>
        <v>200</v>
      </c>
      <c r="U115" s="13" t="s">
        <v>4181</v>
      </c>
      <c r="V115" s="15" t="s">
        <v>182</v>
      </c>
    </row>
    <row r="116" spans="1:23" ht="30" customHeight="1">
      <c r="A116" s="1">
        <v>12</v>
      </c>
      <c r="B116" s="13">
        <v>6365</v>
      </c>
      <c r="C116" s="9" t="s">
        <v>183</v>
      </c>
      <c r="D116" s="9" t="s">
        <v>184</v>
      </c>
      <c r="E116" s="11" t="s">
        <v>4058</v>
      </c>
      <c r="F116" s="13">
        <v>1200</v>
      </c>
      <c r="G116" s="13">
        <v>0</v>
      </c>
      <c r="H116" s="13">
        <v>0</v>
      </c>
      <c r="I116" s="13">
        <v>0</v>
      </c>
      <c r="J116" s="13">
        <v>0</v>
      </c>
      <c r="K116" s="13">
        <v>0</v>
      </c>
      <c r="L116" s="13">
        <v>0</v>
      </c>
      <c r="M116" s="13">
        <v>0</v>
      </c>
      <c r="N116" s="12">
        <f t="shared" si="36"/>
        <v>0</v>
      </c>
      <c r="O116" s="13">
        <v>0</v>
      </c>
      <c r="P116" s="13">
        <v>0</v>
      </c>
      <c r="Q116" s="13">
        <v>0</v>
      </c>
      <c r="R116" s="14">
        <f t="shared" si="37"/>
        <v>0</v>
      </c>
      <c r="S116" s="13">
        <f t="shared" si="34"/>
        <v>100</v>
      </c>
      <c r="T116" s="13">
        <f t="shared" si="35"/>
        <v>200</v>
      </c>
      <c r="U116" s="13" t="s">
        <v>4181</v>
      </c>
      <c r="V116" s="15" t="s">
        <v>185</v>
      </c>
    </row>
    <row r="117" spans="1:23" ht="30" customHeight="1">
      <c r="A117" s="1">
        <v>13</v>
      </c>
      <c r="B117" s="13">
        <v>6366</v>
      </c>
      <c r="C117" s="9" t="s">
        <v>186</v>
      </c>
      <c r="D117" s="9" t="s">
        <v>187</v>
      </c>
      <c r="E117" s="11" t="s">
        <v>4058</v>
      </c>
      <c r="F117" s="13">
        <v>1900</v>
      </c>
      <c r="G117" s="13">
        <v>0</v>
      </c>
      <c r="H117" s="13">
        <v>0</v>
      </c>
      <c r="I117" s="13">
        <v>0</v>
      </c>
      <c r="J117" s="13">
        <v>0</v>
      </c>
      <c r="K117" s="13">
        <v>0</v>
      </c>
      <c r="L117" s="13">
        <v>0</v>
      </c>
      <c r="M117" s="13">
        <v>0</v>
      </c>
      <c r="N117" s="12">
        <f t="shared" si="36"/>
        <v>0</v>
      </c>
      <c r="O117" s="13">
        <v>1900</v>
      </c>
      <c r="P117" s="13">
        <v>0</v>
      </c>
      <c r="Q117" s="13">
        <v>900</v>
      </c>
      <c r="R117" s="14">
        <f t="shared" si="37"/>
        <v>2800</v>
      </c>
      <c r="S117" s="13">
        <f t="shared" si="34"/>
        <v>2900</v>
      </c>
      <c r="T117" s="13">
        <f t="shared" si="35"/>
        <v>3000</v>
      </c>
      <c r="U117" s="13" t="s">
        <v>4181</v>
      </c>
      <c r="V117" s="15" t="s">
        <v>188</v>
      </c>
    </row>
    <row r="118" spans="1:23" ht="30" customHeight="1">
      <c r="A118" s="1">
        <v>14</v>
      </c>
      <c r="B118" s="13">
        <v>6426</v>
      </c>
      <c r="C118" s="9" t="s">
        <v>121</v>
      </c>
      <c r="D118" s="9" t="s">
        <v>192</v>
      </c>
      <c r="E118" s="11" t="s">
        <v>4058</v>
      </c>
      <c r="F118" s="13">
        <v>1400</v>
      </c>
      <c r="G118" s="13">
        <v>0</v>
      </c>
      <c r="H118" s="13">
        <v>0</v>
      </c>
      <c r="I118" s="13">
        <v>0</v>
      </c>
      <c r="J118" s="13">
        <v>0</v>
      </c>
      <c r="K118" s="13">
        <v>0</v>
      </c>
      <c r="L118" s="13">
        <v>0</v>
      </c>
      <c r="M118" s="13">
        <v>0</v>
      </c>
      <c r="N118" s="12">
        <f t="shared" si="36"/>
        <v>0</v>
      </c>
      <c r="O118" s="13">
        <v>0</v>
      </c>
      <c r="P118" s="13">
        <v>0</v>
      </c>
      <c r="Q118" s="13">
        <v>0</v>
      </c>
      <c r="R118" s="14">
        <f t="shared" si="37"/>
        <v>0</v>
      </c>
      <c r="S118" s="13">
        <f t="shared" si="34"/>
        <v>100</v>
      </c>
      <c r="T118" s="13">
        <f t="shared" si="35"/>
        <v>200</v>
      </c>
      <c r="U118" s="13" t="s">
        <v>4181</v>
      </c>
      <c r="V118" s="15" t="s">
        <v>193</v>
      </c>
    </row>
    <row r="119" spans="1:23" ht="30" customHeight="1">
      <c r="A119" s="1">
        <v>15</v>
      </c>
      <c r="B119" s="13">
        <v>6427</v>
      </c>
      <c r="C119" s="9" t="s">
        <v>121</v>
      </c>
      <c r="D119" s="9" t="s">
        <v>194</v>
      </c>
      <c r="E119" s="11" t="s">
        <v>4058</v>
      </c>
      <c r="F119" s="13">
        <v>1900</v>
      </c>
      <c r="G119" s="13">
        <v>0</v>
      </c>
      <c r="H119" s="13">
        <v>0</v>
      </c>
      <c r="I119" s="13">
        <v>0</v>
      </c>
      <c r="J119" s="13">
        <v>0</v>
      </c>
      <c r="K119" s="13">
        <v>0</v>
      </c>
      <c r="L119" s="13">
        <v>0</v>
      </c>
      <c r="M119" s="13">
        <v>0</v>
      </c>
      <c r="N119" s="12">
        <f t="shared" si="36"/>
        <v>0</v>
      </c>
      <c r="O119" s="13">
        <v>1900</v>
      </c>
      <c r="P119" s="13">
        <v>0</v>
      </c>
      <c r="Q119" s="13">
        <v>0</v>
      </c>
      <c r="R119" s="14">
        <f t="shared" si="37"/>
        <v>1900</v>
      </c>
      <c r="S119" s="13">
        <f t="shared" si="34"/>
        <v>2000</v>
      </c>
      <c r="T119" s="13">
        <f t="shared" si="35"/>
        <v>2100</v>
      </c>
      <c r="U119" s="13" t="s">
        <v>4181</v>
      </c>
      <c r="V119" s="15" t="s">
        <v>195</v>
      </c>
      <c r="W119" t="s">
        <v>196</v>
      </c>
    </row>
    <row r="120" spans="1:23" ht="30" customHeight="1">
      <c r="A120" s="1">
        <v>16</v>
      </c>
      <c r="B120" s="13">
        <v>6435</v>
      </c>
      <c r="C120" s="9" t="s">
        <v>197</v>
      </c>
      <c r="D120" s="9" t="s">
        <v>198</v>
      </c>
      <c r="E120" s="11" t="s">
        <v>4058</v>
      </c>
      <c r="F120" s="13">
        <v>2400</v>
      </c>
      <c r="G120" s="13">
        <v>0</v>
      </c>
      <c r="H120" s="13">
        <v>0</v>
      </c>
      <c r="I120" s="13">
        <v>0</v>
      </c>
      <c r="J120" s="13">
        <v>0</v>
      </c>
      <c r="K120" s="13">
        <v>0</v>
      </c>
      <c r="L120" s="13">
        <v>0</v>
      </c>
      <c r="M120" s="13">
        <v>0</v>
      </c>
      <c r="N120" s="12">
        <f t="shared" si="36"/>
        <v>0</v>
      </c>
      <c r="O120" s="13">
        <v>2400</v>
      </c>
      <c r="P120" s="13">
        <v>0</v>
      </c>
      <c r="Q120" s="13">
        <v>0</v>
      </c>
      <c r="R120" s="14">
        <f t="shared" si="37"/>
        <v>2400</v>
      </c>
      <c r="S120" s="13">
        <f t="shared" si="34"/>
        <v>2500</v>
      </c>
      <c r="T120" s="13">
        <f t="shared" si="35"/>
        <v>2600</v>
      </c>
      <c r="U120" s="13" t="s">
        <v>4181</v>
      </c>
      <c r="V120" s="15" t="s">
        <v>199</v>
      </c>
    </row>
    <row r="121" spans="1:23" ht="30" customHeight="1">
      <c r="A121" s="1">
        <v>17</v>
      </c>
      <c r="B121" s="13">
        <v>6443</v>
      </c>
      <c r="C121" s="9" t="s">
        <v>203</v>
      </c>
      <c r="D121" s="9" t="s">
        <v>204</v>
      </c>
      <c r="E121" s="11" t="s">
        <v>4058</v>
      </c>
      <c r="F121" s="13">
        <v>1200</v>
      </c>
      <c r="G121" s="13">
        <v>0</v>
      </c>
      <c r="H121" s="13">
        <v>0</v>
      </c>
      <c r="I121" s="13">
        <v>0</v>
      </c>
      <c r="J121" s="13">
        <v>0</v>
      </c>
      <c r="K121" s="13">
        <v>0</v>
      </c>
      <c r="L121" s="13">
        <v>0</v>
      </c>
      <c r="M121" s="13">
        <v>0</v>
      </c>
      <c r="N121" s="12">
        <f t="shared" si="36"/>
        <v>0</v>
      </c>
      <c r="O121" s="13">
        <v>0</v>
      </c>
      <c r="P121" s="13">
        <v>0</v>
      </c>
      <c r="Q121" s="13">
        <v>0</v>
      </c>
      <c r="R121" s="14">
        <f t="shared" si="37"/>
        <v>0</v>
      </c>
      <c r="S121" s="13">
        <f t="shared" si="34"/>
        <v>100</v>
      </c>
      <c r="T121" s="13">
        <f t="shared" si="35"/>
        <v>200</v>
      </c>
      <c r="U121" s="13" t="s">
        <v>4181</v>
      </c>
      <c r="V121" s="15" t="s">
        <v>205</v>
      </c>
    </row>
    <row r="122" spans="1:23" ht="30" customHeight="1">
      <c r="A122" s="1">
        <v>18</v>
      </c>
      <c r="B122" s="13">
        <v>6449</v>
      </c>
      <c r="C122" s="9" t="s">
        <v>206</v>
      </c>
      <c r="D122" s="9" t="s">
        <v>207</v>
      </c>
      <c r="E122" s="11" t="s">
        <v>4058</v>
      </c>
      <c r="F122" s="13">
        <v>1400</v>
      </c>
      <c r="G122" s="13">
        <v>0</v>
      </c>
      <c r="H122" s="13">
        <v>0</v>
      </c>
      <c r="I122" s="13">
        <v>0</v>
      </c>
      <c r="J122" s="13">
        <v>0</v>
      </c>
      <c r="K122" s="13">
        <v>0</v>
      </c>
      <c r="L122" s="13">
        <v>0</v>
      </c>
      <c r="M122" s="13">
        <v>600</v>
      </c>
      <c r="N122" s="12">
        <f t="shared" si="36"/>
        <v>600</v>
      </c>
      <c r="O122" s="13">
        <v>1400</v>
      </c>
      <c r="P122" s="13">
        <v>0</v>
      </c>
      <c r="Q122" s="13">
        <v>0</v>
      </c>
      <c r="R122" s="14">
        <f t="shared" si="37"/>
        <v>2000</v>
      </c>
      <c r="S122" s="13">
        <f t="shared" si="34"/>
        <v>2100</v>
      </c>
      <c r="T122" s="13">
        <f t="shared" si="35"/>
        <v>2200</v>
      </c>
      <c r="U122" s="13" t="s">
        <v>4181</v>
      </c>
      <c r="V122" s="15" t="s">
        <v>208</v>
      </c>
    </row>
    <row r="123" spans="1:23" ht="30" customHeight="1">
      <c r="A123" s="1">
        <v>19</v>
      </c>
      <c r="B123" s="13">
        <v>6483</v>
      </c>
      <c r="C123" s="9" t="s">
        <v>209</v>
      </c>
      <c r="D123" s="9" t="s">
        <v>210</v>
      </c>
      <c r="E123" s="11" t="s">
        <v>4058</v>
      </c>
      <c r="F123" s="13">
        <v>2400</v>
      </c>
      <c r="G123" s="13">
        <v>0</v>
      </c>
      <c r="H123" s="13">
        <v>0</v>
      </c>
      <c r="I123" s="13">
        <v>0</v>
      </c>
      <c r="J123" s="13">
        <v>0</v>
      </c>
      <c r="K123" s="13">
        <v>0</v>
      </c>
      <c r="L123" s="13">
        <v>0</v>
      </c>
      <c r="M123" s="13">
        <v>0</v>
      </c>
      <c r="N123" s="12">
        <f t="shared" si="36"/>
        <v>0</v>
      </c>
      <c r="O123" s="13">
        <v>0</v>
      </c>
      <c r="P123" s="13">
        <v>0</v>
      </c>
      <c r="Q123" s="13">
        <v>0</v>
      </c>
      <c r="R123" s="14">
        <f t="shared" si="37"/>
        <v>0</v>
      </c>
      <c r="S123" s="13">
        <f t="shared" si="34"/>
        <v>100</v>
      </c>
      <c r="T123" s="13">
        <f t="shared" si="35"/>
        <v>200</v>
      </c>
      <c r="U123" s="13" t="s">
        <v>4181</v>
      </c>
      <c r="V123" s="15" t="s">
        <v>211</v>
      </c>
    </row>
    <row r="124" spans="1:23" ht="30" customHeight="1">
      <c r="A124" s="1">
        <v>20</v>
      </c>
      <c r="B124" s="13">
        <v>6488</v>
      </c>
      <c r="C124" s="9" t="s">
        <v>212</v>
      </c>
      <c r="D124" s="9" t="s">
        <v>213</v>
      </c>
      <c r="E124" s="11" t="s">
        <v>4058</v>
      </c>
      <c r="F124" s="13">
        <v>1400</v>
      </c>
      <c r="G124" s="13">
        <v>0</v>
      </c>
      <c r="H124" s="13">
        <v>0</v>
      </c>
      <c r="I124" s="13">
        <v>0</v>
      </c>
      <c r="J124" s="13">
        <v>0</v>
      </c>
      <c r="K124" s="13">
        <v>1400</v>
      </c>
      <c r="L124" s="13">
        <v>1400</v>
      </c>
      <c r="M124" s="13">
        <v>1400</v>
      </c>
      <c r="N124" s="12">
        <f t="shared" si="36"/>
        <v>4200</v>
      </c>
      <c r="O124" s="13">
        <v>1400</v>
      </c>
      <c r="P124" s="13">
        <v>0</v>
      </c>
      <c r="Q124" s="13">
        <v>0</v>
      </c>
      <c r="R124" s="14">
        <f t="shared" si="37"/>
        <v>5600</v>
      </c>
      <c r="S124" s="13">
        <f t="shared" si="34"/>
        <v>5700</v>
      </c>
      <c r="T124" s="13">
        <f t="shared" si="35"/>
        <v>5800</v>
      </c>
      <c r="U124" s="13" t="s">
        <v>4181</v>
      </c>
      <c r="V124" s="15" t="s">
        <v>4067</v>
      </c>
    </row>
    <row r="125" spans="1:23" s="17" customFormat="1" ht="30" customHeight="1">
      <c r="A125" s="1">
        <v>21</v>
      </c>
      <c r="B125" s="13">
        <v>6622</v>
      </c>
      <c r="C125" s="9" t="s">
        <v>217</v>
      </c>
      <c r="D125" s="10" t="s">
        <v>218</v>
      </c>
      <c r="E125" s="11" t="s">
        <v>4058</v>
      </c>
      <c r="F125" s="13">
        <v>2000</v>
      </c>
      <c r="G125" s="13">
        <v>0</v>
      </c>
      <c r="H125" s="13">
        <v>0</v>
      </c>
      <c r="I125" s="13">
        <v>0</v>
      </c>
      <c r="J125" s="13">
        <v>0</v>
      </c>
      <c r="K125" s="13">
        <v>0</v>
      </c>
      <c r="L125" s="13">
        <v>0</v>
      </c>
      <c r="M125" s="13">
        <v>0</v>
      </c>
      <c r="N125" s="12">
        <f t="shared" si="36"/>
        <v>0</v>
      </c>
      <c r="O125" s="13">
        <v>0</v>
      </c>
      <c r="P125" s="13">
        <v>0</v>
      </c>
      <c r="Q125" s="13">
        <v>0</v>
      </c>
      <c r="R125" s="14">
        <f t="shared" si="37"/>
        <v>0</v>
      </c>
      <c r="S125" s="13">
        <f t="shared" si="34"/>
        <v>100</v>
      </c>
      <c r="T125" s="13">
        <f t="shared" si="35"/>
        <v>200</v>
      </c>
      <c r="U125" s="13" t="s">
        <v>4181</v>
      </c>
      <c r="V125" s="15" t="s">
        <v>219</v>
      </c>
      <c r="W125" s="17" t="s">
        <v>220</v>
      </c>
    </row>
    <row r="126" spans="1:23" ht="30" customHeight="1">
      <c r="A126" s="1">
        <v>22</v>
      </c>
      <c r="B126" s="8">
        <v>6588</v>
      </c>
      <c r="C126" s="9" t="s">
        <v>319</v>
      </c>
      <c r="D126" s="10" t="s">
        <v>320</v>
      </c>
      <c r="E126" s="11" t="s">
        <v>4058</v>
      </c>
      <c r="F126" s="8">
        <v>2200</v>
      </c>
      <c r="G126" s="8">
        <v>0</v>
      </c>
      <c r="H126" s="8">
        <v>0</v>
      </c>
      <c r="I126" s="8">
        <v>0</v>
      </c>
      <c r="J126" s="8">
        <v>0</v>
      </c>
      <c r="K126" s="8">
        <v>0</v>
      </c>
      <c r="L126" s="8">
        <v>600</v>
      </c>
      <c r="M126" s="8">
        <v>2200</v>
      </c>
      <c r="N126" s="12">
        <f t="shared" si="36"/>
        <v>2800</v>
      </c>
      <c r="O126" s="8">
        <v>2200</v>
      </c>
      <c r="P126" s="13">
        <v>0</v>
      </c>
      <c r="Q126" s="13">
        <v>0</v>
      </c>
      <c r="R126" s="14">
        <f t="shared" si="37"/>
        <v>5000</v>
      </c>
      <c r="S126" s="13">
        <f t="shared" si="34"/>
        <v>5100</v>
      </c>
      <c r="T126" s="13">
        <f t="shared" si="35"/>
        <v>5200</v>
      </c>
      <c r="U126" s="13" t="s">
        <v>4181</v>
      </c>
      <c r="V126" s="15"/>
    </row>
    <row r="127" spans="1:23" ht="30" customHeight="1">
      <c r="A127" s="1">
        <v>23</v>
      </c>
      <c r="B127" s="8">
        <v>6852</v>
      </c>
      <c r="C127" s="9" t="s">
        <v>4090</v>
      </c>
      <c r="D127" s="10" t="s">
        <v>4091</v>
      </c>
      <c r="E127" s="11" t="s">
        <v>4058</v>
      </c>
      <c r="F127" s="8">
        <v>1200</v>
      </c>
      <c r="G127" s="8">
        <v>0</v>
      </c>
      <c r="H127" s="8">
        <v>0</v>
      </c>
      <c r="I127" s="8">
        <v>0</v>
      </c>
      <c r="J127" s="8">
        <v>0</v>
      </c>
      <c r="K127" s="8">
        <v>0</v>
      </c>
      <c r="L127" s="8">
        <v>0</v>
      </c>
      <c r="M127" s="8">
        <v>0</v>
      </c>
      <c r="N127" s="12">
        <f t="shared" si="36"/>
        <v>0</v>
      </c>
      <c r="O127" s="8">
        <v>0</v>
      </c>
      <c r="P127" s="13">
        <v>0</v>
      </c>
      <c r="Q127" s="13">
        <v>0</v>
      </c>
      <c r="R127" s="14">
        <f t="shared" si="37"/>
        <v>0</v>
      </c>
      <c r="S127" s="13">
        <f t="shared" si="34"/>
        <v>100</v>
      </c>
      <c r="T127" s="13">
        <f t="shared" si="35"/>
        <v>200</v>
      </c>
      <c r="U127" s="13" t="s">
        <v>4181</v>
      </c>
      <c r="V127" s="15" t="s">
        <v>4088</v>
      </c>
      <c r="W127" t="s">
        <v>4079</v>
      </c>
    </row>
    <row r="128" spans="1:23" ht="30" customHeight="1">
      <c r="A128" s="1">
        <v>24</v>
      </c>
      <c r="B128" s="8">
        <v>6855</v>
      </c>
      <c r="C128" s="9" t="s">
        <v>4095</v>
      </c>
      <c r="D128" s="10" t="s">
        <v>547</v>
      </c>
      <c r="E128" s="11" t="s">
        <v>4058</v>
      </c>
      <c r="F128" s="8">
        <v>1200</v>
      </c>
      <c r="G128" s="8">
        <v>0</v>
      </c>
      <c r="H128" s="8">
        <v>0</v>
      </c>
      <c r="I128" s="8">
        <v>0</v>
      </c>
      <c r="J128" s="8">
        <v>0</v>
      </c>
      <c r="K128" s="8">
        <v>0</v>
      </c>
      <c r="L128" s="8">
        <v>0</v>
      </c>
      <c r="M128" s="8">
        <v>0</v>
      </c>
      <c r="N128" s="12">
        <f t="shared" si="36"/>
        <v>0</v>
      </c>
      <c r="O128" s="8">
        <v>0</v>
      </c>
      <c r="P128" s="13">
        <v>0</v>
      </c>
      <c r="Q128" s="13">
        <v>0</v>
      </c>
      <c r="R128" s="14">
        <f t="shared" si="37"/>
        <v>0</v>
      </c>
      <c r="S128" s="13">
        <f t="shared" si="34"/>
        <v>100</v>
      </c>
      <c r="T128" s="13">
        <f t="shared" si="35"/>
        <v>200</v>
      </c>
      <c r="U128" s="13" t="s">
        <v>4181</v>
      </c>
      <c r="V128" s="15" t="s">
        <v>4088</v>
      </c>
      <c r="W128" t="s">
        <v>4079</v>
      </c>
    </row>
    <row r="129" spans="1:23" ht="30" customHeight="1">
      <c r="A129" s="25">
        <v>1</v>
      </c>
      <c r="B129" s="25">
        <v>6034</v>
      </c>
      <c r="C129" s="26" t="s">
        <v>361</v>
      </c>
      <c r="D129" s="27" t="s">
        <v>362</v>
      </c>
      <c r="E129" s="11" t="s">
        <v>363</v>
      </c>
      <c r="F129" s="28">
        <v>400</v>
      </c>
      <c r="G129" s="28">
        <v>0</v>
      </c>
      <c r="H129" s="28">
        <v>0</v>
      </c>
      <c r="I129" s="28">
        <v>0</v>
      </c>
      <c r="J129" s="28">
        <v>0</v>
      </c>
      <c r="K129" s="28">
        <v>0</v>
      </c>
      <c r="L129" s="28">
        <v>0</v>
      </c>
      <c r="M129" s="28">
        <v>0</v>
      </c>
      <c r="N129" s="12">
        <f t="shared" si="36"/>
        <v>0</v>
      </c>
      <c r="O129" s="28">
        <v>400</v>
      </c>
      <c r="P129" s="13">
        <v>0</v>
      </c>
      <c r="Q129" s="13">
        <v>0</v>
      </c>
      <c r="R129" s="14">
        <f t="shared" si="37"/>
        <v>400</v>
      </c>
      <c r="S129" s="13">
        <f t="shared" si="34"/>
        <v>500</v>
      </c>
      <c r="T129" s="13">
        <f t="shared" si="35"/>
        <v>600</v>
      </c>
      <c r="U129" s="13" t="s">
        <v>4181</v>
      </c>
      <c r="V129" s="29" t="s">
        <v>364</v>
      </c>
    </row>
    <row r="130" spans="1:23" ht="30" customHeight="1">
      <c r="A130" s="25">
        <v>2</v>
      </c>
      <c r="B130" s="25">
        <v>6035</v>
      </c>
      <c r="C130" s="26" t="s">
        <v>365</v>
      </c>
      <c r="D130" s="27" t="s">
        <v>366</v>
      </c>
      <c r="E130" s="11" t="s">
        <v>363</v>
      </c>
      <c r="F130" s="30">
        <v>2400</v>
      </c>
      <c r="G130" s="30">
        <v>0</v>
      </c>
      <c r="H130" s="30">
        <v>0</v>
      </c>
      <c r="I130" s="30">
        <v>0</v>
      </c>
      <c r="J130" s="30">
        <v>0</v>
      </c>
      <c r="K130" s="30">
        <v>0</v>
      </c>
      <c r="L130" s="30">
        <v>0</v>
      </c>
      <c r="M130" s="30">
        <v>0</v>
      </c>
      <c r="N130" s="12">
        <f t="shared" si="36"/>
        <v>0</v>
      </c>
      <c r="O130" s="30">
        <v>0</v>
      </c>
      <c r="P130" s="13">
        <v>0</v>
      </c>
      <c r="Q130" s="13">
        <v>0</v>
      </c>
      <c r="R130" s="14">
        <f t="shared" si="37"/>
        <v>0</v>
      </c>
      <c r="S130" s="13">
        <f t="shared" si="34"/>
        <v>100</v>
      </c>
      <c r="T130" s="13">
        <f t="shared" si="35"/>
        <v>200</v>
      </c>
      <c r="U130" s="13" t="s">
        <v>4181</v>
      </c>
      <c r="V130" s="29" t="s">
        <v>367</v>
      </c>
    </row>
    <row r="131" spans="1:23" ht="30" customHeight="1">
      <c r="A131" s="25">
        <v>3</v>
      </c>
      <c r="B131" s="25">
        <v>6036</v>
      </c>
      <c r="C131" s="26" t="s">
        <v>368</v>
      </c>
      <c r="D131" s="27" t="s">
        <v>369</v>
      </c>
      <c r="E131" s="11" t="s">
        <v>363</v>
      </c>
      <c r="F131" s="30">
        <v>1400</v>
      </c>
      <c r="G131" s="30">
        <v>0</v>
      </c>
      <c r="H131" s="30">
        <v>0</v>
      </c>
      <c r="I131" s="30">
        <v>0</v>
      </c>
      <c r="J131" s="30">
        <v>0</v>
      </c>
      <c r="K131" s="30">
        <v>0</v>
      </c>
      <c r="L131" s="30">
        <v>0</v>
      </c>
      <c r="M131" s="30">
        <v>0</v>
      </c>
      <c r="N131" s="12">
        <f t="shared" si="36"/>
        <v>0</v>
      </c>
      <c r="O131" s="30">
        <v>0</v>
      </c>
      <c r="P131" s="13">
        <v>0</v>
      </c>
      <c r="Q131" s="13">
        <v>300</v>
      </c>
      <c r="R131" s="14">
        <f t="shared" si="37"/>
        <v>300</v>
      </c>
      <c r="S131" s="13">
        <f t="shared" si="34"/>
        <v>400</v>
      </c>
      <c r="T131" s="13">
        <f t="shared" si="35"/>
        <v>500</v>
      </c>
      <c r="U131" s="13" t="s">
        <v>4181</v>
      </c>
      <c r="V131" s="29" t="s">
        <v>370</v>
      </c>
    </row>
    <row r="132" spans="1:23" ht="30" customHeight="1">
      <c r="A132" s="25">
        <v>4</v>
      </c>
      <c r="B132" s="25">
        <v>6038</v>
      </c>
      <c r="C132" s="26" t="s">
        <v>371</v>
      </c>
      <c r="D132" s="27" t="s">
        <v>372</v>
      </c>
      <c r="E132" s="11" t="s">
        <v>363</v>
      </c>
      <c r="F132" s="30">
        <v>2400</v>
      </c>
      <c r="G132" s="30">
        <v>0</v>
      </c>
      <c r="H132" s="30">
        <v>0</v>
      </c>
      <c r="I132" s="30">
        <v>0</v>
      </c>
      <c r="J132" s="30">
        <v>0</v>
      </c>
      <c r="K132" s="30">
        <v>0</v>
      </c>
      <c r="L132" s="30">
        <v>0</v>
      </c>
      <c r="M132" s="30">
        <v>0</v>
      </c>
      <c r="N132" s="12">
        <f t="shared" si="36"/>
        <v>0</v>
      </c>
      <c r="O132" s="30">
        <v>2400</v>
      </c>
      <c r="P132" s="13">
        <v>0</v>
      </c>
      <c r="Q132" s="13">
        <v>0</v>
      </c>
      <c r="R132" s="14">
        <f t="shared" si="37"/>
        <v>2400</v>
      </c>
      <c r="S132" s="13">
        <f t="shared" si="34"/>
        <v>2500</v>
      </c>
      <c r="T132" s="13">
        <f t="shared" si="35"/>
        <v>2600</v>
      </c>
      <c r="U132" s="13" t="s">
        <v>4181</v>
      </c>
      <c r="V132" s="29" t="s">
        <v>373</v>
      </c>
    </row>
    <row r="133" spans="1:23" ht="30" customHeight="1">
      <c r="A133" s="25">
        <v>5</v>
      </c>
      <c r="B133" s="25">
        <v>6039</v>
      </c>
      <c r="C133" s="26" t="s">
        <v>374</v>
      </c>
      <c r="D133" s="27" t="s">
        <v>375</v>
      </c>
      <c r="E133" s="11" t="s">
        <v>363</v>
      </c>
      <c r="F133" s="30">
        <v>1900</v>
      </c>
      <c r="G133" s="30">
        <v>0</v>
      </c>
      <c r="H133" s="30">
        <v>0</v>
      </c>
      <c r="I133" s="30">
        <v>0</v>
      </c>
      <c r="J133" s="30">
        <v>0</v>
      </c>
      <c r="K133" s="30">
        <v>0</v>
      </c>
      <c r="L133" s="30">
        <v>0</v>
      </c>
      <c r="M133" s="30">
        <v>0</v>
      </c>
      <c r="N133" s="12">
        <f t="shared" si="36"/>
        <v>0</v>
      </c>
      <c r="O133" s="30">
        <v>0</v>
      </c>
      <c r="P133" s="13">
        <v>0</v>
      </c>
      <c r="Q133" s="13">
        <v>0</v>
      </c>
      <c r="R133" s="14">
        <f t="shared" ref="R133:R196" si="38">(SUM(N133:Q133))</f>
        <v>0</v>
      </c>
      <c r="S133" s="13">
        <f t="shared" si="34"/>
        <v>100</v>
      </c>
      <c r="T133" s="13">
        <f t="shared" si="35"/>
        <v>200</v>
      </c>
      <c r="U133" s="13" t="s">
        <v>4181</v>
      </c>
      <c r="V133" s="23" t="s">
        <v>376</v>
      </c>
    </row>
    <row r="134" spans="1:23" ht="30" customHeight="1">
      <c r="A134" s="25">
        <v>6</v>
      </c>
      <c r="B134" s="25">
        <v>6040</v>
      </c>
      <c r="C134" s="26" t="s">
        <v>377</v>
      </c>
      <c r="D134" s="27" t="s">
        <v>378</v>
      </c>
      <c r="E134" s="11" t="s">
        <v>363</v>
      </c>
      <c r="F134" s="30">
        <v>1500</v>
      </c>
      <c r="G134" s="30">
        <v>0</v>
      </c>
      <c r="H134" s="30">
        <v>0</v>
      </c>
      <c r="I134" s="30">
        <v>0</v>
      </c>
      <c r="J134" s="30">
        <v>0</v>
      </c>
      <c r="K134" s="30">
        <v>0</v>
      </c>
      <c r="L134" s="30">
        <v>0</v>
      </c>
      <c r="M134" s="30">
        <v>0</v>
      </c>
      <c r="N134" s="12">
        <f t="shared" ref="N134:N197" si="39">(SUM(G134:M134))</f>
        <v>0</v>
      </c>
      <c r="O134" s="30">
        <v>0</v>
      </c>
      <c r="P134" s="13">
        <v>0</v>
      </c>
      <c r="Q134" s="13">
        <v>0</v>
      </c>
      <c r="R134" s="14">
        <f t="shared" si="38"/>
        <v>0</v>
      </c>
      <c r="S134" s="13">
        <f t="shared" si="34"/>
        <v>100</v>
      </c>
      <c r="T134" s="13">
        <f t="shared" si="35"/>
        <v>200</v>
      </c>
      <c r="U134" s="13" t="s">
        <v>4181</v>
      </c>
      <c r="V134" s="29" t="s">
        <v>379</v>
      </c>
    </row>
    <row r="135" spans="1:23" ht="30" customHeight="1">
      <c r="A135" s="25">
        <v>7</v>
      </c>
      <c r="B135" s="25">
        <v>6056</v>
      </c>
      <c r="C135" s="26" t="s">
        <v>380</v>
      </c>
      <c r="D135" s="27" t="s">
        <v>167</v>
      </c>
      <c r="E135" s="11" t="s">
        <v>363</v>
      </c>
      <c r="F135" s="30">
        <v>2400</v>
      </c>
      <c r="G135" s="30">
        <v>0</v>
      </c>
      <c r="H135" s="30">
        <v>0</v>
      </c>
      <c r="I135" s="30">
        <v>0</v>
      </c>
      <c r="J135" s="30">
        <v>0</v>
      </c>
      <c r="K135" s="30">
        <v>0</v>
      </c>
      <c r="L135" s="30">
        <v>0</v>
      </c>
      <c r="M135" s="30">
        <v>0</v>
      </c>
      <c r="N135" s="12">
        <f t="shared" si="39"/>
        <v>0</v>
      </c>
      <c r="O135" s="30">
        <v>2400</v>
      </c>
      <c r="P135" s="13">
        <v>0</v>
      </c>
      <c r="Q135" s="13">
        <v>0</v>
      </c>
      <c r="R135" s="14">
        <f t="shared" si="38"/>
        <v>2400</v>
      </c>
      <c r="S135" s="13">
        <f t="shared" si="34"/>
        <v>2500</v>
      </c>
      <c r="T135" s="13">
        <f t="shared" si="35"/>
        <v>2600</v>
      </c>
      <c r="U135" s="13" t="s">
        <v>4181</v>
      </c>
      <c r="V135" s="29" t="s">
        <v>381</v>
      </c>
    </row>
    <row r="136" spans="1:23" ht="30" customHeight="1">
      <c r="A136" s="25">
        <v>8</v>
      </c>
      <c r="B136" s="25">
        <v>6068</v>
      </c>
      <c r="C136" s="26" t="s">
        <v>382</v>
      </c>
      <c r="D136" s="27" t="s">
        <v>92</v>
      </c>
      <c r="E136" s="11" t="s">
        <v>363</v>
      </c>
      <c r="F136" s="30">
        <v>1600</v>
      </c>
      <c r="G136" s="30">
        <v>0</v>
      </c>
      <c r="H136" s="30">
        <v>0</v>
      </c>
      <c r="I136" s="30">
        <v>0</v>
      </c>
      <c r="J136" s="30">
        <v>0</v>
      </c>
      <c r="K136" s="30">
        <v>0</v>
      </c>
      <c r="L136" s="30">
        <v>0</v>
      </c>
      <c r="M136" s="30">
        <v>0</v>
      </c>
      <c r="N136" s="12">
        <f t="shared" si="39"/>
        <v>0</v>
      </c>
      <c r="O136" s="30">
        <v>0</v>
      </c>
      <c r="P136" s="13">
        <v>0</v>
      </c>
      <c r="Q136" s="13">
        <v>0</v>
      </c>
      <c r="R136" s="14">
        <f t="shared" si="38"/>
        <v>0</v>
      </c>
      <c r="S136" s="13">
        <f t="shared" ref="S136:S199" si="40">R136+100</f>
        <v>100</v>
      </c>
      <c r="T136" s="13">
        <f t="shared" ref="T136:T199" si="41">R136+200</f>
        <v>200</v>
      </c>
      <c r="U136" s="13" t="s">
        <v>4181</v>
      </c>
      <c r="V136" s="29" t="s">
        <v>383</v>
      </c>
    </row>
    <row r="137" spans="1:23" ht="30" customHeight="1">
      <c r="A137" s="25">
        <v>9</v>
      </c>
      <c r="B137" s="25">
        <v>6070</v>
      </c>
      <c r="C137" s="26" t="s">
        <v>384</v>
      </c>
      <c r="D137" s="27" t="s">
        <v>215</v>
      </c>
      <c r="E137" s="11" t="s">
        <v>363</v>
      </c>
      <c r="F137" s="30">
        <v>2400</v>
      </c>
      <c r="G137" s="30">
        <v>0</v>
      </c>
      <c r="H137" s="30">
        <v>0</v>
      </c>
      <c r="I137" s="30">
        <v>0</v>
      </c>
      <c r="J137" s="30">
        <v>0</v>
      </c>
      <c r="K137" s="30">
        <v>0</v>
      </c>
      <c r="L137" s="30">
        <v>0</v>
      </c>
      <c r="M137" s="30">
        <v>0</v>
      </c>
      <c r="N137" s="12">
        <f t="shared" si="39"/>
        <v>0</v>
      </c>
      <c r="O137" s="30">
        <v>0</v>
      </c>
      <c r="P137" s="13">
        <v>0</v>
      </c>
      <c r="Q137" s="13">
        <v>0</v>
      </c>
      <c r="R137" s="14">
        <f t="shared" si="38"/>
        <v>0</v>
      </c>
      <c r="S137" s="13">
        <f t="shared" si="40"/>
        <v>100</v>
      </c>
      <c r="T137" s="13">
        <f t="shared" si="41"/>
        <v>200</v>
      </c>
      <c r="U137" s="13" t="s">
        <v>4181</v>
      </c>
      <c r="V137" s="29" t="s">
        <v>385</v>
      </c>
    </row>
    <row r="138" spans="1:23" ht="30" customHeight="1">
      <c r="A138" s="25">
        <v>10</v>
      </c>
      <c r="B138" s="25">
        <v>6092</v>
      </c>
      <c r="C138" s="26" t="s">
        <v>386</v>
      </c>
      <c r="D138" s="27" t="s">
        <v>387</v>
      </c>
      <c r="E138" s="11" t="s">
        <v>363</v>
      </c>
      <c r="F138" s="30">
        <v>2400</v>
      </c>
      <c r="G138" s="30">
        <v>0</v>
      </c>
      <c r="H138" s="30">
        <v>0</v>
      </c>
      <c r="I138" s="30">
        <v>0</v>
      </c>
      <c r="J138" s="30">
        <v>0</v>
      </c>
      <c r="K138" s="30">
        <v>0</v>
      </c>
      <c r="L138" s="30">
        <v>0</v>
      </c>
      <c r="M138" s="30">
        <v>0</v>
      </c>
      <c r="N138" s="12">
        <f t="shared" si="39"/>
        <v>0</v>
      </c>
      <c r="O138" s="30">
        <v>2400</v>
      </c>
      <c r="P138" s="13">
        <v>0</v>
      </c>
      <c r="Q138" s="13">
        <v>0</v>
      </c>
      <c r="R138" s="14">
        <f t="shared" si="38"/>
        <v>2400</v>
      </c>
      <c r="S138" s="13">
        <f t="shared" si="40"/>
        <v>2500</v>
      </c>
      <c r="T138" s="13">
        <f t="shared" si="41"/>
        <v>2600</v>
      </c>
      <c r="U138" s="13" t="s">
        <v>4181</v>
      </c>
      <c r="V138" s="29" t="s">
        <v>388</v>
      </c>
    </row>
    <row r="139" spans="1:23" ht="30" customHeight="1">
      <c r="A139" s="25">
        <v>11</v>
      </c>
      <c r="B139" s="25">
        <v>6093</v>
      </c>
      <c r="C139" s="26" t="s">
        <v>389</v>
      </c>
      <c r="D139" s="27" t="s">
        <v>390</v>
      </c>
      <c r="E139" s="11" t="s">
        <v>363</v>
      </c>
      <c r="F139" s="30">
        <v>2000</v>
      </c>
      <c r="G139" s="30">
        <v>0</v>
      </c>
      <c r="H139" s="30">
        <v>0</v>
      </c>
      <c r="I139" s="30">
        <v>0</v>
      </c>
      <c r="J139" s="30">
        <v>0</v>
      </c>
      <c r="K139" s="30">
        <v>0</v>
      </c>
      <c r="L139" s="30">
        <v>0</v>
      </c>
      <c r="M139" s="30">
        <v>0</v>
      </c>
      <c r="N139" s="12">
        <f t="shared" si="39"/>
        <v>0</v>
      </c>
      <c r="O139" s="30">
        <v>0</v>
      </c>
      <c r="P139" s="13">
        <v>0</v>
      </c>
      <c r="Q139" s="13">
        <v>0</v>
      </c>
      <c r="R139" s="14">
        <f t="shared" si="38"/>
        <v>0</v>
      </c>
      <c r="S139" s="13">
        <f t="shared" si="40"/>
        <v>100</v>
      </c>
      <c r="T139" s="13">
        <f t="shared" si="41"/>
        <v>200</v>
      </c>
      <c r="U139" s="13" t="s">
        <v>4181</v>
      </c>
      <c r="V139" s="29" t="s">
        <v>391</v>
      </c>
      <c r="W139" t="s">
        <v>4176</v>
      </c>
    </row>
    <row r="140" spans="1:23" ht="30" customHeight="1">
      <c r="A140" s="25">
        <v>12</v>
      </c>
      <c r="B140" s="25">
        <v>6094</v>
      </c>
      <c r="C140" s="26" t="s">
        <v>393</v>
      </c>
      <c r="D140" s="27" t="s">
        <v>165</v>
      </c>
      <c r="E140" s="11" t="s">
        <v>363</v>
      </c>
      <c r="F140" s="30">
        <v>2400</v>
      </c>
      <c r="G140" s="30">
        <v>0</v>
      </c>
      <c r="H140" s="30">
        <v>0</v>
      </c>
      <c r="I140" s="30">
        <v>0</v>
      </c>
      <c r="J140" s="30">
        <v>0</v>
      </c>
      <c r="K140" s="30">
        <v>0</v>
      </c>
      <c r="L140" s="30">
        <v>0</v>
      </c>
      <c r="M140" s="30">
        <v>0</v>
      </c>
      <c r="N140" s="12">
        <f t="shared" si="39"/>
        <v>0</v>
      </c>
      <c r="O140" s="30">
        <v>2400</v>
      </c>
      <c r="P140" s="13">
        <v>0</v>
      </c>
      <c r="Q140" s="13">
        <v>0</v>
      </c>
      <c r="R140" s="14">
        <f t="shared" si="38"/>
        <v>2400</v>
      </c>
      <c r="S140" s="13">
        <f t="shared" si="40"/>
        <v>2500</v>
      </c>
      <c r="T140" s="13">
        <f t="shared" si="41"/>
        <v>2600</v>
      </c>
      <c r="U140" s="13" t="s">
        <v>4181</v>
      </c>
      <c r="V140" s="29" t="s">
        <v>388</v>
      </c>
    </row>
    <row r="141" spans="1:23" ht="30" customHeight="1">
      <c r="A141" s="25">
        <v>13</v>
      </c>
      <c r="B141" s="25">
        <v>6096</v>
      </c>
      <c r="C141" s="26" t="s">
        <v>394</v>
      </c>
      <c r="D141" s="27" t="s">
        <v>83</v>
      </c>
      <c r="E141" s="11" t="s">
        <v>363</v>
      </c>
      <c r="F141" s="30">
        <v>0</v>
      </c>
      <c r="G141" s="30">
        <v>0</v>
      </c>
      <c r="H141" s="30">
        <v>0</v>
      </c>
      <c r="I141" s="30">
        <v>0</v>
      </c>
      <c r="J141" s="30">
        <v>0</v>
      </c>
      <c r="K141" s="30">
        <v>0</v>
      </c>
      <c r="L141" s="30">
        <v>0</v>
      </c>
      <c r="M141" s="30">
        <v>0</v>
      </c>
      <c r="N141" s="12">
        <f t="shared" si="39"/>
        <v>0</v>
      </c>
      <c r="O141" s="30">
        <v>0</v>
      </c>
      <c r="P141" s="13">
        <v>0</v>
      </c>
      <c r="Q141" s="13">
        <v>0</v>
      </c>
      <c r="R141" s="14">
        <f t="shared" si="38"/>
        <v>0</v>
      </c>
      <c r="S141" s="13">
        <f t="shared" si="40"/>
        <v>100</v>
      </c>
      <c r="T141" s="13">
        <f t="shared" si="41"/>
        <v>200</v>
      </c>
      <c r="U141" s="13" t="s">
        <v>4181</v>
      </c>
      <c r="V141" s="29" t="s">
        <v>395</v>
      </c>
    </row>
    <row r="142" spans="1:23" ht="30" customHeight="1">
      <c r="A142" s="25">
        <v>14</v>
      </c>
      <c r="B142" s="25">
        <v>6124</v>
      </c>
      <c r="C142" s="26" t="s">
        <v>396</v>
      </c>
      <c r="D142" s="27" t="s">
        <v>397</v>
      </c>
      <c r="E142" s="11" t="s">
        <v>363</v>
      </c>
      <c r="F142" s="30">
        <v>2000</v>
      </c>
      <c r="G142" s="30">
        <v>0</v>
      </c>
      <c r="H142" s="30">
        <v>0</v>
      </c>
      <c r="I142" s="30">
        <v>0</v>
      </c>
      <c r="J142" s="30">
        <v>0</v>
      </c>
      <c r="K142" s="30">
        <v>0</v>
      </c>
      <c r="L142" s="30">
        <v>0</v>
      </c>
      <c r="M142" s="30">
        <v>0</v>
      </c>
      <c r="N142" s="12">
        <f t="shared" si="39"/>
        <v>0</v>
      </c>
      <c r="O142" s="30">
        <v>0</v>
      </c>
      <c r="P142" s="13">
        <v>0</v>
      </c>
      <c r="Q142" s="13">
        <v>0</v>
      </c>
      <c r="R142" s="14">
        <f t="shared" si="38"/>
        <v>0</v>
      </c>
      <c r="S142" s="13">
        <f t="shared" si="40"/>
        <v>100</v>
      </c>
      <c r="T142" s="13">
        <f t="shared" si="41"/>
        <v>200</v>
      </c>
      <c r="U142" s="13" t="s">
        <v>4181</v>
      </c>
      <c r="V142" s="29" t="s">
        <v>398</v>
      </c>
    </row>
    <row r="143" spans="1:23" ht="30" customHeight="1">
      <c r="A143" s="25">
        <v>15</v>
      </c>
      <c r="B143" s="25">
        <v>6126</v>
      </c>
      <c r="C143" s="26" t="s">
        <v>399</v>
      </c>
      <c r="D143" s="27" t="s">
        <v>400</v>
      </c>
      <c r="E143" s="11" t="s">
        <v>363</v>
      </c>
      <c r="F143" s="30">
        <v>0</v>
      </c>
      <c r="G143" s="30">
        <v>0</v>
      </c>
      <c r="H143" s="30">
        <v>0</v>
      </c>
      <c r="I143" s="30">
        <v>0</v>
      </c>
      <c r="J143" s="30">
        <v>0</v>
      </c>
      <c r="K143" s="30">
        <v>0</v>
      </c>
      <c r="L143" s="30">
        <v>0</v>
      </c>
      <c r="M143" s="30">
        <v>0</v>
      </c>
      <c r="N143" s="12">
        <f t="shared" si="39"/>
        <v>0</v>
      </c>
      <c r="O143" s="30">
        <v>0</v>
      </c>
      <c r="P143" s="8">
        <v>0</v>
      </c>
      <c r="Q143" s="13">
        <v>0</v>
      </c>
      <c r="R143" s="14">
        <f t="shared" si="38"/>
        <v>0</v>
      </c>
      <c r="S143" s="13">
        <f t="shared" si="40"/>
        <v>100</v>
      </c>
      <c r="T143" s="13">
        <f t="shared" si="41"/>
        <v>200</v>
      </c>
      <c r="U143" s="13" t="s">
        <v>4181</v>
      </c>
      <c r="V143" s="29" t="s">
        <v>401</v>
      </c>
    </row>
    <row r="144" spans="1:23" ht="30" customHeight="1">
      <c r="A144" s="25">
        <v>16</v>
      </c>
      <c r="B144" s="13">
        <v>6135</v>
      </c>
      <c r="C144" s="9" t="s">
        <v>402</v>
      </c>
      <c r="D144" s="9" t="s">
        <v>403</v>
      </c>
      <c r="E144" s="11" t="s">
        <v>363</v>
      </c>
      <c r="F144" s="13">
        <v>1500</v>
      </c>
      <c r="G144" s="13">
        <v>0</v>
      </c>
      <c r="H144" s="13">
        <v>0</v>
      </c>
      <c r="I144" s="13">
        <v>0</v>
      </c>
      <c r="J144" s="13">
        <v>0</v>
      </c>
      <c r="K144" s="13">
        <v>0</v>
      </c>
      <c r="L144" s="13">
        <v>0</v>
      </c>
      <c r="M144" s="13">
        <v>0</v>
      </c>
      <c r="N144" s="12">
        <f t="shared" si="39"/>
        <v>0</v>
      </c>
      <c r="O144" s="13">
        <v>0</v>
      </c>
      <c r="P144" s="13">
        <v>0</v>
      </c>
      <c r="Q144" s="13">
        <v>1000</v>
      </c>
      <c r="R144" s="14">
        <f t="shared" si="38"/>
        <v>1000</v>
      </c>
      <c r="S144" s="13">
        <f t="shared" si="40"/>
        <v>1100</v>
      </c>
      <c r="T144" s="13">
        <f t="shared" si="41"/>
        <v>1200</v>
      </c>
      <c r="U144" s="13" t="s">
        <v>4181</v>
      </c>
      <c r="V144" s="15" t="s">
        <v>404</v>
      </c>
    </row>
    <row r="145" spans="1:22" ht="30" customHeight="1">
      <c r="A145" s="25">
        <v>17</v>
      </c>
      <c r="B145" s="13">
        <v>6197</v>
      </c>
      <c r="C145" s="9" t="s">
        <v>405</v>
      </c>
      <c r="D145" s="9" t="s">
        <v>406</v>
      </c>
      <c r="E145" s="71" t="s">
        <v>363</v>
      </c>
      <c r="F145" s="13">
        <v>1700</v>
      </c>
      <c r="G145" s="13">
        <v>0</v>
      </c>
      <c r="H145" s="13">
        <v>0</v>
      </c>
      <c r="I145" s="13">
        <v>0</v>
      </c>
      <c r="J145" s="13">
        <v>0</v>
      </c>
      <c r="K145" s="13">
        <v>0</v>
      </c>
      <c r="L145" s="13">
        <v>0</v>
      </c>
      <c r="M145" s="13">
        <v>0</v>
      </c>
      <c r="N145" s="12">
        <f t="shared" si="39"/>
        <v>0</v>
      </c>
      <c r="O145" s="13">
        <v>0</v>
      </c>
      <c r="P145" s="13">
        <v>0</v>
      </c>
      <c r="Q145" s="13">
        <v>0</v>
      </c>
      <c r="R145" s="14">
        <f t="shared" si="38"/>
        <v>0</v>
      </c>
      <c r="S145" s="13">
        <f t="shared" si="40"/>
        <v>100</v>
      </c>
      <c r="T145" s="13">
        <f t="shared" si="41"/>
        <v>200</v>
      </c>
      <c r="U145" s="13" t="s">
        <v>4181</v>
      </c>
      <c r="V145" s="15" t="s">
        <v>407</v>
      </c>
    </row>
    <row r="146" spans="1:22" ht="30" customHeight="1">
      <c r="A146" s="25">
        <v>18</v>
      </c>
      <c r="B146" s="19">
        <v>6220</v>
      </c>
      <c r="C146" s="21" t="s">
        <v>504</v>
      </c>
      <c r="D146" s="21" t="s">
        <v>505</v>
      </c>
      <c r="E146" s="53" t="s">
        <v>3087</v>
      </c>
      <c r="F146" s="19">
        <v>2400</v>
      </c>
      <c r="G146" s="19">
        <v>0</v>
      </c>
      <c r="H146" s="19">
        <v>0</v>
      </c>
      <c r="I146" s="19">
        <v>0</v>
      </c>
      <c r="J146" s="19">
        <v>0</v>
      </c>
      <c r="K146" s="19">
        <v>0</v>
      </c>
      <c r="L146" s="19">
        <v>0</v>
      </c>
      <c r="M146" s="19">
        <v>0</v>
      </c>
      <c r="N146" s="12">
        <f t="shared" si="39"/>
        <v>0</v>
      </c>
      <c r="O146" s="19">
        <v>0</v>
      </c>
      <c r="P146" s="13">
        <v>0</v>
      </c>
      <c r="Q146" s="13">
        <v>0</v>
      </c>
      <c r="R146" s="14">
        <f t="shared" si="38"/>
        <v>0</v>
      </c>
      <c r="S146" s="13">
        <f t="shared" si="40"/>
        <v>100</v>
      </c>
      <c r="T146" s="13">
        <f t="shared" si="41"/>
        <v>200</v>
      </c>
      <c r="U146" s="13" t="s">
        <v>4181</v>
      </c>
      <c r="V146" s="15" t="s">
        <v>507</v>
      </c>
    </row>
    <row r="147" spans="1:22" ht="30" customHeight="1">
      <c r="A147" s="25">
        <v>19</v>
      </c>
      <c r="B147" s="19">
        <v>6221</v>
      </c>
      <c r="C147" s="21" t="s">
        <v>508</v>
      </c>
      <c r="D147" s="21" t="s">
        <v>509</v>
      </c>
      <c r="E147" s="53" t="s">
        <v>3087</v>
      </c>
      <c r="F147" s="19">
        <v>1900</v>
      </c>
      <c r="G147" s="19">
        <v>0</v>
      </c>
      <c r="H147" s="19">
        <v>0</v>
      </c>
      <c r="I147" s="19">
        <v>0</v>
      </c>
      <c r="J147" s="19">
        <v>0</v>
      </c>
      <c r="K147" s="19">
        <v>0</v>
      </c>
      <c r="L147" s="19">
        <v>0</v>
      </c>
      <c r="M147" s="19">
        <v>0</v>
      </c>
      <c r="N147" s="12">
        <f t="shared" si="39"/>
        <v>0</v>
      </c>
      <c r="O147" s="19">
        <v>1900</v>
      </c>
      <c r="P147" s="13">
        <v>0</v>
      </c>
      <c r="Q147" s="13">
        <v>0</v>
      </c>
      <c r="R147" s="14">
        <f t="shared" si="38"/>
        <v>1900</v>
      </c>
      <c r="S147" s="13">
        <f t="shared" si="40"/>
        <v>2000</v>
      </c>
      <c r="T147" s="13">
        <f t="shared" si="41"/>
        <v>2100</v>
      </c>
      <c r="U147" s="13" t="s">
        <v>4181</v>
      </c>
      <c r="V147" s="15" t="s">
        <v>510</v>
      </c>
    </row>
    <row r="148" spans="1:22" ht="30" customHeight="1">
      <c r="A148" s="25">
        <v>20</v>
      </c>
      <c r="B148" s="13">
        <v>6280</v>
      </c>
      <c r="C148" s="31" t="s">
        <v>511</v>
      </c>
      <c r="D148" s="9" t="s">
        <v>156</v>
      </c>
      <c r="E148" s="38" t="s">
        <v>3087</v>
      </c>
      <c r="F148" s="32">
        <v>2400</v>
      </c>
      <c r="G148" s="32">
        <v>0</v>
      </c>
      <c r="H148" s="32">
        <v>0</v>
      </c>
      <c r="I148" s="32">
        <v>0</v>
      </c>
      <c r="J148" s="32">
        <v>0</v>
      </c>
      <c r="K148" s="32">
        <v>0</v>
      </c>
      <c r="L148" s="32">
        <v>0</v>
      </c>
      <c r="M148" s="32">
        <v>0</v>
      </c>
      <c r="N148" s="12">
        <f t="shared" si="39"/>
        <v>0</v>
      </c>
      <c r="O148" s="32">
        <v>0</v>
      </c>
      <c r="P148" s="13">
        <v>0</v>
      </c>
      <c r="Q148" s="13">
        <v>0</v>
      </c>
      <c r="R148" s="14">
        <f t="shared" si="38"/>
        <v>0</v>
      </c>
      <c r="S148" s="13">
        <f t="shared" si="40"/>
        <v>100</v>
      </c>
      <c r="T148" s="13">
        <f t="shared" si="41"/>
        <v>200</v>
      </c>
      <c r="U148" s="13" t="s">
        <v>4181</v>
      </c>
      <c r="V148" s="23" t="s">
        <v>512</v>
      </c>
    </row>
    <row r="149" spans="1:22" ht="30" customHeight="1">
      <c r="A149" s="25">
        <v>21</v>
      </c>
      <c r="B149" s="13">
        <v>6300</v>
      </c>
      <c r="C149" s="31" t="s">
        <v>513</v>
      </c>
      <c r="D149" s="9" t="s">
        <v>514</v>
      </c>
      <c r="E149" s="38" t="s">
        <v>3087</v>
      </c>
      <c r="F149" s="32">
        <v>2400</v>
      </c>
      <c r="G149" s="32">
        <v>0</v>
      </c>
      <c r="H149" s="32">
        <v>0</v>
      </c>
      <c r="I149" s="32">
        <v>0</v>
      </c>
      <c r="J149" s="32">
        <v>0</v>
      </c>
      <c r="K149" s="32">
        <v>0</v>
      </c>
      <c r="L149" s="32">
        <v>0</v>
      </c>
      <c r="M149" s="32">
        <v>0</v>
      </c>
      <c r="N149" s="12">
        <f t="shared" si="39"/>
        <v>0</v>
      </c>
      <c r="O149" s="32">
        <v>2400</v>
      </c>
      <c r="P149" s="13">
        <v>0</v>
      </c>
      <c r="Q149" s="13">
        <v>0</v>
      </c>
      <c r="R149" s="14">
        <f t="shared" si="38"/>
        <v>2400</v>
      </c>
      <c r="S149" s="13">
        <f t="shared" si="40"/>
        <v>2500</v>
      </c>
      <c r="T149" s="13">
        <f t="shared" si="41"/>
        <v>2600</v>
      </c>
      <c r="U149" s="13" t="s">
        <v>4181</v>
      </c>
      <c r="V149" s="23" t="s">
        <v>515</v>
      </c>
    </row>
    <row r="150" spans="1:22" ht="30" customHeight="1">
      <c r="A150" s="25">
        <v>22</v>
      </c>
      <c r="B150" s="13">
        <v>6322</v>
      </c>
      <c r="C150" s="31" t="s">
        <v>516</v>
      </c>
      <c r="D150" s="9" t="s">
        <v>517</v>
      </c>
      <c r="E150" s="38" t="s">
        <v>3087</v>
      </c>
      <c r="F150" s="32">
        <v>1200</v>
      </c>
      <c r="G150" s="32">
        <v>0</v>
      </c>
      <c r="H150" s="32">
        <v>0</v>
      </c>
      <c r="I150" s="32">
        <v>0</v>
      </c>
      <c r="J150" s="32">
        <v>0</v>
      </c>
      <c r="K150" s="32">
        <v>0</v>
      </c>
      <c r="L150" s="32">
        <v>0</v>
      </c>
      <c r="M150" s="32">
        <v>0</v>
      </c>
      <c r="N150" s="12">
        <f t="shared" si="39"/>
        <v>0</v>
      </c>
      <c r="O150" s="32">
        <v>0</v>
      </c>
      <c r="P150" s="13">
        <v>0</v>
      </c>
      <c r="Q150" s="13">
        <v>0</v>
      </c>
      <c r="R150" s="14">
        <f t="shared" si="38"/>
        <v>0</v>
      </c>
      <c r="S150" s="13">
        <f t="shared" si="40"/>
        <v>100</v>
      </c>
      <c r="T150" s="13">
        <f t="shared" si="41"/>
        <v>200</v>
      </c>
      <c r="U150" s="13" t="s">
        <v>4181</v>
      </c>
      <c r="V150" s="23" t="s">
        <v>518</v>
      </c>
    </row>
    <row r="151" spans="1:22" ht="30" customHeight="1">
      <c r="A151" s="25">
        <v>23</v>
      </c>
      <c r="B151" s="13">
        <v>6347</v>
      </c>
      <c r="C151" s="9" t="s">
        <v>519</v>
      </c>
      <c r="D151" s="9" t="s">
        <v>520</v>
      </c>
      <c r="E151" s="38" t="s">
        <v>3087</v>
      </c>
      <c r="F151" s="13">
        <v>0</v>
      </c>
      <c r="G151" s="13">
        <v>0</v>
      </c>
      <c r="H151" s="13">
        <v>0</v>
      </c>
      <c r="I151" s="13">
        <v>0</v>
      </c>
      <c r="J151" s="13">
        <v>0</v>
      </c>
      <c r="K151" s="13">
        <v>0</v>
      </c>
      <c r="L151" s="13">
        <v>0</v>
      </c>
      <c r="M151" s="13">
        <v>0</v>
      </c>
      <c r="N151" s="12">
        <f t="shared" si="39"/>
        <v>0</v>
      </c>
      <c r="O151" s="13">
        <v>0</v>
      </c>
      <c r="P151" s="13">
        <v>0</v>
      </c>
      <c r="Q151" s="13">
        <v>0</v>
      </c>
      <c r="R151" s="14">
        <f t="shared" si="38"/>
        <v>0</v>
      </c>
      <c r="S151" s="13">
        <f t="shared" si="40"/>
        <v>100</v>
      </c>
      <c r="T151" s="13">
        <f t="shared" si="41"/>
        <v>200</v>
      </c>
      <c r="U151" s="13" t="s">
        <v>4181</v>
      </c>
      <c r="V151" s="15" t="s">
        <v>521</v>
      </c>
    </row>
    <row r="152" spans="1:22" ht="30" customHeight="1">
      <c r="A152" s="25">
        <v>24</v>
      </c>
      <c r="B152" s="13">
        <v>6350</v>
      </c>
      <c r="C152" s="9" t="s">
        <v>44</v>
      </c>
      <c r="D152" s="9" t="s">
        <v>408</v>
      </c>
      <c r="E152" s="11" t="s">
        <v>363</v>
      </c>
      <c r="F152" s="13">
        <v>2200</v>
      </c>
      <c r="G152" s="13">
        <v>0</v>
      </c>
      <c r="H152" s="13">
        <v>0</v>
      </c>
      <c r="I152" s="13">
        <v>0</v>
      </c>
      <c r="J152" s="13">
        <v>0</v>
      </c>
      <c r="K152" s="13">
        <v>0</v>
      </c>
      <c r="L152" s="13">
        <v>0</v>
      </c>
      <c r="M152" s="13">
        <v>0</v>
      </c>
      <c r="N152" s="12">
        <f t="shared" si="39"/>
        <v>0</v>
      </c>
      <c r="O152" s="13">
        <v>0</v>
      </c>
      <c r="P152" s="13">
        <v>0</v>
      </c>
      <c r="Q152" s="13">
        <v>0</v>
      </c>
      <c r="R152" s="14">
        <f t="shared" si="38"/>
        <v>0</v>
      </c>
      <c r="S152" s="13">
        <f t="shared" si="40"/>
        <v>100</v>
      </c>
      <c r="T152" s="13">
        <f t="shared" si="41"/>
        <v>200</v>
      </c>
      <c r="U152" s="13" t="s">
        <v>4181</v>
      </c>
      <c r="V152" s="15" t="s">
        <v>409</v>
      </c>
    </row>
    <row r="153" spans="1:22" ht="30" customHeight="1">
      <c r="A153" s="25">
        <v>25</v>
      </c>
      <c r="B153" s="13">
        <v>6351</v>
      </c>
      <c r="C153" s="9" t="s">
        <v>410</v>
      </c>
      <c r="D153" s="9" t="s">
        <v>411</v>
      </c>
      <c r="E153" s="11" t="s">
        <v>363</v>
      </c>
      <c r="F153" s="13">
        <v>1400</v>
      </c>
      <c r="G153" s="13">
        <v>0</v>
      </c>
      <c r="H153" s="13">
        <v>0</v>
      </c>
      <c r="I153" s="13">
        <v>0</v>
      </c>
      <c r="J153" s="13">
        <v>0</v>
      </c>
      <c r="K153" s="13">
        <v>0</v>
      </c>
      <c r="L153" s="13">
        <v>0</v>
      </c>
      <c r="M153" s="13">
        <v>0</v>
      </c>
      <c r="N153" s="12">
        <f t="shared" si="39"/>
        <v>0</v>
      </c>
      <c r="O153" s="13">
        <v>0</v>
      </c>
      <c r="P153" s="13">
        <v>0</v>
      </c>
      <c r="Q153" s="13">
        <v>0</v>
      </c>
      <c r="R153" s="14">
        <f t="shared" si="38"/>
        <v>0</v>
      </c>
      <c r="S153" s="13">
        <f t="shared" si="40"/>
        <v>100</v>
      </c>
      <c r="T153" s="13">
        <f t="shared" si="41"/>
        <v>200</v>
      </c>
      <c r="U153" s="13" t="s">
        <v>4181</v>
      </c>
      <c r="V153" s="15" t="s">
        <v>412</v>
      </c>
    </row>
    <row r="154" spans="1:22" ht="30" customHeight="1">
      <c r="A154" s="25">
        <v>26</v>
      </c>
      <c r="B154" s="13">
        <v>6354</v>
      </c>
      <c r="C154" s="9" t="s">
        <v>413</v>
      </c>
      <c r="D154" s="9" t="s">
        <v>414</v>
      </c>
      <c r="E154" s="71" t="s">
        <v>363</v>
      </c>
      <c r="F154" s="19">
        <v>1900</v>
      </c>
      <c r="G154" s="19">
        <v>0</v>
      </c>
      <c r="H154" s="19">
        <v>0</v>
      </c>
      <c r="I154" s="19">
        <v>1700</v>
      </c>
      <c r="J154" s="19">
        <v>1900</v>
      </c>
      <c r="K154" s="19">
        <v>1900</v>
      </c>
      <c r="L154" s="19">
        <v>1900</v>
      </c>
      <c r="M154" s="19">
        <v>1900</v>
      </c>
      <c r="N154" s="12">
        <f t="shared" si="39"/>
        <v>9300</v>
      </c>
      <c r="O154" s="19">
        <v>1900</v>
      </c>
      <c r="P154" s="13">
        <v>0</v>
      </c>
      <c r="Q154" s="13">
        <v>3000</v>
      </c>
      <c r="R154" s="14">
        <f t="shared" si="38"/>
        <v>14200</v>
      </c>
      <c r="S154" s="13">
        <f t="shared" si="40"/>
        <v>14300</v>
      </c>
      <c r="T154" s="13">
        <f t="shared" si="41"/>
        <v>14400</v>
      </c>
      <c r="U154" s="13" t="s">
        <v>4181</v>
      </c>
      <c r="V154" s="15" t="s">
        <v>415</v>
      </c>
    </row>
    <row r="155" spans="1:22" ht="30" customHeight="1">
      <c r="A155" s="25">
        <v>27</v>
      </c>
      <c r="B155" s="13">
        <v>6367</v>
      </c>
      <c r="C155" s="9" t="s">
        <v>522</v>
      </c>
      <c r="D155" s="9" t="s">
        <v>198</v>
      </c>
      <c r="E155" s="53" t="s">
        <v>3087</v>
      </c>
      <c r="F155" s="13">
        <v>2400</v>
      </c>
      <c r="G155" s="13">
        <v>0</v>
      </c>
      <c r="H155" s="13">
        <v>0</v>
      </c>
      <c r="I155" s="13">
        <v>0</v>
      </c>
      <c r="J155" s="13">
        <v>0</v>
      </c>
      <c r="K155" s="13">
        <v>0</v>
      </c>
      <c r="L155" s="13">
        <v>0</v>
      </c>
      <c r="M155" s="13">
        <v>0</v>
      </c>
      <c r="N155" s="12">
        <f t="shared" si="39"/>
        <v>0</v>
      </c>
      <c r="O155" s="13">
        <v>2400</v>
      </c>
      <c r="P155" s="13">
        <v>0</v>
      </c>
      <c r="Q155" s="13">
        <v>0</v>
      </c>
      <c r="R155" s="14">
        <f t="shared" si="38"/>
        <v>2400</v>
      </c>
      <c r="S155" s="13">
        <f t="shared" si="40"/>
        <v>2500</v>
      </c>
      <c r="T155" s="13">
        <f t="shared" si="41"/>
        <v>2600</v>
      </c>
      <c r="U155" s="13" t="s">
        <v>4181</v>
      </c>
      <c r="V155" s="15" t="s">
        <v>523</v>
      </c>
    </row>
    <row r="156" spans="1:22" ht="30" customHeight="1">
      <c r="A156" s="25">
        <v>28</v>
      </c>
      <c r="B156" s="13">
        <v>6368</v>
      </c>
      <c r="C156" s="9" t="s">
        <v>524</v>
      </c>
      <c r="D156" s="9" t="s">
        <v>525</v>
      </c>
      <c r="E156" s="38" t="s">
        <v>3087</v>
      </c>
      <c r="F156" s="13">
        <v>1400</v>
      </c>
      <c r="G156" s="13">
        <v>0</v>
      </c>
      <c r="H156" s="13">
        <v>0</v>
      </c>
      <c r="I156" s="13">
        <v>0</v>
      </c>
      <c r="J156" s="13">
        <v>0</v>
      </c>
      <c r="K156" s="13">
        <v>0</v>
      </c>
      <c r="L156" s="13">
        <v>0</v>
      </c>
      <c r="M156" s="13">
        <v>0</v>
      </c>
      <c r="N156" s="12">
        <f t="shared" si="39"/>
        <v>0</v>
      </c>
      <c r="O156" s="13">
        <v>0</v>
      </c>
      <c r="P156" s="13">
        <v>0</v>
      </c>
      <c r="Q156" s="13">
        <v>0</v>
      </c>
      <c r="R156" s="14">
        <f t="shared" si="38"/>
        <v>0</v>
      </c>
      <c r="S156" s="13">
        <f t="shared" si="40"/>
        <v>100</v>
      </c>
      <c r="T156" s="13">
        <f t="shared" si="41"/>
        <v>200</v>
      </c>
      <c r="U156" s="13" t="s">
        <v>4181</v>
      </c>
      <c r="V156" s="15" t="s">
        <v>526</v>
      </c>
    </row>
    <row r="157" spans="1:22" ht="30" customHeight="1">
      <c r="A157" s="25">
        <v>29</v>
      </c>
      <c r="B157" s="13">
        <v>6370</v>
      </c>
      <c r="C157" s="31" t="s">
        <v>530</v>
      </c>
      <c r="D157" s="9" t="s">
        <v>531</v>
      </c>
      <c r="E157" s="38" t="s">
        <v>3087</v>
      </c>
      <c r="F157" s="32">
        <v>1400</v>
      </c>
      <c r="G157" s="32">
        <v>0</v>
      </c>
      <c r="H157" s="32">
        <v>0</v>
      </c>
      <c r="I157" s="32">
        <v>0</v>
      </c>
      <c r="J157" s="32">
        <v>0</v>
      </c>
      <c r="K157" s="32">
        <v>0</v>
      </c>
      <c r="L157" s="32">
        <v>0</v>
      </c>
      <c r="M157" s="32">
        <v>0</v>
      </c>
      <c r="N157" s="12">
        <f t="shared" si="39"/>
        <v>0</v>
      </c>
      <c r="O157" s="32">
        <v>0</v>
      </c>
      <c r="P157" s="13">
        <v>0</v>
      </c>
      <c r="Q157" s="13">
        <v>0</v>
      </c>
      <c r="R157" s="14">
        <f t="shared" si="38"/>
        <v>0</v>
      </c>
      <c r="S157" s="13">
        <f t="shared" si="40"/>
        <v>100</v>
      </c>
      <c r="T157" s="13">
        <f t="shared" si="41"/>
        <v>200</v>
      </c>
      <c r="U157" s="13" t="s">
        <v>4181</v>
      </c>
      <c r="V157" s="23" t="s">
        <v>532</v>
      </c>
    </row>
    <row r="158" spans="1:22" ht="30" customHeight="1">
      <c r="A158" s="25">
        <v>30</v>
      </c>
      <c r="B158" s="13">
        <v>6372</v>
      </c>
      <c r="C158" s="31" t="s">
        <v>533</v>
      </c>
      <c r="D158" s="9" t="s">
        <v>534</v>
      </c>
      <c r="E158" s="38" t="s">
        <v>3087</v>
      </c>
      <c r="F158" s="32">
        <v>2400</v>
      </c>
      <c r="G158" s="32">
        <v>0</v>
      </c>
      <c r="H158" s="32">
        <v>0</v>
      </c>
      <c r="I158" s="32">
        <v>0</v>
      </c>
      <c r="J158" s="32">
        <v>0</v>
      </c>
      <c r="K158" s="32">
        <v>0</v>
      </c>
      <c r="L158" s="32">
        <v>0</v>
      </c>
      <c r="M158" s="32">
        <v>0</v>
      </c>
      <c r="N158" s="12">
        <f t="shared" si="39"/>
        <v>0</v>
      </c>
      <c r="O158" s="32">
        <v>0</v>
      </c>
      <c r="P158" s="13">
        <v>0</v>
      </c>
      <c r="Q158" s="13">
        <v>0</v>
      </c>
      <c r="R158" s="14">
        <f t="shared" si="38"/>
        <v>0</v>
      </c>
      <c r="S158" s="13">
        <f t="shared" si="40"/>
        <v>100</v>
      </c>
      <c r="T158" s="13">
        <f t="shared" si="41"/>
        <v>200</v>
      </c>
      <c r="U158" s="13" t="s">
        <v>4181</v>
      </c>
      <c r="V158" s="23" t="s">
        <v>535</v>
      </c>
    </row>
    <row r="159" spans="1:22" ht="30" customHeight="1">
      <c r="A159" s="25">
        <v>31</v>
      </c>
      <c r="B159" s="19">
        <v>6425</v>
      </c>
      <c r="C159" s="20" t="s">
        <v>146</v>
      </c>
      <c r="D159" s="21" t="s">
        <v>416</v>
      </c>
      <c r="E159" s="71" t="s">
        <v>363</v>
      </c>
      <c r="F159" s="22">
        <v>1900</v>
      </c>
      <c r="G159" s="22">
        <v>0</v>
      </c>
      <c r="H159" s="22">
        <v>0</v>
      </c>
      <c r="I159" s="22">
        <v>0</v>
      </c>
      <c r="J159" s="22">
        <v>0</v>
      </c>
      <c r="K159" s="22">
        <v>0</v>
      </c>
      <c r="L159" s="22">
        <v>0</v>
      </c>
      <c r="M159" s="22">
        <v>0</v>
      </c>
      <c r="N159" s="12">
        <f t="shared" si="39"/>
        <v>0</v>
      </c>
      <c r="O159" s="22">
        <v>0</v>
      </c>
      <c r="P159" s="13">
        <v>0</v>
      </c>
      <c r="Q159" s="13">
        <v>0</v>
      </c>
      <c r="R159" s="14">
        <f t="shared" si="38"/>
        <v>0</v>
      </c>
      <c r="S159" s="13">
        <f t="shared" si="40"/>
        <v>100</v>
      </c>
      <c r="T159" s="13">
        <f t="shared" si="41"/>
        <v>200</v>
      </c>
      <c r="U159" s="13" t="s">
        <v>4181</v>
      </c>
      <c r="V159" s="23" t="s">
        <v>417</v>
      </c>
    </row>
    <row r="160" spans="1:22" ht="30" customHeight="1">
      <c r="A160" s="25">
        <v>32</v>
      </c>
      <c r="B160" s="13">
        <v>6461</v>
      </c>
      <c r="C160" s="21" t="s">
        <v>121</v>
      </c>
      <c r="D160" s="9" t="s">
        <v>553</v>
      </c>
      <c r="E160" s="38" t="s">
        <v>3087</v>
      </c>
      <c r="F160" s="8">
        <v>2200</v>
      </c>
      <c r="G160" s="8">
        <v>0</v>
      </c>
      <c r="H160" s="8">
        <v>0</v>
      </c>
      <c r="I160" s="8">
        <v>0</v>
      </c>
      <c r="J160" s="8">
        <v>0</v>
      </c>
      <c r="K160" s="8">
        <v>0</v>
      </c>
      <c r="L160" s="8">
        <v>0</v>
      </c>
      <c r="M160" s="8">
        <v>0</v>
      </c>
      <c r="N160" s="12">
        <f t="shared" si="39"/>
        <v>0</v>
      </c>
      <c r="O160" s="8">
        <v>0</v>
      </c>
      <c r="P160" s="13">
        <v>0</v>
      </c>
      <c r="Q160" s="13">
        <v>0</v>
      </c>
      <c r="R160" s="14">
        <f t="shared" si="38"/>
        <v>0</v>
      </c>
      <c r="S160" s="13">
        <f t="shared" si="40"/>
        <v>100</v>
      </c>
      <c r="T160" s="13">
        <f t="shared" si="41"/>
        <v>200</v>
      </c>
      <c r="U160" s="13" t="s">
        <v>4181</v>
      </c>
      <c r="V160" s="15" t="s">
        <v>554</v>
      </c>
    </row>
    <row r="161" spans="1:23" ht="30" customHeight="1">
      <c r="A161" s="25">
        <v>33</v>
      </c>
      <c r="B161" s="19">
        <v>6628</v>
      </c>
      <c r="C161" s="20" t="s">
        <v>418</v>
      </c>
      <c r="D161" s="21" t="s">
        <v>419</v>
      </c>
      <c r="E161" s="11" t="s">
        <v>363</v>
      </c>
      <c r="F161" s="22">
        <v>2000</v>
      </c>
      <c r="G161" s="22">
        <v>0</v>
      </c>
      <c r="H161" s="22">
        <v>0</v>
      </c>
      <c r="I161" s="22">
        <v>0</v>
      </c>
      <c r="J161" s="22">
        <v>0</v>
      </c>
      <c r="K161" s="22">
        <v>0</v>
      </c>
      <c r="L161" s="22">
        <v>0</v>
      </c>
      <c r="M161" s="22">
        <v>0</v>
      </c>
      <c r="N161" s="12">
        <f t="shared" si="39"/>
        <v>0</v>
      </c>
      <c r="O161" s="22">
        <v>0</v>
      </c>
      <c r="P161" s="13">
        <v>0</v>
      </c>
      <c r="Q161" s="13">
        <v>0</v>
      </c>
      <c r="R161" s="14">
        <f t="shared" si="38"/>
        <v>0</v>
      </c>
      <c r="S161" s="13">
        <f t="shared" si="40"/>
        <v>100</v>
      </c>
      <c r="T161" s="13">
        <f t="shared" si="41"/>
        <v>200</v>
      </c>
      <c r="U161" s="13" t="s">
        <v>4181</v>
      </c>
      <c r="V161" s="23" t="s">
        <v>420</v>
      </c>
    </row>
    <row r="162" spans="1:23" ht="30" customHeight="1">
      <c r="A162" s="25">
        <v>34</v>
      </c>
      <c r="B162" s="19">
        <v>6629</v>
      </c>
      <c r="C162" s="20" t="s">
        <v>421</v>
      </c>
      <c r="D162" s="21" t="s">
        <v>422</v>
      </c>
      <c r="E162" s="11" t="s">
        <v>363</v>
      </c>
      <c r="F162" s="22">
        <v>2400</v>
      </c>
      <c r="G162" s="22">
        <v>0</v>
      </c>
      <c r="H162" s="22">
        <v>0</v>
      </c>
      <c r="I162" s="22">
        <v>0</v>
      </c>
      <c r="J162" s="22">
        <v>0</v>
      </c>
      <c r="K162" s="22">
        <v>0</v>
      </c>
      <c r="L162" s="22">
        <v>0</v>
      </c>
      <c r="M162" s="22">
        <v>0</v>
      </c>
      <c r="N162" s="12">
        <f t="shared" si="39"/>
        <v>0</v>
      </c>
      <c r="O162" s="22">
        <v>0</v>
      </c>
      <c r="P162" s="13">
        <v>0</v>
      </c>
      <c r="Q162" s="13">
        <v>0</v>
      </c>
      <c r="R162" s="14">
        <f t="shared" si="38"/>
        <v>0</v>
      </c>
      <c r="S162" s="13">
        <f t="shared" si="40"/>
        <v>100</v>
      </c>
      <c r="T162" s="13">
        <f t="shared" si="41"/>
        <v>200</v>
      </c>
      <c r="U162" s="13" t="s">
        <v>4181</v>
      </c>
      <c r="V162" s="23"/>
      <c r="W162" t="s">
        <v>423</v>
      </c>
    </row>
    <row r="163" spans="1:23" ht="30" customHeight="1">
      <c r="A163" s="25">
        <v>35</v>
      </c>
      <c r="B163" s="19">
        <v>6646</v>
      </c>
      <c r="C163" s="20" t="s">
        <v>424</v>
      </c>
      <c r="D163" s="21" t="s">
        <v>425</v>
      </c>
      <c r="E163" s="71" t="s">
        <v>363</v>
      </c>
      <c r="F163" s="22">
        <v>2400</v>
      </c>
      <c r="G163" s="22">
        <v>0</v>
      </c>
      <c r="H163" s="22">
        <v>0</v>
      </c>
      <c r="I163" s="22">
        <v>0</v>
      </c>
      <c r="J163" s="22">
        <v>0</v>
      </c>
      <c r="K163" s="22">
        <v>0</v>
      </c>
      <c r="L163" s="22">
        <v>0</v>
      </c>
      <c r="M163" s="22">
        <v>0</v>
      </c>
      <c r="N163" s="12">
        <f t="shared" si="39"/>
        <v>0</v>
      </c>
      <c r="O163" s="22">
        <v>0</v>
      </c>
      <c r="P163" s="13">
        <v>0</v>
      </c>
      <c r="Q163" s="13">
        <v>0</v>
      </c>
      <c r="R163" s="14">
        <f t="shared" si="38"/>
        <v>0</v>
      </c>
      <c r="S163" s="13">
        <f t="shared" si="40"/>
        <v>100</v>
      </c>
      <c r="T163" s="13">
        <f t="shared" si="41"/>
        <v>200</v>
      </c>
      <c r="U163" s="13" t="s">
        <v>4181</v>
      </c>
      <c r="V163" s="23" t="s">
        <v>426</v>
      </c>
      <c r="W163" t="s">
        <v>423</v>
      </c>
    </row>
    <row r="164" spans="1:23" ht="30" customHeight="1">
      <c r="A164" s="25">
        <v>36</v>
      </c>
      <c r="B164" s="8">
        <v>6741</v>
      </c>
      <c r="C164" s="41" t="s">
        <v>41</v>
      </c>
      <c r="D164" s="10" t="s">
        <v>574</v>
      </c>
      <c r="E164" s="53" t="s">
        <v>3087</v>
      </c>
      <c r="F164" s="32">
        <v>1700</v>
      </c>
      <c r="G164" s="32">
        <v>0</v>
      </c>
      <c r="H164" s="32">
        <v>0</v>
      </c>
      <c r="I164" s="32">
        <v>0</v>
      </c>
      <c r="J164" s="32">
        <v>0</v>
      </c>
      <c r="K164" s="32">
        <v>0</v>
      </c>
      <c r="L164" s="32">
        <v>0</v>
      </c>
      <c r="M164" s="32">
        <v>600</v>
      </c>
      <c r="N164" s="12">
        <f t="shared" si="39"/>
        <v>600</v>
      </c>
      <c r="O164" s="32">
        <v>1700</v>
      </c>
      <c r="P164" s="8">
        <v>0</v>
      </c>
      <c r="Q164" s="13">
        <v>0</v>
      </c>
      <c r="R164" s="14">
        <f t="shared" si="38"/>
        <v>2300</v>
      </c>
      <c r="S164" s="13">
        <f t="shared" si="40"/>
        <v>2400</v>
      </c>
      <c r="T164" s="13">
        <f t="shared" si="41"/>
        <v>2500</v>
      </c>
      <c r="U164" s="13" t="s">
        <v>4181</v>
      </c>
      <c r="V164" s="37" t="s">
        <v>575</v>
      </c>
    </row>
    <row r="165" spans="1:23" s="17" customFormat="1" ht="30" customHeight="1">
      <c r="A165" s="25">
        <v>37</v>
      </c>
      <c r="B165" s="13">
        <v>6778</v>
      </c>
      <c r="C165" s="9" t="s">
        <v>492</v>
      </c>
      <c r="D165" s="9" t="s">
        <v>345</v>
      </c>
      <c r="E165" s="11" t="s">
        <v>363</v>
      </c>
      <c r="F165" s="13">
        <v>2200</v>
      </c>
      <c r="G165" s="13">
        <v>0</v>
      </c>
      <c r="H165" s="13">
        <v>0</v>
      </c>
      <c r="I165" s="13">
        <v>0</v>
      </c>
      <c r="J165" s="13">
        <v>0</v>
      </c>
      <c r="K165" s="13">
        <v>0</v>
      </c>
      <c r="L165" s="13">
        <v>0</v>
      </c>
      <c r="M165" s="13">
        <v>0</v>
      </c>
      <c r="N165" s="12">
        <f t="shared" si="39"/>
        <v>0</v>
      </c>
      <c r="O165" s="13">
        <v>0</v>
      </c>
      <c r="P165" s="13">
        <v>0</v>
      </c>
      <c r="Q165" s="13">
        <v>0</v>
      </c>
      <c r="R165" s="14">
        <f t="shared" si="38"/>
        <v>0</v>
      </c>
      <c r="S165" s="13">
        <f t="shared" si="40"/>
        <v>100</v>
      </c>
      <c r="T165" s="13">
        <f t="shared" si="41"/>
        <v>200</v>
      </c>
      <c r="U165" s="13" t="s">
        <v>4181</v>
      </c>
      <c r="V165" s="15" t="s">
        <v>493</v>
      </c>
      <c r="W165" s="17" t="s">
        <v>494</v>
      </c>
    </row>
    <row r="166" spans="1:23" ht="30" customHeight="1">
      <c r="A166" s="25">
        <v>38</v>
      </c>
      <c r="B166" s="19">
        <v>6814</v>
      </c>
      <c r="C166" s="20" t="s">
        <v>427</v>
      </c>
      <c r="D166" s="21" t="s">
        <v>116</v>
      </c>
      <c r="E166" s="11" t="s">
        <v>363</v>
      </c>
      <c r="F166" s="22">
        <v>1700</v>
      </c>
      <c r="G166" s="22">
        <v>0</v>
      </c>
      <c r="H166" s="22">
        <v>0</v>
      </c>
      <c r="I166" s="22">
        <v>0</v>
      </c>
      <c r="J166" s="22">
        <v>0</v>
      </c>
      <c r="K166" s="22">
        <v>0</v>
      </c>
      <c r="L166" s="22">
        <v>0</v>
      </c>
      <c r="M166" s="22">
        <v>0</v>
      </c>
      <c r="N166" s="12">
        <f t="shared" si="39"/>
        <v>0</v>
      </c>
      <c r="O166" s="22">
        <v>1700</v>
      </c>
      <c r="P166" s="13">
        <v>0</v>
      </c>
      <c r="Q166" s="13">
        <v>0</v>
      </c>
      <c r="R166" s="14">
        <f t="shared" si="38"/>
        <v>1700</v>
      </c>
      <c r="S166" s="13">
        <f t="shared" si="40"/>
        <v>1800</v>
      </c>
      <c r="T166" s="13">
        <f t="shared" si="41"/>
        <v>1900</v>
      </c>
      <c r="U166" s="13" t="s">
        <v>4181</v>
      </c>
      <c r="V166" s="23" t="s">
        <v>117</v>
      </c>
    </row>
    <row r="167" spans="1:23" ht="30" customHeight="1">
      <c r="A167" s="25">
        <v>39</v>
      </c>
      <c r="B167" s="19">
        <v>6829</v>
      </c>
      <c r="C167" s="20" t="s">
        <v>428</v>
      </c>
      <c r="D167" s="21" t="s">
        <v>178</v>
      </c>
      <c r="E167" s="11" t="s">
        <v>363</v>
      </c>
      <c r="F167" s="22">
        <v>2200</v>
      </c>
      <c r="G167" s="22">
        <v>0</v>
      </c>
      <c r="H167" s="22">
        <v>0</v>
      </c>
      <c r="I167" s="22">
        <v>0</v>
      </c>
      <c r="J167" s="22">
        <v>0</v>
      </c>
      <c r="K167" s="22">
        <v>0</v>
      </c>
      <c r="L167" s="22">
        <v>0</v>
      </c>
      <c r="M167" s="22">
        <v>0</v>
      </c>
      <c r="N167" s="12">
        <f t="shared" si="39"/>
        <v>0</v>
      </c>
      <c r="O167" s="22">
        <v>0</v>
      </c>
      <c r="P167" s="13">
        <v>0</v>
      </c>
      <c r="Q167" s="13">
        <v>0</v>
      </c>
      <c r="R167" s="14">
        <f t="shared" si="38"/>
        <v>0</v>
      </c>
      <c r="S167" s="13">
        <f t="shared" si="40"/>
        <v>100</v>
      </c>
      <c r="T167" s="13">
        <f t="shared" si="41"/>
        <v>200</v>
      </c>
      <c r="U167" s="13" t="s">
        <v>4181</v>
      </c>
      <c r="V167" s="23" t="s">
        <v>429</v>
      </c>
      <c r="W167" t="s">
        <v>430</v>
      </c>
    </row>
    <row r="168" spans="1:23" ht="30" customHeight="1">
      <c r="A168" s="25">
        <v>40</v>
      </c>
      <c r="B168" s="19">
        <v>6853</v>
      </c>
      <c r="C168" s="20" t="s">
        <v>4092</v>
      </c>
      <c r="D168" s="21" t="s">
        <v>4091</v>
      </c>
      <c r="E168" s="11" t="s">
        <v>363</v>
      </c>
      <c r="F168" s="22">
        <v>2400</v>
      </c>
      <c r="G168" s="22">
        <v>0</v>
      </c>
      <c r="H168" s="22">
        <v>0</v>
      </c>
      <c r="I168" s="22">
        <v>0</v>
      </c>
      <c r="J168" s="22">
        <v>0</v>
      </c>
      <c r="K168" s="22">
        <v>0</v>
      </c>
      <c r="L168" s="22">
        <v>0</v>
      </c>
      <c r="M168" s="22">
        <v>0</v>
      </c>
      <c r="N168" s="12">
        <f t="shared" si="39"/>
        <v>0</v>
      </c>
      <c r="O168" s="22">
        <v>0</v>
      </c>
      <c r="P168" s="13">
        <v>0</v>
      </c>
      <c r="Q168" s="13">
        <v>0</v>
      </c>
      <c r="R168" s="14">
        <f t="shared" si="38"/>
        <v>0</v>
      </c>
      <c r="S168" s="13">
        <f t="shared" si="40"/>
        <v>100</v>
      </c>
      <c r="T168" s="13">
        <f t="shared" si="41"/>
        <v>200</v>
      </c>
      <c r="U168" s="13" t="s">
        <v>4181</v>
      </c>
      <c r="V168" s="23" t="s">
        <v>4088</v>
      </c>
      <c r="W168" t="s">
        <v>4093</v>
      </c>
    </row>
    <row r="169" spans="1:23" ht="30" customHeight="1">
      <c r="A169" s="25">
        <v>41</v>
      </c>
      <c r="B169" s="19">
        <v>6871</v>
      </c>
      <c r="C169" s="20" t="s">
        <v>4132</v>
      </c>
      <c r="D169" s="21" t="s">
        <v>4137</v>
      </c>
      <c r="E169" s="11" t="s">
        <v>363</v>
      </c>
      <c r="F169" s="22">
        <v>2400</v>
      </c>
      <c r="G169" s="22">
        <v>0</v>
      </c>
      <c r="H169" s="22">
        <v>0</v>
      </c>
      <c r="I169" s="22">
        <v>0</v>
      </c>
      <c r="J169" s="22">
        <v>0</v>
      </c>
      <c r="K169" s="22">
        <v>0</v>
      </c>
      <c r="L169" s="22">
        <v>0</v>
      </c>
      <c r="M169" s="22">
        <v>0</v>
      </c>
      <c r="N169" s="12">
        <f t="shared" si="39"/>
        <v>0</v>
      </c>
      <c r="O169" s="22">
        <v>0</v>
      </c>
      <c r="P169" s="13">
        <v>0</v>
      </c>
      <c r="Q169" s="13">
        <v>0</v>
      </c>
      <c r="R169" s="14">
        <f t="shared" si="38"/>
        <v>0</v>
      </c>
      <c r="S169" s="13">
        <f t="shared" si="40"/>
        <v>100</v>
      </c>
      <c r="T169" s="13">
        <f t="shared" si="41"/>
        <v>200</v>
      </c>
      <c r="U169" s="13" t="s">
        <v>4181</v>
      </c>
      <c r="V169" s="23" t="s">
        <v>4134</v>
      </c>
      <c r="W169" t="s">
        <v>4142</v>
      </c>
    </row>
    <row r="170" spans="1:23" ht="30" customHeight="1">
      <c r="A170" s="25">
        <v>1</v>
      </c>
      <c r="B170" s="25">
        <v>6037</v>
      </c>
      <c r="C170" s="26" t="s">
        <v>431</v>
      </c>
      <c r="D170" s="27" t="s">
        <v>213</v>
      </c>
      <c r="E170" s="11" t="s">
        <v>432</v>
      </c>
      <c r="F170" s="30">
        <v>2400</v>
      </c>
      <c r="G170" s="30">
        <v>0</v>
      </c>
      <c r="H170" s="30">
        <v>0</v>
      </c>
      <c r="I170" s="30">
        <v>0</v>
      </c>
      <c r="J170" s="30">
        <v>0</v>
      </c>
      <c r="K170" s="30">
        <v>2400</v>
      </c>
      <c r="L170" s="30">
        <v>2400</v>
      </c>
      <c r="M170" s="30">
        <v>2400</v>
      </c>
      <c r="N170" s="12">
        <f t="shared" si="39"/>
        <v>7200</v>
      </c>
      <c r="O170" s="30">
        <v>2400</v>
      </c>
      <c r="P170" s="13">
        <v>0</v>
      </c>
      <c r="Q170" s="13">
        <v>0</v>
      </c>
      <c r="R170" s="14">
        <f t="shared" si="38"/>
        <v>9600</v>
      </c>
      <c r="S170" s="13">
        <f t="shared" si="40"/>
        <v>9700</v>
      </c>
      <c r="T170" s="13">
        <f t="shared" si="41"/>
        <v>9800</v>
      </c>
      <c r="U170" s="13" t="s">
        <v>4181</v>
      </c>
      <c r="V170" s="29" t="s">
        <v>4068</v>
      </c>
    </row>
    <row r="171" spans="1:23" ht="30" customHeight="1">
      <c r="A171" s="25">
        <v>2</v>
      </c>
      <c r="B171" s="25">
        <v>6067</v>
      </c>
      <c r="C171" s="26" t="s">
        <v>433</v>
      </c>
      <c r="D171" s="27" t="s">
        <v>434</v>
      </c>
      <c r="E171" s="11" t="s">
        <v>432</v>
      </c>
      <c r="F171" s="30">
        <v>1500</v>
      </c>
      <c r="G171" s="30">
        <v>0</v>
      </c>
      <c r="H171" s="30">
        <v>0</v>
      </c>
      <c r="I171" s="30">
        <v>0</v>
      </c>
      <c r="J171" s="30">
        <v>0</v>
      </c>
      <c r="K171" s="30">
        <v>0</v>
      </c>
      <c r="L171" s="30">
        <v>0</v>
      </c>
      <c r="M171" s="30">
        <v>0</v>
      </c>
      <c r="N171" s="12">
        <f t="shared" si="39"/>
        <v>0</v>
      </c>
      <c r="O171" s="30">
        <v>0</v>
      </c>
      <c r="P171" s="13">
        <v>0</v>
      </c>
      <c r="Q171" s="13">
        <v>0</v>
      </c>
      <c r="R171" s="14">
        <f t="shared" si="38"/>
        <v>0</v>
      </c>
      <c r="S171" s="13">
        <f t="shared" si="40"/>
        <v>100</v>
      </c>
      <c r="T171" s="13">
        <f t="shared" si="41"/>
        <v>200</v>
      </c>
      <c r="U171" s="13" t="s">
        <v>4181</v>
      </c>
      <c r="V171" s="29" t="s">
        <v>4119</v>
      </c>
    </row>
    <row r="172" spans="1:23" ht="30" customHeight="1">
      <c r="A172" s="25">
        <v>3</v>
      </c>
      <c r="B172" s="25">
        <v>6134</v>
      </c>
      <c r="C172" s="26" t="s">
        <v>436</v>
      </c>
      <c r="D172" s="27" t="s">
        <v>437</v>
      </c>
      <c r="E172" s="11" t="s">
        <v>432</v>
      </c>
      <c r="F172" s="30">
        <v>2000</v>
      </c>
      <c r="G172" s="30">
        <v>0</v>
      </c>
      <c r="H172" s="30">
        <v>0</v>
      </c>
      <c r="I172" s="30">
        <v>0</v>
      </c>
      <c r="J172" s="30">
        <v>0</v>
      </c>
      <c r="K172" s="30">
        <v>0</v>
      </c>
      <c r="L172" s="30">
        <v>0</v>
      </c>
      <c r="M172" s="30">
        <v>0</v>
      </c>
      <c r="N172" s="12">
        <f t="shared" si="39"/>
        <v>0</v>
      </c>
      <c r="O172" s="30">
        <v>0</v>
      </c>
      <c r="P172" s="13">
        <v>0</v>
      </c>
      <c r="Q172" s="13">
        <v>0</v>
      </c>
      <c r="R172" s="14">
        <f t="shared" si="38"/>
        <v>0</v>
      </c>
      <c r="S172" s="13">
        <f t="shared" si="40"/>
        <v>100</v>
      </c>
      <c r="T172" s="13">
        <f t="shared" si="41"/>
        <v>200</v>
      </c>
      <c r="U172" s="13" t="s">
        <v>4181</v>
      </c>
      <c r="V172" s="29" t="s">
        <v>438</v>
      </c>
    </row>
    <row r="173" spans="1:23" ht="30" customHeight="1">
      <c r="A173" s="25">
        <v>4</v>
      </c>
      <c r="B173" s="25">
        <v>6141</v>
      </c>
      <c r="C173" s="26" t="s">
        <v>439</v>
      </c>
      <c r="D173" s="27" t="s">
        <v>440</v>
      </c>
      <c r="E173" s="11" t="s">
        <v>432</v>
      </c>
      <c r="F173" s="30">
        <v>1500</v>
      </c>
      <c r="G173" s="30">
        <v>0</v>
      </c>
      <c r="H173" s="30">
        <v>0</v>
      </c>
      <c r="I173" s="30">
        <v>0</v>
      </c>
      <c r="J173" s="30">
        <v>0</v>
      </c>
      <c r="K173" s="30">
        <v>0</v>
      </c>
      <c r="L173" s="30">
        <v>0</v>
      </c>
      <c r="M173" s="30">
        <v>0</v>
      </c>
      <c r="N173" s="12">
        <f t="shared" si="39"/>
        <v>0</v>
      </c>
      <c r="O173" s="30">
        <v>0</v>
      </c>
      <c r="P173" s="13">
        <v>0</v>
      </c>
      <c r="Q173" s="13">
        <v>0</v>
      </c>
      <c r="R173" s="14">
        <f t="shared" si="38"/>
        <v>0</v>
      </c>
      <c r="S173" s="13">
        <f t="shared" si="40"/>
        <v>100</v>
      </c>
      <c r="T173" s="13">
        <f t="shared" si="41"/>
        <v>200</v>
      </c>
      <c r="U173" s="13" t="s">
        <v>4181</v>
      </c>
      <c r="V173" s="29" t="s">
        <v>441</v>
      </c>
    </row>
    <row r="174" spans="1:23" ht="30" customHeight="1">
      <c r="A174" s="25">
        <v>5</v>
      </c>
      <c r="B174" s="13">
        <v>6165</v>
      </c>
      <c r="C174" s="9" t="s">
        <v>442</v>
      </c>
      <c r="D174" s="9" t="s">
        <v>443</v>
      </c>
      <c r="E174" s="11" t="s">
        <v>432</v>
      </c>
      <c r="F174" s="13">
        <v>2400</v>
      </c>
      <c r="G174" s="13">
        <v>0</v>
      </c>
      <c r="H174" s="13">
        <v>0</v>
      </c>
      <c r="I174" s="13">
        <v>0</v>
      </c>
      <c r="J174" s="13">
        <v>0</v>
      </c>
      <c r="K174" s="13">
        <v>0</v>
      </c>
      <c r="L174" s="13">
        <v>0</v>
      </c>
      <c r="M174" s="13">
        <v>0</v>
      </c>
      <c r="N174" s="12">
        <f t="shared" si="39"/>
        <v>0</v>
      </c>
      <c r="O174" s="13">
        <v>2400</v>
      </c>
      <c r="P174" s="13">
        <v>0</v>
      </c>
      <c r="Q174" s="13">
        <v>0</v>
      </c>
      <c r="R174" s="14">
        <f t="shared" si="38"/>
        <v>2400</v>
      </c>
      <c r="S174" s="13">
        <f t="shared" si="40"/>
        <v>2500</v>
      </c>
      <c r="T174" s="13">
        <f t="shared" si="41"/>
        <v>2600</v>
      </c>
      <c r="U174" s="13" t="s">
        <v>4181</v>
      </c>
      <c r="V174" s="15" t="s">
        <v>260</v>
      </c>
    </row>
    <row r="175" spans="1:23" ht="30" customHeight="1">
      <c r="A175" s="25">
        <v>6</v>
      </c>
      <c r="B175" s="13">
        <v>6169</v>
      </c>
      <c r="C175" s="9" t="s">
        <v>446</v>
      </c>
      <c r="D175" s="9" t="s">
        <v>447</v>
      </c>
      <c r="E175" s="11" t="s">
        <v>432</v>
      </c>
      <c r="F175" s="13">
        <v>400</v>
      </c>
      <c r="G175" s="13">
        <v>0</v>
      </c>
      <c r="H175" s="13">
        <v>0</v>
      </c>
      <c r="I175" s="13">
        <v>0</v>
      </c>
      <c r="J175" s="13">
        <v>0</v>
      </c>
      <c r="K175" s="13">
        <v>0</v>
      </c>
      <c r="L175" s="13">
        <v>0</v>
      </c>
      <c r="M175" s="13">
        <v>0</v>
      </c>
      <c r="N175" s="12">
        <f t="shared" si="39"/>
        <v>0</v>
      </c>
      <c r="O175" s="13">
        <v>400</v>
      </c>
      <c r="P175" s="13">
        <v>0</v>
      </c>
      <c r="Q175" s="13">
        <v>0</v>
      </c>
      <c r="R175" s="14">
        <f t="shared" si="38"/>
        <v>400</v>
      </c>
      <c r="S175" s="13">
        <f t="shared" si="40"/>
        <v>500</v>
      </c>
      <c r="T175" s="13">
        <f t="shared" si="41"/>
        <v>600</v>
      </c>
      <c r="U175" s="13" t="s">
        <v>4181</v>
      </c>
      <c r="V175" s="15" t="s">
        <v>448</v>
      </c>
    </row>
    <row r="176" spans="1:23" ht="30" customHeight="1">
      <c r="A176" s="25">
        <v>7</v>
      </c>
      <c r="B176" s="13">
        <v>6198</v>
      </c>
      <c r="C176" s="9" t="s">
        <v>449</v>
      </c>
      <c r="D176" s="9" t="s">
        <v>450</v>
      </c>
      <c r="E176" s="11" t="s">
        <v>432</v>
      </c>
      <c r="F176" s="13">
        <v>1300</v>
      </c>
      <c r="G176" s="13">
        <v>0</v>
      </c>
      <c r="H176" s="13">
        <v>0</v>
      </c>
      <c r="I176" s="13">
        <v>0</v>
      </c>
      <c r="J176" s="13">
        <v>0</v>
      </c>
      <c r="K176" s="13">
        <v>0</v>
      </c>
      <c r="L176" s="13">
        <v>0</v>
      </c>
      <c r="M176" s="13">
        <v>0</v>
      </c>
      <c r="N176" s="12">
        <f t="shared" si="39"/>
        <v>0</v>
      </c>
      <c r="O176" s="13">
        <v>0</v>
      </c>
      <c r="P176" s="13">
        <v>0</v>
      </c>
      <c r="Q176" s="13">
        <v>0</v>
      </c>
      <c r="R176" s="14">
        <f t="shared" si="38"/>
        <v>0</v>
      </c>
      <c r="S176" s="13">
        <f t="shared" si="40"/>
        <v>100</v>
      </c>
      <c r="T176" s="13">
        <f t="shared" si="41"/>
        <v>200</v>
      </c>
      <c r="U176" s="13" t="s">
        <v>4181</v>
      </c>
      <c r="V176" s="15" t="s">
        <v>451</v>
      </c>
    </row>
    <row r="177" spans="1:22" ht="30" customHeight="1">
      <c r="A177" s="25">
        <v>8</v>
      </c>
      <c r="B177" s="13">
        <v>6208</v>
      </c>
      <c r="C177" s="9" t="s">
        <v>452</v>
      </c>
      <c r="D177" s="9" t="s">
        <v>453</v>
      </c>
      <c r="E177" s="11" t="s">
        <v>432</v>
      </c>
      <c r="F177" s="13">
        <v>1300</v>
      </c>
      <c r="G177" s="13">
        <v>0</v>
      </c>
      <c r="H177" s="13">
        <v>0</v>
      </c>
      <c r="I177" s="13">
        <v>0</v>
      </c>
      <c r="J177" s="13">
        <v>0</v>
      </c>
      <c r="K177" s="13">
        <v>0</v>
      </c>
      <c r="L177" s="13">
        <v>0</v>
      </c>
      <c r="M177" s="13">
        <v>0</v>
      </c>
      <c r="N177" s="12">
        <f t="shared" si="39"/>
        <v>0</v>
      </c>
      <c r="O177" s="13">
        <v>0</v>
      </c>
      <c r="P177" s="13">
        <v>0</v>
      </c>
      <c r="Q177" s="13">
        <v>0</v>
      </c>
      <c r="R177" s="14">
        <f t="shared" si="38"/>
        <v>0</v>
      </c>
      <c r="S177" s="13">
        <f t="shared" si="40"/>
        <v>100</v>
      </c>
      <c r="T177" s="13">
        <f t="shared" si="41"/>
        <v>200</v>
      </c>
      <c r="U177" s="13" t="s">
        <v>4181</v>
      </c>
      <c r="V177" s="15" t="s">
        <v>454</v>
      </c>
    </row>
    <row r="178" spans="1:22" ht="30" customHeight="1">
      <c r="A178" s="25">
        <v>9</v>
      </c>
      <c r="B178" s="13">
        <v>6230</v>
      </c>
      <c r="C178" s="9" t="s">
        <v>455</v>
      </c>
      <c r="D178" s="9" t="s">
        <v>456</v>
      </c>
      <c r="E178" s="11" t="s">
        <v>432</v>
      </c>
      <c r="F178" s="13">
        <v>1400</v>
      </c>
      <c r="G178" s="13">
        <v>1000</v>
      </c>
      <c r="H178" s="13">
        <v>1200</v>
      </c>
      <c r="I178" s="13">
        <v>1200</v>
      </c>
      <c r="J178" s="13">
        <v>1400</v>
      </c>
      <c r="K178" s="13">
        <v>1400</v>
      </c>
      <c r="L178" s="13">
        <v>1400</v>
      </c>
      <c r="M178" s="13">
        <v>1400</v>
      </c>
      <c r="N178" s="12">
        <f t="shared" si="39"/>
        <v>9000</v>
      </c>
      <c r="O178" s="13">
        <v>1400</v>
      </c>
      <c r="P178" s="13">
        <v>0</v>
      </c>
      <c r="Q178" s="13">
        <v>3000</v>
      </c>
      <c r="R178" s="14">
        <f t="shared" si="38"/>
        <v>13400</v>
      </c>
      <c r="S178" s="13">
        <f t="shared" si="40"/>
        <v>13500</v>
      </c>
      <c r="T178" s="13">
        <f t="shared" si="41"/>
        <v>13600</v>
      </c>
      <c r="U178" s="13" t="s">
        <v>4181</v>
      </c>
      <c r="V178" s="15" t="s">
        <v>457</v>
      </c>
    </row>
    <row r="179" spans="1:22" ht="30" customHeight="1">
      <c r="A179" s="25">
        <v>10</v>
      </c>
      <c r="B179" s="13">
        <v>6235</v>
      </c>
      <c r="C179" s="9" t="s">
        <v>458</v>
      </c>
      <c r="D179" s="9" t="s">
        <v>459</v>
      </c>
      <c r="E179" s="11" t="s">
        <v>432</v>
      </c>
      <c r="F179" s="13">
        <v>1400</v>
      </c>
      <c r="G179" s="13">
        <v>0</v>
      </c>
      <c r="H179" s="13">
        <v>0</v>
      </c>
      <c r="I179" s="13">
        <v>0</v>
      </c>
      <c r="J179" s="13">
        <v>0</v>
      </c>
      <c r="K179" s="13">
        <v>0</v>
      </c>
      <c r="L179" s="13">
        <v>0</v>
      </c>
      <c r="M179" s="13">
        <v>0</v>
      </c>
      <c r="N179" s="12">
        <f t="shared" si="39"/>
        <v>0</v>
      </c>
      <c r="O179" s="13">
        <v>0</v>
      </c>
      <c r="P179" s="13">
        <v>0</v>
      </c>
      <c r="Q179" s="13">
        <v>0</v>
      </c>
      <c r="R179" s="14">
        <f t="shared" si="38"/>
        <v>0</v>
      </c>
      <c r="S179" s="13">
        <f t="shared" si="40"/>
        <v>100</v>
      </c>
      <c r="T179" s="13">
        <f t="shared" si="41"/>
        <v>200</v>
      </c>
      <c r="U179" s="13" t="s">
        <v>4181</v>
      </c>
      <c r="V179" s="15" t="s">
        <v>460</v>
      </c>
    </row>
    <row r="180" spans="1:22" ht="30" customHeight="1">
      <c r="A180" s="25">
        <v>11</v>
      </c>
      <c r="B180" s="13">
        <v>6239</v>
      </c>
      <c r="C180" s="9" t="s">
        <v>461</v>
      </c>
      <c r="D180" s="9" t="s">
        <v>382</v>
      </c>
      <c r="E180" s="11" t="s">
        <v>432</v>
      </c>
      <c r="F180" s="13">
        <v>1200</v>
      </c>
      <c r="G180" s="13">
        <v>0</v>
      </c>
      <c r="H180" s="13">
        <v>0</v>
      </c>
      <c r="I180" s="13">
        <v>0</v>
      </c>
      <c r="J180" s="13">
        <v>0</v>
      </c>
      <c r="K180" s="13">
        <v>0</v>
      </c>
      <c r="L180" s="13">
        <v>0</v>
      </c>
      <c r="M180" s="13">
        <v>0</v>
      </c>
      <c r="N180" s="12">
        <f t="shared" si="39"/>
        <v>0</v>
      </c>
      <c r="O180" s="13">
        <v>0</v>
      </c>
      <c r="P180" s="13">
        <v>0</v>
      </c>
      <c r="Q180" s="13">
        <v>0</v>
      </c>
      <c r="R180" s="14">
        <f t="shared" si="38"/>
        <v>0</v>
      </c>
      <c r="S180" s="13">
        <f t="shared" si="40"/>
        <v>100</v>
      </c>
      <c r="T180" s="13">
        <f t="shared" si="41"/>
        <v>200</v>
      </c>
      <c r="U180" s="13" t="s">
        <v>4181</v>
      </c>
      <c r="V180" s="15" t="s">
        <v>462</v>
      </c>
    </row>
    <row r="181" spans="1:22" ht="30" customHeight="1">
      <c r="A181" s="25">
        <v>12</v>
      </c>
      <c r="B181" s="13">
        <v>6244</v>
      </c>
      <c r="C181" s="9" t="s">
        <v>463</v>
      </c>
      <c r="D181" s="9" t="s">
        <v>464</v>
      </c>
      <c r="E181" s="11" t="s">
        <v>432</v>
      </c>
      <c r="F181" s="13">
        <v>1300</v>
      </c>
      <c r="G181" s="13">
        <v>0</v>
      </c>
      <c r="H181" s="13">
        <v>0</v>
      </c>
      <c r="I181" s="13">
        <v>0</v>
      </c>
      <c r="J181" s="13">
        <v>0</v>
      </c>
      <c r="K181" s="13">
        <v>0</v>
      </c>
      <c r="L181" s="13">
        <v>0</v>
      </c>
      <c r="M181" s="13">
        <v>0</v>
      </c>
      <c r="N181" s="12">
        <f t="shared" si="39"/>
        <v>0</v>
      </c>
      <c r="O181" s="13">
        <v>0</v>
      </c>
      <c r="P181" s="13">
        <v>0</v>
      </c>
      <c r="Q181" s="13">
        <v>0</v>
      </c>
      <c r="R181" s="14">
        <f t="shared" si="38"/>
        <v>0</v>
      </c>
      <c r="S181" s="13">
        <f t="shared" si="40"/>
        <v>100</v>
      </c>
      <c r="T181" s="13">
        <f t="shared" si="41"/>
        <v>200</v>
      </c>
      <c r="U181" s="13" t="s">
        <v>4181</v>
      </c>
      <c r="V181" s="15" t="s">
        <v>465</v>
      </c>
    </row>
    <row r="182" spans="1:22" ht="30" customHeight="1">
      <c r="A182" s="25">
        <v>13</v>
      </c>
      <c r="B182" s="19">
        <v>6278</v>
      </c>
      <c r="C182" s="21" t="s">
        <v>238</v>
      </c>
      <c r="D182" s="21" t="s">
        <v>501</v>
      </c>
      <c r="E182" s="53" t="s">
        <v>3426</v>
      </c>
      <c r="F182" s="19">
        <v>2400</v>
      </c>
      <c r="G182" s="19">
        <v>0</v>
      </c>
      <c r="H182" s="19">
        <v>0</v>
      </c>
      <c r="I182" s="19">
        <v>0</v>
      </c>
      <c r="J182" s="19">
        <v>0</v>
      </c>
      <c r="K182" s="19">
        <v>0</v>
      </c>
      <c r="L182" s="19">
        <v>0</v>
      </c>
      <c r="M182" s="19">
        <v>0</v>
      </c>
      <c r="N182" s="12">
        <f t="shared" si="39"/>
        <v>0</v>
      </c>
      <c r="O182" s="19">
        <v>0</v>
      </c>
      <c r="P182" s="19">
        <v>0</v>
      </c>
      <c r="Q182" s="13">
        <v>0</v>
      </c>
      <c r="R182" s="14">
        <f t="shared" si="38"/>
        <v>0</v>
      </c>
      <c r="S182" s="13">
        <f t="shared" si="40"/>
        <v>100</v>
      </c>
      <c r="T182" s="13">
        <f t="shared" si="41"/>
        <v>200</v>
      </c>
      <c r="U182" s="13" t="s">
        <v>4181</v>
      </c>
      <c r="V182" s="39" t="s">
        <v>503</v>
      </c>
    </row>
    <row r="183" spans="1:22" ht="30" customHeight="1">
      <c r="A183" s="25">
        <v>14</v>
      </c>
      <c r="B183" s="13">
        <v>6318</v>
      </c>
      <c r="C183" s="31" t="s">
        <v>466</v>
      </c>
      <c r="D183" s="9" t="s">
        <v>467</v>
      </c>
      <c r="E183" s="11" t="s">
        <v>432</v>
      </c>
      <c r="F183" s="32">
        <v>2200</v>
      </c>
      <c r="G183" s="32">
        <v>0</v>
      </c>
      <c r="H183" s="32">
        <v>0</v>
      </c>
      <c r="I183" s="32">
        <v>0</v>
      </c>
      <c r="J183" s="32">
        <v>0</v>
      </c>
      <c r="K183" s="32">
        <v>0</v>
      </c>
      <c r="L183" s="32">
        <v>0</v>
      </c>
      <c r="M183" s="32">
        <v>0</v>
      </c>
      <c r="N183" s="12">
        <f t="shared" si="39"/>
        <v>0</v>
      </c>
      <c r="O183" s="32">
        <v>0</v>
      </c>
      <c r="P183" s="13">
        <v>0</v>
      </c>
      <c r="Q183" s="13">
        <v>0</v>
      </c>
      <c r="R183" s="14">
        <f t="shared" si="38"/>
        <v>0</v>
      </c>
      <c r="S183" s="13">
        <f t="shared" si="40"/>
        <v>100</v>
      </c>
      <c r="T183" s="13">
        <f t="shared" si="41"/>
        <v>200</v>
      </c>
      <c r="U183" s="13" t="s">
        <v>4181</v>
      </c>
      <c r="V183" s="23" t="s">
        <v>468</v>
      </c>
    </row>
    <row r="184" spans="1:22" ht="30" customHeight="1">
      <c r="A184" s="25">
        <v>15</v>
      </c>
      <c r="B184" s="19">
        <v>6319</v>
      </c>
      <c r="C184" s="20" t="s">
        <v>469</v>
      </c>
      <c r="D184" s="21" t="s">
        <v>470</v>
      </c>
      <c r="E184" s="11" t="s">
        <v>432</v>
      </c>
      <c r="F184" s="32">
        <v>2400</v>
      </c>
      <c r="G184" s="32">
        <v>0</v>
      </c>
      <c r="H184" s="32">
        <v>0</v>
      </c>
      <c r="I184" s="32">
        <v>0</v>
      </c>
      <c r="J184" s="32">
        <v>0</v>
      </c>
      <c r="K184" s="32">
        <v>0</v>
      </c>
      <c r="L184" s="32">
        <v>0</v>
      </c>
      <c r="M184" s="32">
        <v>0</v>
      </c>
      <c r="N184" s="12">
        <f t="shared" si="39"/>
        <v>0</v>
      </c>
      <c r="O184" s="32">
        <v>0</v>
      </c>
      <c r="P184" s="13">
        <v>0</v>
      </c>
      <c r="Q184" s="13">
        <v>0</v>
      </c>
      <c r="R184" s="14">
        <f t="shared" si="38"/>
        <v>0</v>
      </c>
      <c r="S184" s="13">
        <f t="shared" si="40"/>
        <v>100</v>
      </c>
      <c r="T184" s="13">
        <f t="shared" si="41"/>
        <v>200</v>
      </c>
      <c r="U184" s="13" t="s">
        <v>4181</v>
      </c>
      <c r="V184" s="23" t="s">
        <v>471</v>
      </c>
    </row>
    <row r="185" spans="1:22" ht="30" customHeight="1">
      <c r="A185" s="25">
        <v>16</v>
      </c>
      <c r="B185" s="19">
        <v>6320</v>
      </c>
      <c r="C185" s="20" t="s">
        <v>166</v>
      </c>
      <c r="D185" s="21" t="s">
        <v>472</v>
      </c>
      <c r="E185" s="11" t="s">
        <v>432</v>
      </c>
      <c r="F185" s="32">
        <v>2400</v>
      </c>
      <c r="G185" s="32">
        <v>0</v>
      </c>
      <c r="H185" s="32">
        <v>0</v>
      </c>
      <c r="I185" s="32">
        <v>0</v>
      </c>
      <c r="J185" s="32">
        <v>0</v>
      </c>
      <c r="K185" s="32">
        <v>0</v>
      </c>
      <c r="L185" s="32">
        <v>0</v>
      </c>
      <c r="M185" s="32">
        <v>0</v>
      </c>
      <c r="N185" s="12">
        <f t="shared" si="39"/>
        <v>0</v>
      </c>
      <c r="O185" s="32">
        <v>0</v>
      </c>
      <c r="P185" s="13">
        <v>0</v>
      </c>
      <c r="Q185" s="13">
        <v>0</v>
      </c>
      <c r="R185" s="14">
        <f t="shared" si="38"/>
        <v>0</v>
      </c>
      <c r="S185" s="13">
        <f t="shared" si="40"/>
        <v>100</v>
      </c>
      <c r="T185" s="13">
        <f t="shared" si="41"/>
        <v>200</v>
      </c>
      <c r="U185" s="13" t="s">
        <v>4181</v>
      </c>
      <c r="V185" s="23" t="s">
        <v>473</v>
      </c>
    </row>
    <row r="186" spans="1:22" ht="30" customHeight="1">
      <c r="A186" s="25">
        <v>17</v>
      </c>
      <c r="B186" s="33">
        <v>6321</v>
      </c>
      <c r="C186" s="34" t="s">
        <v>474</v>
      </c>
      <c r="D186" s="35" t="s">
        <v>312</v>
      </c>
      <c r="E186" s="71" t="s">
        <v>432</v>
      </c>
      <c r="F186" s="36">
        <v>0</v>
      </c>
      <c r="G186" s="36">
        <v>0</v>
      </c>
      <c r="H186" s="36">
        <v>0</v>
      </c>
      <c r="I186" s="36">
        <v>0</v>
      </c>
      <c r="J186" s="36">
        <v>0</v>
      </c>
      <c r="K186" s="36">
        <v>0</v>
      </c>
      <c r="L186" s="36">
        <v>0</v>
      </c>
      <c r="M186" s="36">
        <v>0</v>
      </c>
      <c r="N186" s="12">
        <f t="shared" si="39"/>
        <v>0</v>
      </c>
      <c r="O186" s="36">
        <v>0</v>
      </c>
      <c r="P186" s="8">
        <v>0</v>
      </c>
      <c r="Q186" s="13">
        <v>0</v>
      </c>
      <c r="R186" s="14">
        <f t="shared" si="38"/>
        <v>0</v>
      </c>
      <c r="S186" s="13">
        <f t="shared" si="40"/>
        <v>100</v>
      </c>
      <c r="T186" s="13">
        <f t="shared" si="41"/>
        <v>200</v>
      </c>
      <c r="U186" s="13" t="s">
        <v>4181</v>
      </c>
      <c r="V186" s="37" t="s">
        <v>475</v>
      </c>
    </row>
    <row r="187" spans="1:22" ht="30" customHeight="1">
      <c r="A187" s="25">
        <v>18</v>
      </c>
      <c r="B187" s="13">
        <v>6369</v>
      </c>
      <c r="C187" s="9" t="s">
        <v>527</v>
      </c>
      <c r="D187" s="9" t="s">
        <v>528</v>
      </c>
      <c r="E187" s="53" t="s">
        <v>3426</v>
      </c>
      <c r="F187" s="13">
        <v>1400</v>
      </c>
      <c r="G187" s="13">
        <v>0</v>
      </c>
      <c r="H187" s="13">
        <v>0</v>
      </c>
      <c r="I187" s="13">
        <v>0</v>
      </c>
      <c r="J187" s="13">
        <v>0</v>
      </c>
      <c r="K187" s="13">
        <v>0</v>
      </c>
      <c r="L187" s="13">
        <v>0</v>
      </c>
      <c r="M187" s="13">
        <v>0</v>
      </c>
      <c r="N187" s="12">
        <f t="shared" si="39"/>
        <v>0</v>
      </c>
      <c r="O187" s="13">
        <v>0</v>
      </c>
      <c r="P187" s="13">
        <v>0</v>
      </c>
      <c r="Q187" s="13">
        <v>0</v>
      </c>
      <c r="R187" s="14">
        <f t="shared" si="38"/>
        <v>0</v>
      </c>
      <c r="S187" s="13">
        <f t="shared" si="40"/>
        <v>100</v>
      </c>
      <c r="T187" s="13">
        <f t="shared" si="41"/>
        <v>200</v>
      </c>
      <c r="U187" s="13" t="s">
        <v>4181</v>
      </c>
      <c r="V187" s="15" t="s">
        <v>529</v>
      </c>
    </row>
    <row r="188" spans="1:22" ht="30" customHeight="1">
      <c r="A188" s="25">
        <v>19</v>
      </c>
      <c r="B188" s="13">
        <v>6373</v>
      </c>
      <c r="C188" s="9" t="s">
        <v>536</v>
      </c>
      <c r="D188" s="9" t="s">
        <v>537</v>
      </c>
      <c r="E188" s="38" t="s">
        <v>3426</v>
      </c>
      <c r="F188" s="13">
        <v>1400</v>
      </c>
      <c r="G188" s="13">
        <v>0</v>
      </c>
      <c r="H188" s="13">
        <v>0</v>
      </c>
      <c r="I188" s="13">
        <v>0</v>
      </c>
      <c r="J188" s="13">
        <v>0</v>
      </c>
      <c r="K188" s="13">
        <v>0</v>
      </c>
      <c r="L188" s="13">
        <v>0</v>
      </c>
      <c r="M188" s="13">
        <v>0</v>
      </c>
      <c r="N188" s="12">
        <f t="shared" si="39"/>
        <v>0</v>
      </c>
      <c r="O188" s="13">
        <v>0</v>
      </c>
      <c r="P188" s="13">
        <v>0</v>
      </c>
      <c r="Q188" s="13">
        <v>0</v>
      </c>
      <c r="R188" s="14">
        <f t="shared" si="38"/>
        <v>0</v>
      </c>
      <c r="S188" s="13">
        <f t="shared" si="40"/>
        <v>100</v>
      </c>
      <c r="T188" s="13">
        <f t="shared" si="41"/>
        <v>200</v>
      </c>
      <c r="U188" s="13" t="s">
        <v>4181</v>
      </c>
      <c r="V188" s="15" t="s">
        <v>945</v>
      </c>
    </row>
    <row r="189" spans="1:22" ht="30" customHeight="1">
      <c r="A189" s="25">
        <v>20</v>
      </c>
      <c r="B189" s="13">
        <v>6424</v>
      </c>
      <c r="C189" s="31" t="s">
        <v>538</v>
      </c>
      <c r="D189" s="9" t="s">
        <v>539</v>
      </c>
      <c r="E189" s="38" t="s">
        <v>3426</v>
      </c>
      <c r="F189" s="32">
        <v>2400</v>
      </c>
      <c r="G189" s="32">
        <v>0</v>
      </c>
      <c r="H189" s="32">
        <v>0</v>
      </c>
      <c r="I189" s="32">
        <v>0</v>
      </c>
      <c r="J189" s="32">
        <v>0</v>
      </c>
      <c r="K189" s="32">
        <v>0</v>
      </c>
      <c r="L189" s="32">
        <v>0</v>
      </c>
      <c r="M189" s="32">
        <v>0</v>
      </c>
      <c r="N189" s="12">
        <f t="shared" si="39"/>
        <v>0</v>
      </c>
      <c r="O189" s="32">
        <v>2400</v>
      </c>
      <c r="P189" s="13">
        <v>0</v>
      </c>
      <c r="Q189" s="13">
        <v>0</v>
      </c>
      <c r="R189" s="14">
        <f t="shared" si="38"/>
        <v>2400</v>
      </c>
      <c r="S189" s="13">
        <f t="shared" si="40"/>
        <v>2500</v>
      </c>
      <c r="T189" s="13">
        <f t="shared" si="41"/>
        <v>2600</v>
      </c>
      <c r="U189" s="13" t="s">
        <v>4181</v>
      </c>
      <c r="V189" s="23" t="s">
        <v>540</v>
      </c>
    </row>
    <row r="190" spans="1:22" ht="30" customHeight="1">
      <c r="A190" s="25">
        <v>21</v>
      </c>
      <c r="B190" s="13">
        <v>6429</v>
      </c>
      <c r="C190" s="9" t="s">
        <v>541</v>
      </c>
      <c r="D190" s="9" t="s">
        <v>542</v>
      </c>
      <c r="E190" s="38" t="s">
        <v>3426</v>
      </c>
      <c r="F190" s="13">
        <v>1400</v>
      </c>
      <c r="G190" s="13">
        <v>0</v>
      </c>
      <c r="H190" s="13">
        <v>0</v>
      </c>
      <c r="I190" s="13">
        <v>0</v>
      </c>
      <c r="J190" s="13">
        <v>0</v>
      </c>
      <c r="K190" s="13">
        <v>0</v>
      </c>
      <c r="L190" s="13">
        <v>0</v>
      </c>
      <c r="M190" s="13">
        <v>0</v>
      </c>
      <c r="N190" s="12">
        <f t="shared" si="39"/>
        <v>0</v>
      </c>
      <c r="O190" s="13">
        <v>0</v>
      </c>
      <c r="P190" s="13">
        <v>0</v>
      </c>
      <c r="Q190" s="13">
        <v>0</v>
      </c>
      <c r="R190" s="14">
        <f t="shared" si="38"/>
        <v>0</v>
      </c>
      <c r="S190" s="13">
        <f t="shared" si="40"/>
        <v>100</v>
      </c>
      <c r="T190" s="13">
        <f t="shared" si="41"/>
        <v>200</v>
      </c>
      <c r="U190" s="13" t="s">
        <v>4181</v>
      </c>
      <c r="V190" s="15" t="s">
        <v>543</v>
      </c>
    </row>
    <row r="191" spans="1:22" ht="30" customHeight="1">
      <c r="A191" s="25">
        <v>22</v>
      </c>
      <c r="B191" s="13">
        <v>6447</v>
      </c>
      <c r="C191" s="9" t="s">
        <v>546</v>
      </c>
      <c r="D191" s="9" t="s">
        <v>547</v>
      </c>
      <c r="E191" s="38" t="s">
        <v>3426</v>
      </c>
      <c r="F191" s="13">
        <v>2400</v>
      </c>
      <c r="G191" s="13">
        <v>0</v>
      </c>
      <c r="H191" s="13">
        <v>0</v>
      </c>
      <c r="I191" s="13">
        <v>0</v>
      </c>
      <c r="J191" s="13">
        <v>0</v>
      </c>
      <c r="K191" s="13">
        <v>0</v>
      </c>
      <c r="L191" s="13">
        <v>0</v>
      </c>
      <c r="M191" s="13">
        <v>0</v>
      </c>
      <c r="N191" s="12">
        <f t="shared" si="39"/>
        <v>0</v>
      </c>
      <c r="O191" s="13">
        <v>0</v>
      </c>
      <c r="P191" s="13">
        <v>0</v>
      </c>
      <c r="Q191" s="13">
        <v>0</v>
      </c>
      <c r="R191" s="14">
        <f t="shared" si="38"/>
        <v>0</v>
      </c>
      <c r="S191" s="13">
        <f t="shared" si="40"/>
        <v>100</v>
      </c>
      <c r="T191" s="13">
        <f t="shared" si="41"/>
        <v>200</v>
      </c>
      <c r="U191" s="13" t="s">
        <v>4181</v>
      </c>
      <c r="V191" s="15" t="s">
        <v>548</v>
      </c>
    </row>
    <row r="192" spans="1:22" ht="30" customHeight="1">
      <c r="A192" s="25">
        <v>23</v>
      </c>
      <c r="B192" s="13">
        <v>6459</v>
      </c>
      <c r="C192" s="9" t="s">
        <v>549</v>
      </c>
      <c r="D192" s="9" t="s">
        <v>550</v>
      </c>
      <c r="E192" s="38" t="s">
        <v>3426</v>
      </c>
      <c r="F192" s="13">
        <v>1600</v>
      </c>
      <c r="G192" s="13">
        <v>0</v>
      </c>
      <c r="H192" s="13">
        <v>0</v>
      </c>
      <c r="I192" s="13">
        <v>0</v>
      </c>
      <c r="J192" s="13">
        <v>0</v>
      </c>
      <c r="K192" s="13">
        <v>0</v>
      </c>
      <c r="L192" s="13">
        <v>0</v>
      </c>
      <c r="M192" s="13">
        <v>0</v>
      </c>
      <c r="N192" s="12">
        <f t="shared" si="39"/>
        <v>0</v>
      </c>
      <c r="O192" s="13">
        <v>1600</v>
      </c>
      <c r="P192" s="13">
        <v>0</v>
      </c>
      <c r="Q192" s="13">
        <v>0</v>
      </c>
      <c r="R192" s="14">
        <f t="shared" si="38"/>
        <v>1600</v>
      </c>
      <c r="S192" s="13">
        <f t="shared" si="40"/>
        <v>1700</v>
      </c>
      <c r="T192" s="13">
        <f t="shared" si="41"/>
        <v>1800</v>
      </c>
      <c r="U192" s="13" t="s">
        <v>4181</v>
      </c>
      <c r="V192" s="15" t="s">
        <v>551</v>
      </c>
    </row>
    <row r="193" spans="1:23" ht="30" customHeight="1">
      <c r="A193" s="25">
        <v>24</v>
      </c>
      <c r="B193" s="13">
        <v>6460</v>
      </c>
      <c r="C193" s="9" t="s">
        <v>552</v>
      </c>
      <c r="D193" s="9" t="s">
        <v>210</v>
      </c>
      <c r="E193" s="38" t="s">
        <v>3426</v>
      </c>
      <c r="F193" s="8">
        <v>2400</v>
      </c>
      <c r="G193" s="8">
        <v>0</v>
      </c>
      <c r="H193" s="8">
        <v>0</v>
      </c>
      <c r="I193" s="8">
        <v>0</v>
      </c>
      <c r="J193" s="8">
        <v>0</v>
      </c>
      <c r="K193" s="8">
        <v>0</v>
      </c>
      <c r="L193" s="8">
        <v>0</v>
      </c>
      <c r="M193" s="8">
        <v>0</v>
      </c>
      <c r="N193" s="12">
        <f t="shared" si="39"/>
        <v>0</v>
      </c>
      <c r="O193" s="8">
        <v>0</v>
      </c>
      <c r="P193" s="13">
        <v>0</v>
      </c>
      <c r="Q193" s="13">
        <v>0</v>
      </c>
      <c r="R193" s="14">
        <f t="shared" si="38"/>
        <v>0</v>
      </c>
      <c r="S193" s="13">
        <f t="shared" si="40"/>
        <v>100</v>
      </c>
      <c r="T193" s="13">
        <f t="shared" si="41"/>
        <v>200</v>
      </c>
      <c r="U193" s="13" t="s">
        <v>4181</v>
      </c>
      <c r="V193" s="15" t="s">
        <v>211</v>
      </c>
    </row>
    <row r="194" spans="1:23" ht="30" customHeight="1">
      <c r="A194" s="25">
        <v>25</v>
      </c>
      <c r="B194" s="13">
        <v>6477</v>
      </c>
      <c r="C194" s="21" t="s">
        <v>555</v>
      </c>
      <c r="D194" s="9" t="s">
        <v>556</v>
      </c>
      <c r="E194" s="38" t="s">
        <v>3426</v>
      </c>
      <c r="F194" s="8">
        <v>1900</v>
      </c>
      <c r="G194" s="8">
        <v>0</v>
      </c>
      <c r="H194" s="8">
        <v>0</v>
      </c>
      <c r="I194" s="8">
        <v>0</v>
      </c>
      <c r="J194" s="8">
        <v>0</v>
      </c>
      <c r="K194" s="8">
        <v>0</v>
      </c>
      <c r="L194" s="8">
        <v>0</v>
      </c>
      <c r="M194" s="8">
        <v>0</v>
      </c>
      <c r="N194" s="12">
        <f t="shared" si="39"/>
        <v>0</v>
      </c>
      <c r="O194" s="8">
        <v>1900</v>
      </c>
      <c r="P194" s="13">
        <v>0</v>
      </c>
      <c r="Q194" s="13">
        <v>1000</v>
      </c>
      <c r="R194" s="14">
        <f t="shared" si="38"/>
        <v>2900</v>
      </c>
      <c r="S194" s="13">
        <f t="shared" si="40"/>
        <v>3000</v>
      </c>
      <c r="T194" s="13">
        <f t="shared" si="41"/>
        <v>3100</v>
      </c>
      <c r="U194" s="13" t="s">
        <v>4181</v>
      </c>
      <c r="V194" s="15" t="s">
        <v>557</v>
      </c>
    </row>
    <row r="195" spans="1:23" s="17" customFormat="1" ht="30" customHeight="1">
      <c r="A195" s="25">
        <v>26</v>
      </c>
      <c r="B195" s="13">
        <v>6499</v>
      </c>
      <c r="C195" s="9" t="s">
        <v>476</v>
      </c>
      <c r="D195" s="9" t="s">
        <v>477</v>
      </c>
      <c r="E195" s="71" t="s">
        <v>432</v>
      </c>
      <c r="F195" s="13">
        <v>2200</v>
      </c>
      <c r="G195" s="13">
        <v>0</v>
      </c>
      <c r="H195" s="13">
        <v>0</v>
      </c>
      <c r="I195" s="13">
        <v>0</v>
      </c>
      <c r="J195" s="13">
        <v>0</v>
      </c>
      <c r="K195" s="13">
        <v>0</v>
      </c>
      <c r="L195" s="13">
        <v>0</v>
      </c>
      <c r="M195" s="13">
        <v>0</v>
      </c>
      <c r="N195" s="12">
        <f t="shared" si="39"/>
        <v>0</v>
      </c>
      <c r="O195" s="13">
        <v>2200</v>
      </c>
      <c r="P195" s="13">
        <v>0</v>
      </c>
      <c r="Q195" s="13">
        <v>0</v>
      </c>
      <c r="R195" s="14">
        <f t="shared" si="38"/>
        <v>2200</v>
      </c>
      <c r="S195" s="13">
        <f t="shared" si="40"/>
        <v>2300</v>
      </c>
      <c r="T195" s="13">
        <f t="shared" si="41"/>
        <v>2400</v>
      </c>
      <c r="U195" s="13" t="s">
        <v>4181</v>
      </c>
      <c r="V195" s="15" t="s">
        <v>478</v>
      </c>
    </row>
    <row r="196" spans="1:23" ht="30" customHeight="1">
      <c r="A196" s="25">
        <v>27</v>
      </c>
      <c r="B196" s="13">
        <v>6527</v>
      </c>
      <c r="C196" s="9" t="s">
        <v>558</v>
      </c>
      <c r="D196" s="9" t="s">
        <v>559</v>
      </c>
      <c r="E196" s="53" t="s">
        <v>3426</v>
      </c>
      <c r="F196" s="13">
        <v>2400</v>
      </c>
      <c r="G196" s="13">
        <v>0</v>
      </c>
      <c r="H196" s="13">
        <v>0</v>
      </c>
      <c r="I196" s="13">
        <v>0</v>
      </c>
      <c r="J196" s="13">
        <v>0</v>
      </c>
      <c r="K196" s="13">
        <v>0</v>
      </c>
      <c r="L196" s="13">
        <v>0</v>
      </c>
      <c r="M196" s="13">
        <v>0</v>
      </c>
      <c r="N196" s="12">
        <f t="shared" si="39"/>
        <v>0</v>
      </c>
      <c r="O196" s="13">
        <v>0</v>
      </c>
      <c r="P196" s="13">
        <v>0</v>
      </c>
      <c r="Q196" s="13">
        <v>0</v>
      </c>
      <c r="R196" s="14">
        <f t="shared" si="38"/>
        <v>0</v>
      </c>
      <c r="S196" s="13">
        <f t="shared" si="40"/>
        <v>100</v>
      </c>
      <c r="T196" s="13">
        <f t="shared" si="41"/>
        <v>200</v>
      </c>
      <c r="U196" s="13" t="s">
        <v>4181</v>
      </c>
      <c r="V196" s="15" t="s">
        <v>560</v>
      </c>
      <c r="W196" t="s">
        <v>561</v>
      </c>
    </row>
    <row r="197" spans="1:23" ht="30" customHeight="1">
      <c r="A197" s="25">
        <v>28</v>
      </c>
      <c r="B197" s="13">
        <v>6544</v>
      </c>
      <c r="C197" s="9" t="s">
        <v>562</v>
      </c>
      <c r="D197" s="9" t="s">
        <v>563</v>
      </c>
      <c r="E197" s="38" t="s">
        <v>3426</v>
      </c>
      <c r="F197" s="19">
        <v>1900</v>
      </c>
      <c r="G197" s="19">
        <v>0</v>
      </c>
      <c r="H197" s="19">
        <v>0</v>
      </c>
      <c r="I197" s="19">
        <v>0</v>
      </c>
      <c r="J197" s="19">
        <v>0</v>
      </c>
      <c r="K197" s="19">
        <v>0</v>
      </c>
      <c r="L197" s="19">
        <v>0</v>
      </c>
      <c r="M197" s="19">
        <v>0</v>
      </c>
      <c r="N197" s="12">
        <f t="shared" si="39"/>
        <v>0</v>
      </c>
      <c r="O197" s="19">
        <v>1900</v>
      </c>
      <c r="P197" s="13">
        <v>0</v>
      </c>
      <c r="Q197" s="13">
        <v>0</v>
      </c>
      <c r="R197" s="14">
        <f t="shared" ref="R197:R260" si="42">(SUM(N197:Q197))</f>
        <v>1900</v>
      </c>
      <c r="S197" s="13">
        <f t="shared" si="40"/>
        <v>2000</v>
      </c>
      <c r="T197" s="13">
        <f t="shared" si="41"/>
        <v>2100</v>
      </c>
      <c r="U197" s="13" t="s">
        <v>4181</v>
      </c>
      <c r="V197" s="15" t="s">
        <v>564</v>
      </c>
    </row>
    <row r="198" spans="1:23" s="17" customFormat="1" ht="30" customHeight="1">
      <c r="A198" s="25">
        <v>29</v>
      </c>
      <c r="B198" s="13">
        <v>6587</v>
      </c>
      <c r="C198" s="9" t="s">
        <v>482</v>
      </c>
      <c r="D198" s="9" t="s">
        <v>320</v>
      </c>
      <c r="E198" s="71" t="s">
        <v>432</v>
      </c>
      <c r="F198" s="13">
        <v>2400</v>
      </c>
      <c r="G198" s="13">
        <v>0</v>
      </c>
      <c r="H198" s="13">
        <v>0</v>
      </c>
      <c r="I198" s="13">
        <v>0</v>
      </c>
      <c r="J198" s="13">
        <v>0</v>
      </c>
      <c r="K198" s="13">
        <v>0</v>
      </c>
      <c r="L198" s="13">
        <v>0</v>
      </c>
      <c r="M198" s="13">
        <v>0</v>
      </c>
      <c r="N198" s="12">
        <f t="shared" ref="N198:N261" si="43">(SUM(G198:M198))</f>
        <v>0</v>
      </c>
      <c r="O198" s="13">
        <v>2400</v>
      </c>
      <c r="P198" s="13">
        <v>0</v>
      </c>
      <c r="Q198" s="13">
        <v>0</v>
      </c>
      <c r="R198" s="14">
        <f t="shared" si="42"/>
        <v>2400</v>
      </c>
      <c r="S198" s="13">
        <f t="shared" si="40"/>
        <v>2500</v>
      </c>
      <c r="T198" s="13">
        <f t="shared" si="41"/>
        <v>2600</v>
      </c>
      <c r="U198" s="13" t="s">
        <v>4181</v>
      </c>
      <c r="V198" s="15"/>
    </row>
    <row r="199" spans="1:23" ht="30" customHeight="1">
      <c r="A199" s="25">
        <v>30</v>
      </c>
      <c r="B199" s="13">
        <v>6593</v>
      </c>
      <c r="C199" s="31" t="s">
        <v>565</v>
      </c>
      <c r="D199" s="9" t="s">
        <v>566</v>
      </c>
      <c r="E199" s="53" t="s">
        <v>3426</v>
      </c>
      <c r="F199" s="22">
        <v>1600</v>
      </c>
      <c r="G199" s="22">
        <v>0</v>
      </c>
      <c r="H199" s="22">
        <v>0</v>
      </c>
      <c r="I199" s="22">
        <v>0</v>
      </c>
      <c r="J199" s="22">
        <v>0</v>
      </c>
      <c r="K199" s="22">
        <v>0</v>
      </c>
      <c r="L199" s="22">
        <v>1600</v>
      </c>
      <c r="M199" s="22">
        <v>1600</v>
      </c>
      <c r="N199" s="12">
        <f t="shared" si="43"/>
        <v>3200</v>
      </c>
      <c r="O199" s="22">
        <v>1600</v>
      </c>
      <c r="P199" s="13">
        <v>0</v>
      </c>
      <c r="Q199" s="13">
        <v>0</v>
      </c>
      <c r="R199" s="14">
        <f t="shared" si="42"/>
        <v>4800</v>
      </c>
      <c r="S199" s="13">
        <f t="shared" si="40"/>
        <v>4900</v>
      </c>
      <c r="T199" s="13">
        <f t="shared" si="41"/>
        <v>5000</v>
      </c>
      <c r="U199" s="13" t="s">
        <v>4181</v>
      </c>
      <c r="V199" s="23" t="s">
        <v>567</v>
      </c>
    </row>
    <row r="200" spans="1:23" ht="30" customHeight="1">
      <c r="A200" s="25">
        <v>31</v>
      </c>
      <c r="B200" s="8">
        <v>6711</v>
      </c>
      <c r="C200" s="41" t="s">
        <v>571</v>
      </c>
      <c r="D200" s="10" t="s">
        <v>572</v>
      </c>
      <c r="E200" s="38" t="s">
        <v>3426</v>
      </c>
      <c r="F200" s="32">
        <v>2200</v>
      </c>
      <c r="G200" s="32">
        <v>0</v>
      </c>
      <c r="H200" s="32">
        <v>0</v>
      </c>
      <c r="I200" s="32">
        <v>0</v>
      </c>
      <c r="J200" s="32">
        <v>0</v>
      </c>
      <c r="K200" s="32">
        <v>0</v>
      </c>
      <c r="L200" s="32">
        <v>0</v>
      </c>
      <c r="M200" s="32">
        <v>0</v>
      </c>
      <c r="N200" s="12">
        <f t="shared" si="43"/>
        <v>0</v>
      </c>
      <c r="O200" s="32">
        <v>2200</v>
      </c>
      <c r="P200" s="8">
        <v>0</v>
      </c>
      <c r="Q200" s="13">
        <v>0</v>
      </c>
      <c r="R200" s="14">
        <f t="shared" si="42"/>
        <v>2200</v>
      </c>
      <c r="S200" s="13">
        <f t="shared" ref="S200:S231" si="44">R200+100</f>
        <v>2300</v>
      </c>
      <c r="T200" s="13">
        <f t="shared" ref="T200:T231" si="45">R200+200</f>
        <v>2400</v>
      </c>
      <c r="U200" s="13" t="s">
        <v>4181</v>
      </c>
      <c r="V200" s="37" t="s">
        <v>573</v>
      </c>
    </row>
    <row r="201" spans="1:23" s="17" customFormat="1" ht="30" customHeight="1">
      <c r="A201" s="25">
        <v>32</v>
      </c>
      <c r="B201" s="13">
        <v>6630</v>
      </c>
      <c r="C201" s="9" t="s">
        <v>483</v>
      </c>
      <c r="D201" s="9" t="s">
        <v>484</v>
      </c>
      <c r="E201" s="11" t="s">
        <v>432</v>
      </c>
      <c r="F201" s="13">
        <v>1300</v>
      </c>
      <c r="G201" s="13">
        <v>0</v>
      </c>
      <c r="H201" s="13">
        <v>0</v>
      </c>
      <c r="I201" s="13">
        <v>0</v>
      </c>
      <c r="J201" s="13">
        <v>0</v>
      </c>
      <c r="K201" s="13">
        <v>0</v>
      </c>
      <c r="L201" s="13">
        <v>0</v>
      </c>
      <c r="M201" s="13">
        <v>0</v>
      </c>
      <c r="N201" s="12">
        <f t="shared" si="43"/>
        <v>0</v>
      </c>
      <c r="O201" s="13">
        <v>1300</v>
      </c>
      <c r="P201" s="13">
        <v>0</v>
      </c>
      <c r="Q201" s="13">
        <v>0</v>
      </c>
      <c r="R201" s="14">
        <f t="shared" si="42"/>
        <v>1300</v>
      </c>
      <c r="S201" s="13">
        <f t="shared" si="44"/>
        <v>1400</v>
      </c>
      <c r="T201" s="13">
        <f t="shared" si="45"/>
        <v>1500</v>
      </c>
      <c r="U201" s="13" t="s">
        <v>4181</v>
      </c>
      <c r="V201" s="15" t="s">
        <v>485</v>
      </c>
    </row>
    <row r="202" spans="1:23" s="17" customFormat="1" ht="30" customHeight="1">
      <c r="A202" s="25">
        <v>33</v>
      </c>
      <c r="B202" s="13">
        <v>6647</v>
      </c>
      <c r="C202" s="9" t="s">
        <v>486</v>
      </c>
      <c r="D202" s="9" t="s">
        <v>487</v>
      </c>
      <c r="E202" s="11" t="s">
        <v>432</v>
      </c>
      <c r="F202" s="13">
        <v>1700</v>
      </c>
      <c r="G202" s="13">
        <v>0</v>
      </c>
      <c r="H202" s="13">
        <v>0</v>
      </c>
      <c r="I202" s="13">
        <v>0</v>
      </c>
      <c r="J202" s="13">
        <v>0</v>
      </c>
      <c r="K202" s="13">
        <v>0</v>
      </c>
      <c r="L202" s="13">
        <v>0</v>
      </c>
      <c r="M202" s="13">
        <v>0</v>
      </c>
      <c r="N202" s="12">
        <f t="shared" si="43"/>
        <v>0</v>
      </c>
      <c r="O202" s="13">
        <v>1700</v>
      </c>
      <c r="P202" s="13">
        <v>0</v>
      </c>
      <c r="Q202" s="13">
        <v>0</v>
      </c>
      <c r="R202" s="14">
        <f t="shared" si="42"/>
        <v>1700</v>
      </c>
      <c r="S202" s="13">
        <f t="shared" si="44"/>
        <v>1800</v>
      </c>
      <c r="T202" s="13">
        <f t="shared" si="45"/>
        <v>1900</v>
      </c>
      <c r="U202" s="13" t="s">
        <v>4181</v>
      </c>
      <c r="V202" s="15" t="s">
        <v>488</v>
      </c>
    </row>
    <row r="203" spans="1:23" s="17" customFormat="1" ht="30" customHeight="1">
      <c r="A203" s="25">
        <v>35</v>
      </c>
      <c r="B203" s="13">
        <v>6749</v>
      </c>
      <c r="C203" s="9" t="s">
        <v>489</v>
      </c>
      <c r="D203" s="9" t="s">
        <v>490</v>
      </c>
      <c r="E203" s="11" t="s">
        <v>432</v>
      </c>
      <c r="F203" s="13">
        <v>2000</v>
      </c>
      <c r="G203" s="13">
        <v>0</v>
      </c>
      <c r="H203" s="13">
        <v>0</v>
      </c>
      <c r="I203" s="13">
        <v>0</v>
      </c>
      <c r="J203" s="13">
        <v>0</v>
      </c>
      <c r="K203" s="13">
        <v>0</v>
      </c>
      <c r="L203" s="13">
        <v>0</v>
      </c>
      <c r="M203" s="13">
        <v>0</v>
      </c>
      <c r="N203" s="12">
        <f t="shared" si="43"/>
        <v>0</v>
      </c>
      <c r="O203" s="13">
        <v>0</v>
      </c>
      <c r="P203" s="13">
        <v>0</v>
      </c>
      <c r="Q203" s="13">
        <v>0</v>
      </c>
      <c r="R203" s="14">
        <f t="shared" si="42"/>
        <v>0</v>
      </c>
      <c r="S203" s="13">
        <f t="shared" si="44"/>
        <v>100</v>
      </c>
      <c r="T203" s="13">
        <f t="shared" si="45"/>
        <v>200</v>
      </c>
      <c r="U203" s="13" t="s">
        <v>4181</v>
      </c>
      <c r="V203" s="15" t="s">
        <v>491</v>
      </c>
      <c r="W203" s="17" t="s">
        <v>392</v>
      </c>
    </row>
    <row r="204" spans="1:23" s="17" customFormat="1" ht="30" customHeight="1">
      <c r="A204" s="25">
        <v>36</v>
      </c>
      <c r="B204" s="13">
        <v>6815</v>
      </c>
      <c r="C204" s="9" t="s">
        <v>495</v>
      </c>
      <c r="D204" s="9" t="s">
        <v>496</v>
      </c>
      <c r="E204" s="11" t="s">
        <v>432</v>
      </c>
      <c r="F204" s="13">
        <v>1700</v>
      </c>
      <c r="G204" s="13">
        <v>0</v>
      </c>
      <c r="H204" s="13">
        <v>0</v>
      </c>
      <c r="I204" s="13">
        <v>0</v>
      </c>
      <c r="J204" s="13">
        <v>0</v>
      </c>
      <c r="K204" s="13">
        <v>0</v>
      </c>
      <c r="L204" s="13">
        <v>0</v>
      </c>
      <c r="M204" s="13">
        <v>0</v>
      </c>
      <c r="N204" s="12">
        <f t="shared" si="43"/>
        <v>0</v>
      </c>
      <c r="O204" s="13">
        <v>1700</v>
      </c>
      <c r="P204" s="13">
        <v>0</v>
      </c>
      <c r="Q204" s="13">
        <v>1000</v>
      </c>
      <c r="R204" s="14">
        <f t="shared" si="42"/>
        <v>2700</v>
      </c>
      <c r="S204" s="13">
        <f t="shared" si="44"/>
        <v>2800</v>
      </c>
      <c r="T204" s="13">
        <f t="shared" si="45"/>
        <v>2900</v>
      </c>
      <c r="U204" s="13" t="s">
        <v>4181</v>
      </c>
      <c r="V204" s="15" t="s">
        <v>497</v>
      </c>
    </row>
    <row r="205" spans="1:23" s="17" customFormat="1" ht="30" customHeight="1">
      <c r="A205" s="25">
        <v>37</v>
      </c>
      <c r="B205" s="13">
        <v>6826</v>
      </c>
      <c r="C205" s="9" t="s">
        <v>498</v>
      </c>
      <c r="D205" s="9" t="s">
        <v>338</v>
      </c>
      <c r="E205" s="71" t="s">
        <v>432</v>
      </c>
      <c r="F205" s="13">
        <v>2400</v>
      </c>
      <c r="G205" s="13">
        <v>0</v>
      </c>
      <c r="H205" s="13">
        <v>0</v>
      </c>
      <c r="I205" s="13">
        <v>0</v>
      </c>
      <c r="J205" s="13">
        <v>0</v>
      </c>
      <c r="K205" s="13">
        <v>0</v>
      </c>
      <c r="L205" s="13">
        <v>0</v>
      </c>
      <c r="M205" s="13">
        <v>0</v>
      </c>
      <c r="N205" s="12">
        <f t="shared" si="43"/>
        <v>0</v>
      </c>
      <c r="O205" s="13">
        <v>2400</v>
      </c>
      <c r="P205" s="13">
        <v>0</v>
      </c>
      <c r="Q205" s="13">
        <v>0</v>
      </c>
      <c r="R205" s="14">
        <f t="shared" si="42"/>
        <v>2400</v>
      </c>
      <c r="S205" s="13">
        <f t="shared" si="44"/>
        <v>2500</v>
      </c>
      <c r="T205" s="13">
        <f t="shared" si="45"/>
        <v>2600</v>
      </c>
      <c r="U205" s="13" t="s">
        <v>4181</v>
      </c>
      <c r="V205" s="15" t="s">
        <v>499</v>
      </c>
      <c r="W205" s="17" t="s">
        <v>500</v>
      </c>
    </row>
    <row r="206" spans="1:23" s="17" customFormat="1" ht="30" customHeight="1">
      <c r="A206" s="25">
        <v>38</v>
      </c>
      <c r="B206" s="13">
        <v>6842</v>
      </c>
      <c r="C206" s="9" t="s">
        <v>4041</v>
      </c>
      <c r="D206" s="9" t="s">
        <v>4042</v>
      </c>
      <c r="E206" s="71" t="s">
        <v>432</v>
      </c>
      <c r="F206" s="13">
        <v>1500</v>
      </c>
      <c r="G206" s="13">
        <v>0</v>
      </c>
      <c r="H206" s="13">
        <v>0</v>
      </c>
      <c r="I206" s="13">
        <v>0</v>
      </c>
      <c r="J206" s="13">
        <v>0</v>
      </c>
      <c r="K206" s="13">
        <v>0</v>
      </c>
      <c r="L206" s="13">
        <v>0</v>
      </c>
      <c r="M206" s="13">
        <v>0</v>
      </c>
      <c r="N206" s="12">
        <f t="shared" si="43"/>
        <v>0</v>
      </c>
      <c r="O206" s="13">
        <v>0</v>
      </c>
      <c r="P206" s="13">
        <v>0</v>
      </c>
      <c r="Q206" s="13">
        <v>0</v>
      </c>
      <c r="R206" s="14">
        <f t="shared" si="42"/>
        <v>0</v>
      </c>
      <c r="S206" s="13">
        <f t="shared" si="44"/>
        <v>100</v>
      </c>
      <c r="T206" s="13">
        <f t="shared" si="45"/>
        <v>200</v>
      </c>
      <c r="U206" s="13" t="s">
        <v>4181</v>
      </c>
      <c r="V206" s="15"/>
      <c r="W206" s="17" t="s">
        <v>500</v>
      </c>
    </row>
    <row r="207" spans="1:23" s="17" customFormat="1" ht="30" customHeight="1">
      <c r="A207" s="25">
        <v>39</v>
      </c>
      <c r="B207" s="13">
        <v>6858</v>
      </c>
      <c r="C207" s="9" t="s">
        <v>615</v>
      </c>
      <c r="D207" s="9" t="s">
        <v>4085</v>
      </c>
      <c r="E207" s="71" t="s">
        <v>432</v>
      </c>
      <c r="F207" s="13">
        <v>2400</v>
      </c>
      <c r="G207" s="13">
        <v>0</v>
      </c>
      <c r="H207" s="13">
        <v>0</v>
      </c>
      <c r="I207" s="13">
        <v>0</v>
      </c>
      <c r="J207" s="13">
        <v>0</v>
      </c>
      <c r="K207" s="13">
        <v>0</v>
      </c>
      <c r="L207" s="13">
        <v>0</v>
      </c>
      <c r="M207" s="13">
        <v>0</v>
      </c>
      <c r="N207" s="12">
        <f t="shared" si="43"/>
        <v>0</v>
      </c>
      <c r="O207" s="13">
        <v>0</v>
      </c>
      <c r="P207" s="13">
        <v>0</v>
      </c>
      <c r="Q207" s="13">
        <v>0</v>
      </c>
      <c r="R207" s="14">
        <f t="shared" si="42"/>
        <v>0</v>
      </c>
      <c r="S207" s="13">
        <f t="shared" si="44"/>
        <v>100</v>
      </c>
      <c r="T207" s="13">
        <f t="shared" si="45"/>
        <v>200</v>
      </c>
      <c r="U207" s="13" t="s">
        <v>4181</v>
      </c>
      <c r="V207" s="15" t="s">
        <v>4086</v>
      </c>
      <c r="W207" s="17" t="s">
        <v>4087</v>
      </c>
    </row>
    <row r="208" spans="1:23" s="17" customFormat="1" ht="30" customHeight="1">
      <c r="A208" s="25">
        <v>40</v>
      </c>
      <c r="B208" s="13">
        <v>6869</v>
      </c>
      <c r="C208" s="9" t="s">
        <v>4130</v>
      </c>
      <c r="D208" s="9" t="s">
        <v>4129</v>
      </c>
      <c r="E208" s="71" t="s">
        <v>432</v>
      </c>
      <c r="F208" s="13">
        <v>0</v>
      </c>
      <c r="G208" s="13">
        <v>0</v>
      </c>
      <c r="H208" s="13">
        <v>0</v>
      </c>
      <c r="I208" s="13">
        <v>0</v>
      </c>
      <c r="J208" s="13">
        <v>0</v>
      </c>
      <c r="K208" s="13">
        <v>0</v>
      </c>
      <c r="L208" s="13">
        <v>0</v>
      </c>
      <c r="M208" s="13">
        <v>0</v>
      </c>
      <c r="N208" s="12">
        <f t="shared" si="43"/>
        <v>0</v>
      </c>
      <c r="O208" s="13">
        <v>0</v>
      </c>
      <c r="P208" s="13">
        <v>0</v>
      </c>
      <c r="Q208" s="13">
        <v>0</v>
      </c>
      <c r="R208" s="14">
        <f t="shared" si="42"/>
        <v>0</v>
      </c>
      <c r="S208" s="13">
        <f t="shared" si="44"/>
        <v>100</v>
      </c>
      <c r="T208" s="13">
        <f t="shared" si="45"/>
        <v>200</v>
      </c>
      <c r="U208" s="13" t="s">
        <v>4181</v>
      </c>
      <c r="V208" s="15" t="s">
        <v>4131</v>
      </c>
      <c r="W208" s="17" t="s">
        <v>4087</v>
      </c>
    </row>
    <row r="209" spans="1:23" ht="30" customHeight="1">
      <c r="A209" s="13">
        <v>1</v>
      </c>
      <c r="B209" s="13">
        <v>4733</v>
      </c>
      <c r="C209" s="9" t="s">
        <v>576</v>
      </c>
      <c r="D209" s="9" t="s">
        <v>96</v>
      </c>
      <c r="E209" s="38" t="s">
        <v>577</v>
      </c>
      <c r="F209" s="13">
        <v>0</v>
      </c>
      <c r="G209" s="13">
        <v>0</v>
      </c>
      <c r="H209" s="13">
        <v>0</v>
      </c>
      <c r="I209" s="13">
        <v>0</v>
      </c>
      <c r="J209" s="13">
        <v>0</v>
      </c>
      <c r="K209" s="13">
        <v>0</v>
      </c>
      <c r="L209" s="13">
        <v>0</v>
      </c>
      <c r="M209" s="13">
        <v>0</v>
      </c>
      <c r="N209" s="12">
        <f t="shared" si="43"/>
        <v>0</v>
      </c>
      <c r="O209" s="13">
        <v>0</v>
      </c>
      <c r="P209" s="13">
        <v>0</v>
      </c>
      <c r="Q209" s="13">
        <v>0</v>
      </c>
      <c r="R209" s="14">
        <f t="shared" si="42"/>
        <v>0</v>
      </c>
      <c r="S209" s="13">
        <f t="shared" si="44"/>
        <v>100</v>
      </c>
      <c r="T209" s="13">
        <f t="shared" si="45"/>
        <v>200</v>
      </c>
      <c r="U209" s="13" t="s">
        <v>4181</v>
      </c>
      <c r="V209" s="24" t="s">
        <v>578</v>
      </c>
    </row>
    <row r="210" spans="1:23" ht="30" customHeight="1">
      <c r="A210" s="42">
        <v>2</v>
      </c>
      <c r="B210" s="13">
        <v>4832</v>
      </c>
      <c r="C210" s="43" t="s">
        <v>579</v>
      </c>
      <c r="D210" s="21" t="s">
        <v>45</v>
      </c>
      <c r="E210" s="38" t="s">
        <v>577</v>
      </c>
      <c r="F210" s="44">
        <v>2500</v>
      </c>
      <c r="G210" s="44">
        <v>0</v>
      </c>
      <c r="H210" s="44">
        <v>0</v>
      </c>
      <c r="I210" s="44">
        <v>0</v>
      </c>
      <c r="J210" s="44">
        <v>0</v>
      </c>
      <c r="K210" s="44">
        <v>0</v>
      </c>
      <c r="L210" s="44">
        <v>0</v>
      </c>
      <c r="M210" s="44">
        <v>0</v>
      </c>
      <c r="N210" s="12">
        <f t="shared" si="43"/>
        <v>0</v>
      </c>
      <c r="O210" s="44">
        <v>0</v>
      </c>
      <c r="P210" s="19">
        <v>0</v>
      </c>
      <c r="Q210" s="13">
        <v>0</v>
      </c>
      <c r="R210" s="14">
        <f t="shared" si="42"/>
        <v>0</v>
      </c>
      <c r="S210" s="13">
        <f t="shared" si="44"/>
        <v>100</v>
      </c>
      <c r="T210" s="13">
        <f t="shared" si="45"/>
        <v>200</v>
      </c>
      <c r="U210" s="13" t="s">
        <v>4181</v>
      </c>
      <c r="V210" s="45" t="s">
        <v>580</v>
      </c>
    </row>
    <row r="211" spans="1:23" ht="30" customHeight="1">
      <c r="A211" s="13">
        <v>3</v>
      </c>
      <c r="B211" s="13">
        <v>4869</v>
      </c>
      <c r="C211" s="31" t="s">
        <v>581</v>
      </c>
      <c r="D211" s="9" t="s">
        <v>459</v>
      </c>
      <c r="E211" s="38" t="s">
        <v>577</v>
      </c>
      <c r="F211" s="44">
        <v>2500</v>
      </c>
      <c r="G211" s="44">
        <v>0</v>
      </c>
      <c r="H211" s="44">
        <v>0</v>
      </c>
      <c r="I211" s="44">
        <v>0</v>
      </c>
      <c r="J211" s="44">
        <v>0</v>
      </c>
      <c r="K211" s="44">
        <v>0</v>
      </c>
      <c r="L211" s="44">
        <v>0</v>
      </c>
      <c r="M211" s="44">
        <v>0</v>
      </c>
      <c r="N211" s="12">
        <f t="shared" si="43"/>
        <v>0</v>
      </c>
      <c r="O211" s="44">
        <v>0</v>
      </c>
      <c r="P211" s="13">
        <v>0</v>
      </c>
      <c r="Q211" s="13">
        <v>0</v>
      </c>
      <c r="R211" s="14">
        <f t="shared" si="42"/>
        <v>0</v>
      </c>
      <c r="S211" s="13">
        <f t="shared" si="44"/>
        <v>100</v>
      </c>
      <c r="T211" s="13">
        <f t="shared" si="45"/>
        <v>200</v>
      </c>
      <c r="U211" s="13" t="s">
        <v>4181</v>
      </c>
      <c r="V211" s="23" t="s">
        <v>582</v>
      </c>
    </row>
    <row r="212" spans="1:23" ht="30" customHeight="1">
      <c r="A212" s="42">
        <v>4</v>
      </c>
      <c r="B212" s="13">
        <v>4894</v>
      </c>
      <c r="C212" s="31" t="s">
        <v>583</v>
      </c>
      <c r="D212" s="9" t="s">
        <v>584</v>
      </c>
      <c r="E212" s="38" t="s">
        <v>577</v>
      </c>
      <c r="F212" s="44">
        <v>2200</v>
      </c>
      <c r="G212" s="44">
        <v>0</v>
      </c>
      <c r="H212" s="44">
        <v>0</v>
      </c>
      <c r="I212" s="44">
        <v>0</v>
      </c>
      <c r="J212" s="44">
        <v>0</v>
      </c>
      <c r="K212" s="44">
        <v>0</v>
      </c>
      <c r="L212" s="44">
        <v>0</v>
      </c>
      <c r="M212" s="44">
        <v>0</v>
      </c>
      <c r="N212" s="12">
        <f t="shared" si="43"/>
        <v>0</v>
      </c>
      <c r="O212" s="44">
        <v>0</v>
      </c>
      <c r="P212" s="13">
        <v>0</v>
      </c>
      <c r="Q212" s="13">
        <v>0</v>
      </c>
      <c r="R212" s="14">
        <f t="shared" si="42"/>
        <v>0</v>
      </c>
      <c r="S212" s="13">
        <f t="shared" si="44"/>
        <v>100</v>
      </c>
      <c r="T212" s="13">
        <f t="shared" si="45"/>
        <v>200</v>
      </c>
      <c r="U212" s="13" t="s">
        <v>4181</v>
      </c>
      <c r="V212" s="23" t="s">
        <v>585</v>
      </c>
    </row>
    <row r="213" spans="1:23" ht="30" customHeight="1">
      <c r="A213" s="13">
        <v>5</v>
      </c>
      <c r="B213" s="13">
        <v>4895</v>
      </c>
      <c r="C213" s="31" t="s">
        <v>586</v>
      </c>
      <c r="D213" s="9" t="s">
        <v>181</v>
      </c>
      <c r="E213" s="38" t="s">
        <v>577</v>
      </c>
      <c r="F213" s="44">
        <v>1600</v>
      </c>
      <c r="G213" s="44">
        <v>0</v>
      </c>
      <c r="H213" s="44">
        <v>0</v>
      </c>
      <c r="I213" s="44">
        <v>0</v>
      </c>
      <c r="J213" s="44">
        <v>0</v>
      </c>
      <c r="K213" s="44">
        <v>0</v>
      </c>
      <c r="L213" s="44">
        <v>0</v>
      </c>
      <c r="M213" s="44">
        <v>0</v>
      </c>
      <c r="N213" s="12">
        <f t="shared" si="43"/>
        <v>0</v>
      </c>
      <c r="O213" s="44">
        <v>0</v>
      </c>
      <c r="P213" s="13">
        <v>0</v>
      </c>
      <c r="Q213" s="13">
        <v>0</v>
      </c>
      <c r="R213" s="14">
        <f t="shared" si="42"/>
        <v>0</v>
      </c>
      <c r="S213" s="13">
        <f t="shared" si="44"/>
        <v>100</v>
      </c>
      <c r="T213" s="13">
        <f t="shared" si="45"/>
        <v>200</v>
      </c>
      <c r="U213" s="13" t="s">
        <v>4181</v>
      </c>
      <c r="V213" s="23" t="s">
        <v>587</v>
      </c>
    </row>
    <row r="214" spans="1:23" ht="30" customHeight="1">
      <c r="A214" s="42">
        <v>6</v>
      </c>
      <c r="B214" s="13">
        <v>4909</v>
      </c>
      <c r="C214" s="31" t="s">
        <v>588</v>
      </c>
      <c r="D214" s="9" t="s">
        <v>355</v>
      </c>
      <c r="E214" s="38" t="s">
        <v>577</v>
      </c>
      <c r="F214" s="44">
        <v>2500</v>
      </c>
      <c r="G214" s="44">
        <v>0</v>
      </c>
      <c r="H214" s="44">
        <v>0</v>
      </c>
      <c r="I214" s="44">
        <v>0</v>
      </c>
      <c r="J214" s="44">
        <v>0</v>
      </c>
      <c r="K214" s="44">
        <v>0</v>
      </c>
      <c r="L214" s="44">
        <v>0</v>
      </c>
      <c r="M214" s="44">
        <v>0</v>
      </c>
      <c r="N214" s="12">
        <f t="shared" si="43"/>
        <v>0</v>
      </c>
      <c r="O214" s="44">
        <v>2500</v>
      </c>
      <c r="P214" s="13">
        <v>0</v>
      </c>
      <c r="Q214" s="13">
        <v>0</v>
      </c>
      <c r="R214" s="14">
        <f t="shared" si="42"/>
        <v>2500</v>
      </c>
      <c r="S214" s="13">
        <f t="shared" si="44"/>
        <v>2600</v>
      </c>
      <c r="T214" s="13">
        <f t="shared" si="45"/>
        <v>2700</v>
      </c>
      <c r="U214" s="13" t="s">
        <v>4181</v>
      </c>
      <c r="V214" s="23" t="s">
        <v>589</v>
      </c>
    </row>
    <row r="215" spans="1:23" ht="30" customHeight="1">
      <c r="A215" s="13">
        <v>7</v>
      </c>
      <c r="B215" s="13">
        <v>4919</v>
      </c>
      <c r="C215" s="31" t="s">
        <v>590</v>
      </c>
      <c r="D215" s="9" t="s">
        <v>591</v>
      </c>
      <c r="E215" s="38" t="s">
        <v>577</v>
      </c>
      <c r="F215" s="44">
        <v>0</v>
      </c>
      <c r="G215" s="44">
        <v>0</v>
      </c>
      <c r="H215" s="44">
        <v>0</v>
      </c>
      <c r="I215" s="44">
        <v>0</v>
      </c>
      <c r="J215" s="44">
        <v>0</v>
      </c>
      <c r="K215" s="44">
        <v>0</v>
      </c>
      <c r="L215" s="44">
        <v>0</v>
      </c>
      <c r="M215" s="44">
        <v>0</v>
      </c>
      <c r="N215" s="12">
        <f t="shared" si="43"/>
        <v>0</v>
      </c>
      <c r="O215" s="44">
        <v>0</v>
      </c>
      <c r="P215" s="13">
        <v>0</v>
      </c>
      <c r="Q215" s="13">
        <v>0</v>
      </c>
      <c r="R215" s="14">
        <f t="shared" si="42"/>
        <v>0</v>
      </c>
      <c r="S215" s="13">
        <f t="shared" si="44"/>
        <v>100</v>
      </c>
      <c r="T215" s="13">
        <f t="shared" si="45"/>
        <v>200</v>
      </c>
      <c r="U215" s="13" t="s">
        <v>4181</v>
      </c>
      <c r="V215" s="23" t="s">
        <v>592</v>
      </c>
    </row>
    <row r="216" spans="1:23" ht="30" customHeight="1">
      <c r="A216" s="42">
        <v>8</v>
      </c>
      <c r="B216" s="13">
        <v>4977</v>
      </c>
      <c r="C216" s="31" t="s">
        <v>595</v>
      </c>
      <c r="D216" s="9" t="s">
        <v>48</v>
      </c>
      <c r="E216" s="38" t="s">
        <v>577</v>
      </c>
      <c r="F216" s="44">
        <v>2500</v>
      </c>
      <c r="G216" s="44">
        <v>0</v>
      </c>
      <c r="H216" s="44">
        <v>0</v>
      </c>
      <c r="I216" s="44">
        <v>0</v>
      </c>
      <c r="J216" s="44">
        <v>0</v>
      </c>
      <c r="K216" s="44">
        <v>0</v>
      </c>
      <c r="L216" s="44">
        <v>0</v>
      </c>
      <c r="M216" s="44">
        <v>0</v>
      </c>
      <c r="N216" s="12">
        <f t="shared" si="43"/>
        <v>0</v>
      </c>
      <c r="O216" s="44">
        <v>0</v>
      </c>
      <c r="P216" s="13">
        <v>0</v>
      </c>
      <c r="Q216" s="13">
        <v>0</v>
      </c>
      <c r="R216" s="14">
        <f t="shared" si="42"/>
        <v>0</v>
      </c>
      <c r="S216" s="13">
        <f t="shared" si="44"/>
        <v>100</v>
      </c>
      <c r="T216" s="13">
        <f t="shared" si="45"/>
        <v>200</v>
      </c>
      <c r="U216" s="13" t="s">
        <v>4181</v>
      </c>
      <c r="V216" s="23" t="s">
        <v>596</v>
      </c>
    </row>
    <row r="217" spans="1:23" ht="30" customHeight="1">
      <c r="A217" s="13">
        <v>9</v>
      </c>
      <c r="B217" s="13">
        <v>5016</v>
      </c>
      <c r="C217" s="31" t="s">
        <v>597</v>
      </c>
      <c r="D217" s="9" t="s">
        <v>598</v>
      </c>
      <c r="E217" s="38" t="s">
        <v>577</v>
      </c>
      <c r="F217" s="44">
        <v>2200</v>
      </c>
      <c r="G217" s="44">
        <v>0</v>
      </c>
      <c r="H217" s="44">
        <v>0</v>
      </c>
      <c r="I217" s="44">
        <v>0</v>
      </c>
      <c r="J217" s="44">
        <v>0</v>
      </c>
      <c r="K217" s="44">
        <v>0</v>
      </c>
      <c r="L217" s="44">
        <v>0</v>
      </c>
      <c r="M217" s="44">
        <v>0</v>
      </c>
      <c r="N217" s="12">
        <f t="shared" si="43"/>
        <v>0</v>
      </c>
      <c r="O217" s="44">
        <v>0</v>
      </c>
      <c r="P217" s="13">
        <v>0</v>
      </c>
      <c r="Q217" s="13">
        <v>0</v>
      </c>
      <c r="R217" s="14">
        <f t="shared" si="42"/>
        <v>0</v>
      </c>
      <c r="S217" s="13">
        <f t="shared" si="44"/>
        <v>100</v>
      </c>
      <c r="T217" s="13">
        <f t="shared" si="45"/>
        <v>200</v>
      </c>
      <c r="U217" s="13" t="s">
        <v>4181</v>
      </c>
      <c r="V217" s="23" t="s">
        <v>599</v>
      </c>
    </row>
    <row r="218" spans="1:23" ht="30" customHeight="1">
      <c r="A218" s="42">
        <v>10</v>
      </c>
      <c r="B218" s="13">
        <v>5024</v>
      </c>
      <c r="C218" s="31" t="s">
        <v>452</v>
      </c>
      <c r="D218" s="9" t="s">
        <v>248</v>
      </c>
      <c r="E218" s="38" t="s">
        <v>577</v>
      </c>
      <c r="F218" s="44">
        <v>2500</v>
      </c>
      <c r="G218" s="44">
        <v>0</v>
      </c>
      <c r="H218" s="44">
        <v>0</v>
      </c>
      <c r="I218" s="44">
        <v>0</v>
      </c>
      <c r="J218" s="44">
        <v>0</v>
      </c>
      <c r="K218" s="44">
        <v>0</v>
      </c>
      <c r="L218" s="44">
        <v>0</v>
      </c>
      <c r="M218" s="44">
        <v>0</v>
      </c>
      <c r="N218" s="12">
        <f t="shared" si="43"/>
        <v>0</v>
      </c>
      <c r="O218" s="44">
        <v>2500</v>
      </c>
      <c r="P218" s="13">
        <v>0</v>
      </c>
      <c r="Q218" s="13">
        <v>0</v>
      </c>
      <c r="R218" s="14">
        <f t="shared" si="42"/>
        <v>2500</v>
      </c>
      <c r="S218" s="13">
        <f t="shared" si="44"/>
        <v>2600</v>
      </c>
      <c r="T218" s="13">
        <f t="shared" si="45"/>
        <v>2700</v>
      </c>
      <c r="U218" s="13" t="s">
        <v>4181</v>
      </c>
      <c r="V218" s="23" t="s">
        <v>600</v>
      </c>
    </row>
    <row r="219" spans="1:23" ht="30" customHeight="1">
      <c r="A219" s="13">
        <v>11</v>
      </c>
      <c r="B219" s="13">
        <v>5026</v>
      </c>
      <c r="C219" s="31" t="s">
        <v>601</v>
      </c>
      <c r="D219" s="9" t="s">
        <v>4121</v>
      </c>
      <c r="E219" s="38" t="s">
        <v>577</v>
      </c>
      <c r="F219" s="44">
        <v>2500</v>
      </c>
      <c r="G219" s="44">
        <v>0</v>
      </c>
      <c r="H219" s="44">
        <v>0</v>
      </c>
      <c r="I219" s="44">
        <v>0</v>
      </c>
      <c r="J219" s="44">
        <v>0</v>
      </c>
      <c r="K219" s="44">
        <v>0</v>
      </c>
      <c r="L219" s="44">
        <v>0</v>
      </c>
      <c r="M219" s="44">
        <v>0</v>
      </c>
      <c r="N219" s="12">
        <f t="shared" si="43"/>
        <v>0</v>
      </c>
      <c r="O219" s="44">
        <v>0</v>
      </c>
      <c r="P219" s="13">
        <v>0</v>
      </c>
      <c r="Q219" s="13">
        <v>0</v>
      </c>
      <c r="R219" s="14">
        <f t="shared" si="42"/>
        <v>0</v>
      </c>
      <c r="S219" s="13">
        <f t="shared" si="44"/>
        <v>100</v>
      </c>
      <c r="T219" s="13">
        <f t="shared" si="45"/>
        <v>200</v>
      </c>
      <c r="U219" s="13" t="s">
        <v>4181</v>
      </c>
      <c r="V219" s="23" t="s">
        <v>602</v>
      </c>
    </row>
    <row r="220" spans="1:23" ht="30" customHeight="1">
      <c r="A220" s="42">
        <v>12</v>
      </c>
      <c r="B220" s="19">
        <v>5044</v>
      </c>
      <c r="C220" s="20" t="s">
        <v>4082</v>
      </c>
      <c r="D220" s="21" t="s">
        <v>4083</v>
      </c>
      <c r="E220" s="38" t="s">
        <v>577</v>
      </c>
      <c r="F220" s="44">
        <v>2500</v>
      </c>
      <c r="G220" s="44">
        <v>0</v>
      </c>
      <c r="H220" s="44">
        <v>0</v>
      </c>
      <c r="I220" s="44">
        <v>0</v>
      </c>
      <c r="J220" s="44">
        <v>0</v>
      </c>
      <c r="K220" s="44">
        <v>0</v>
      </c>
      <c r="L220" s="44">
        <v>0</v>
      </c>
      <c r="M220" s="44">
        <v>0</v>
      </c>
      <c r="N220" s="12">
        <f t="shared" si="43"/>
        <v>0</v>
      </c>
      <c r="O220" s="44">
        <v>2500</v>
      </c>
      <c r="P220" s="13">
        <v>0</v>
      </c>
      <c r="Q220" s="13">
        <v>0</v>
      </c>
      <c r="R220" s="14">
        <f t="shared" si="42"/>
        <v>2500</v>
      </c>
      <c r="S220" s="13">
        <f t="shared" si="44"/>
        <v>2600</v>
      </c>
      <c r="T220" s="13">
        <f t="shared" si="45"/>
        <v>2700</v>
      </c>
      <c r="U220" s="13" t="s">
        <v>4181</v>
      </c>
      <c r="V220" s="46" t="s">
        <v>603</v>
      </c>
    </row>
    <row r="221" spans="1:23" ht="30" customHeight="1">
      <c r="A221" s="13">
        <v>13</v>
      </c>
      <c r="B221" s="19">
        <v>5062</v>
      </c>
      <c r="C221" s="47" t="s">
        <v>604</v>
      </c>
      <c r="D221" s="9" t="s">
        <v>605</v>
      </c>
      <c r="E221" s="38" t="s">
        <v>577</v>
      </c>
      <c r="F221" s="44">
        <v>2500</v>
      </c>
      <c r="G221" s="44">
        <v>0</v>
      </c>
      <c r="H221" s="44">
        <v>0</v>
      </c>
      <c r="I221" s="44">
        <v>0</v>
      </c>
      <c r="J221" s="44">
        <v>0</v>
      </c>
      <c r="K221" s="44">
        <v>0</v>
      </c>
      <c r="L221" s="44">
        <v>0</v>
      </c>
      <c r="M221" s="44">
        <v>0</v>
      </c>
      <c r="N221" s="12">
        <f t="shared" si="43"/>
        <v>0</v>
      </c>
      <c r="O221" s="44">
        <v>0</v>
      </c>
      <c r="P221" s="13">
        <v>0</v>
      </c>
      <c r="Q221" s="13">
        <v>0</v>
      </c>
      <c r="R221" s="14">
        <f t="shared" si="42"/>
        <v>0</v>
      </c>
      <c r="S221" s="13">
        <f t="shared" si="44"/>
        <v>100</v>
      </c>
      <c r="T221" s="13">
        <f t="shared" si="45"/>
        <v>200</v>
      </c>
      <c r="U221" s="13" t="s">
        <v>4181</v>
      </c>
      <c r="V221" s="46" t="s">
        <v>606</v>
      </c>
    </row>
    <row r="222" spans="1:23" ht="30" customHeight="1">
      <c r="A222" s="42">
        <v>14</v>
      </c>
      <c r="B222" s="13">
        <v>5064</v>
      </c>
      <c r="C222" s="31" t="s">
        <v>607</v>
      </c>
      <c r="D222" s="9" t="s">
        <v>313</v>
      </c>
      <c r="E222" s="38" t="s">
        <v>577</v>
      </c>
      <c r="F222" s="44">
        <v>2500</v>
      </c>
      <c r="G222" s="44">
        <v>0</v>
      </c>
      <c r="H222" s="44">
        <v>0</v>
      </c>
      <c r="I222" s="44">
        <v>0</v>
      </c>
      <c r="J222" s="44">
        <v>0</v>
      </c>
      <c r="K222" s="44">
        <v>0</v>
      </c>
      <c r="L222" s="44">
        <v>0</v>
      </c>
      <c r="M222" s="44">
        <v>0</v>
      </c>
      <c r="N222" s="12">
        <f t="shared" si="43"/>
        <v>0</v>
      </c>
      <c r="O222" s="44">
        <v>0</v>
      </c>
      <c r="P222" s="13">
        <v>0</v>
      </c>
      <c r="Q222" s="13">
        <v>0</v>
      </c>
      <c r="R222" s="14">
        <f t="shared" si="42"/>
        <v>0</v>
      </c>
      <c r="S222" s="13">
        <f t="shared" si="44"/>
        <v>100</v>
      </c>
      <c r="T222" s="13">
        <f t="shared" si="45"/>
        <v>200</v>
      </c>
      <c r="U222" s="13" t="s">
        <v>4181</v>
      </c>
      <c r="V222" s="23" t="s">
        <v>608</v>
      </c>
      <c r="W222" t="s">
        <v>4146</v>
      </c>
    </row>
    <row r="223" spans="1:23" ht="30" customHeight="1">
      <c r="A223" s="13">
        <v>15</v>
      </c>
      <c r="B223" s="13">
        <v>5073</v>
      </c>
      <c r="C223" s="31" t="s">
        <v>609</v>
      </c>
      <c r="D223" s="9" t="s">
        <v>610</v>
      </c>
      <c r="E223" s="38" t="s">
        <v>577</v>
      </c>
      <c r="F223" s="44">
        <v>1600</v>
      </c>
      <c r="G223" s="44">
        <v>0</v>
      </c>
      <c r="H223" s="44">
        <v>0</v>
      </c>
      <c r="I223" s="44">
        <v>0</v>
      </c>
      <c r="J223" s="44">
        <v>0</v>
      </c>
      <c r="K223" s="44">
        <v>0</v>
      </c>
      <c r="L223" s="44">
        <v>0</v>
      </c>
      <c r="M223" s="44">
        <v>0</v>
      </c>
      <c r="N223" s="12">
        <f t="shared" si="43"/>
        <v>0</v>
      </c>
      <c r="O223" s="44">
        <v>0</v>
      </c>
      <c r="P223" s="13">
        <v>0</v>
      </c>
      <c r="Q223" s="13">
        <v>0</v>
      </c>
      <c r="R223" s="14">
        <f t="shared" si="42"/>
        <v>0</v>
      </c>
      <c r="S223" s="13">
        <f t="shared" si="44"/>
        <v>100</v>
      </c>
      <c r="T223" s="13">
        <f t="shared" si="45"/>
        <v>200</v>
      </c>
      <c r="U223" s="13" t="s">
        <v>4181</v>
      </c>
      <c r="V223" s="23" t="s">
        <v>611</v>
      </c>
    </row>
    <row r="224" spans="1:23" ht="30" customHeight="1">
      <c r="A224" s="42">
        <v>16</v>
      </c>
      <c r="B224" s="8">
        <v>5077</v>
      </c>
      <c r="C224" s="48" t="s">
        <v>612</v>
      </c>
      <c r="D224" s="10" t="s">
        <v>613</v>
      </c>
      <c r="E224" s="38" t="s">
        <v>577</v>
      </c>
      <c r="F224" s="44">
        <v>2300</v>
      </c>
      <c r="G224" s="44">
        <v>0</v>
      </c>
      <c r="H224" s="44">
        <v>0</v>
      </c>
      <c r="I224" s="44">
        <v>0</v>
      </c>
      <c r="J224" s="44">
        <v>0</v>
      </c>
      <c r="K224" s="44">
        <v>0</v>
      </c>
      <c r="L224" s="44">
        <v>0</v>
      </c>
      <c r="M224" s="44">
        <v>0</v>
      </c>
      <c r="N224" s="12">
        <f t="shared" si="43"/>
        <v>0</v>
      </c>
      <c r="O224" s="44">
        <v>0</v>
      </c>
      <c r="P224" s="13">
        <v>0</v>
      </c>
      <c r="Q224" s="13">
        <v>0</v>
      </c>
      <c r="R224" s="14">
        <f t="shared" si="42"/>
        <v>0</v>
      </c>
      <c r="S224" s="13">
        <f t="shared" si="44"/>
        <v>100</v>
      </c>
      <c r="T224" s="13">
        <f t="shared" si="45"/>
        <v>200</v>
      </c>
      <c r="U224" s="13" t="s">
        <v>4181</v>
      </c>
      <c r="V224" s="37" t="s">
        <v>614</v>
      </c>
    </row>
    <row r="225" spans="1:23" ht="30" customHeight="1">
      <c r="A225" s="13">
        <v>17</v>
      </c>
      <c r="B225" s="13">
        <v>5093</v>
      </c>
      <c r="C225" s="9" t="s">
        <v>615</v>
      </c>
      <c r="D225" s="9" t="s">
        <v>616</v>
      </c>
      <c r="E225" s="38" t="s">
        <v>577</v>
      </c>
      <c r="F225" s="44">
        <v>2500</v>
      </c>
      <c r="G225" s="44">
        <v>0</v>
      </c>
      <c r="H225" s="44">
        <v>0</v>
      </c>
      <c r="I225" s="44">
        <v>0</v>
      </c>
      <c r="J225" s="44">
        <v>0</v>
      </c>
      <c r="K225" s="44">
        <v>0</v>
      </c>
      <c r="L225" s="44">
        <v>0</v>
      </c>
      <c r="M225" s="44">
        <v>0</v>
      </c>
      <c r="N225" s="12">
        <f t="shared" si="43"/>
        <v>0</v>
      </c>
      <c r="O225" s="44">
        <v>0</v>
      </c>
      <c r="P225" s="13">
        <v>0</v>
      </c>
      <c r="Q225" s="13">
        <v>0</v>
      </c>
      <c r="R225" s="14">
        <f t="shared" si="42"/>
        <v>0</v>
      </c>
      <c r="S225" s="13">
        <f t="shared" si="44"/>
        <v>100</v>
      </c>
      <c r="T225" s="13">
        <f t="shared" si="45"/>
        <v>200</v>
      </c>
      <c r="U225" s="13" t="s">
        <v>4181</v>
      </c>
      <c r="V225" s="23" t="s">
        <v>617</v>
      </c>
    </row>
    <row r="226" spans="1:23" ht="30" customHeight="1">
      <c r="A226" s="42">
        <v>18</v>
      </c>
      <c r="B226" s="13">
        <v>6075</v>
      </c>
      <c r="C226" s="9" t="s">
        <v>618</v>
      </c>
      <c r="D226" s="9" t="s">
        <v>619</v>
      </c>
      <c r="E226" s="38" t="s">
        <v>577</v>
      </c>
      <c r="F226" s="13">
        <v>2100</v>
      </c>
      <c r="G226" s="13">
        <v>0</v>
      </c>
      <c r="H226" s="13">
        <v>0</v>
      </c>
      <c r="I226" s="13">
        <v>0</v>
      </c>
      <c r="J226" s="13">
        <v>0</v>
      </c>
      <c r="K226" s="13">
        <v>0</v>
      </c>
      <c r="L226" s="13">
        <v>0</v>
      </c>
      <c r="M226" s="13">
        <v>0</v>
      </c>
      <c r="N226" s="12">
        <f t="shared" si="43"/>
        <v>0</v>
      </c>
      <c r="O226" s="13">
        <v>0</v>
      </c>
      <c r="P226" s="13">
        <v>0</v>
      </c>
      <c r="Q226" s="13">
        <v>0</v>
      </c>
      <c r="R226" s="14">
        <f t="shared" si="42"/>
        <v>0</v>
      </c>
      <c r="S226" s="13">
        <f t="shared" si="44"/>
        <v>100</v>
      </c>
      <c r="T226" s="13">
        <f t="shared" si="45"/>
        <v>200</v>
      </c>
      <c r="U226" s="13" t="s">
        <v>4181</v>
      </c>
      <c r="V226" s="23" t="s">
        <v>435</v>
      </c>
    </row>
    <row r="227" spans="1:23" ht="30" customHeight="1">
      <c r="A227" s="13">
        <v>19</v>
      </c>
      <c r="B227" s="13">
        <v>6231</v>
      </c>
      <c r="C227" s="31" t="s">
        <v>620</v>
      </c>
      <c r="D227" s="9" t="s">
        <v>621</v>
      </c>
      <c r="E227" s="38" t="s">
        <v>577</v>
      </c>
      <c r="F227" s="44">
        <v>2500</v>
      </c>
      <c r="G227" s="44">
        <v>0</v>
      </c>
      <c r="H227" s="44">
        <v>0</v>
      </c>
      <c r="I227" s="44">
        <v>0</v>
      </c>
      <c r="J227" s="44">
        <v>0</v>
      </c>
      <c r="K227" s="44">
        <v>0</v>
      </c>
      <c r="L227" s="44">
        <v>0</v>
      </c>
      <c r="M227" s="44">
        <v>0</v>
      </c>
      <c r="N227" s="12">
        <f t="shared" si="43"/>
        <v>0</v>
      </c>
      <c r="O227" s="44">
        <v>0</v>
      </c>
      <c r="P227" s="13">
        <v>0</v>
      </c>
      <c r="Q227" s="13">
        <v>0</v>
      </c>
      <c r="R227" s="14">
        <f t="shared" si="42"/>
        <v>0</v>
      </c>
      <c r="S227" s="13">
        <f t="shared" si="44"/>
        <v>100</v>
      </c>
      <c r="T227" s="13">
        <f t="shared" si="45"/>
        <v>200</v>
      </c>
      <c r="U227" s="13" t="s">
        <v>4181</v>
      </c>
      <c r="V227" s="23" t="s">
        <v>622</v>
      </c>
    </row>
    <row r="228" spans="1:23" ht="30" customHeight="1">
      <c r="A228" s="42">
        <v>20</v>
      </c>
      <c r="B228" s="13">
        <v>6253</v>
      </c>
      <c r="C228" s="31" t="s">
        <v>623</v>
      </c>
      <c r="D228" s="9" t="s">
        <v>624</v>
      </c>
      <c r="E228" s="38" t="s">
        <v>577</v>
      </c>
      <c r="F228" s="44">
        <v>2500</v>
      </c>
      <c r="G228" s="44">
        <v>0</v>
      </c>
      <c r="H228" s="44">
        <v>0</v>
      </c>
      <c r="I228" s="44">
        <v>0</v>
      </c>
      <c r="J228" s="44">
        <v>0</v>
      </c>
      <c r="K228" s="44">
        <v>0</v>
      </c>
      <c r="L228" s="44">
        <v>0</v>
      </c>
      <c r="M228" s="44">
        <v>0</v>
      </c>
      <c r="N228" s="12">
        <f t="shared" si="43"/>
        <v>0</v>
      </c>
      <c r="O228" s="44">
        <v>0</v>
      </c>
      <c r="P228" s="13">
        <v>0</v>
      </c>
      <c r="Q228" s="13">
        <v>0</v>
      </c>
      <c r="R228" s="14">
        <f t="shared" si="42"/>
        <v>0</v>
      </c>
      <c r="S228" s="13">
        <f t="shared" si="44"/>
        <v>100</v>
      </c>
      <c r="T228" s="13">
        <f t="shared" si="45"/>
        <v>200</v>
      </c>
      <c r="U228" s="13" t="s">
        <v>4181</v>
      </c>
      <c r="V228" s="23" t="s">
        <v>625</v>
      </c>
    </row>
    <row r="229" spans="1:23" ht="30" customHeight="1">
      <c r="A229" s="13">
        <v>21</v>
      </c>
      <c r="B229" s="13">
        <v>6275</v>
      </c>
      <c r="C229" s="9" t="s">
        <v>626</v>
      </c>
      <c r="D229" s="9" t="s">
        <v>627</v>
      </c>
      <c r="E229" s="38" t="s">
        <v>577</v>
      </c>
      <c r="F229" s="44">
        <v>200</v>
      </c>
      <c r="G229" s="44">
        <v>0</v>
      </c>
      <c r="H229" s="44">
        <v>0</v>
      </c>
      <c r="I229" s="44">
        <v>0</v>
      </c>
      <c r="J229" s="44">
        <v>0</v>
      </c>
      <c r="K229" s="44">
        <v>0</v>
      </c>
      <c r="L229" s="44">
        <v>0</v>
      </c>
      <c r="M229" s="44">
        <v>0</v>
      </c>
      <c r="N229" s="12">
        <f t="shared" si="43"/>
        <v>0</v>
      </c>
      <c r="O229" s="44">
        <v>0</v>
      </c>
      <c r="P229" s="13">
        <v>0</v>
      </c>
      <c r="Q229" s="13">
        <v>0</v>
      </c>
      <c r="R229" s="14">
        <f t="shared" si="42"/>
        <v>0</v>
      </c>
      <c r="S229" s="13">
        <f t="shared" si="44"/>
        <v>100</v>
      </c>
      <c r="T229" s="13">
        <f t="shared" si="45"/>
        <v>200</v>
      </c>
      <c r="U229" s="13" t="s">
        <v>4181</v>
      </c>
      <c r="V229" s="15" t="s">
        <v>503</v>
      </c>
    </row>
    <row r="230" spans="1:23" ht="30" customHeight="1">
      <c r="A230" s="42">
        <v>22</v>
      </c>
      <c r="B230" s="13">
        <v>6287</v>
      </c>
      <c r="C230" s="9" t="s">
        <v>628</v>
      </c>
      <c r="D230" s="9" t="s">
        <v>207</v>
      </c>
      <c r="E230" s="38" t="s">
        <v>577</v>
      </c>
      <c r="F230" s="44">
        <v>2500</v>
      </c>
      <c r="G230" s="44">
        <v>0</v>
      </c>
      <c r="H230" s="44">
        <v>0</v>
      </c>
      <c r="I230" s="44">
        <v>0</v>
      </c>
      <c r="J230" s="44">
        <v>0</v>
      </c>
      <c r="K230" s="44">
        <v>0</v>
      </c>
      <c r="L230" s="44">
        <v>0</v>
      </c>
      <c r="M230" s="44">
        <v>0</v>
      </c>
      <c r="N230" s="12">
        <f t="shared" si="43"/>
        <v>0</v>
      </c>
      <c r="O230" s="44">
        <v>2500</v>
      </c>
      <c r="P230" s="13">
        <v>0</v>
      </c>
      <c r="Q230" s="13">
        <v>0</v>
      </c>
      <c r="R230" s="14">
        <f t="shared" si="42"/>
        <v>2500</v>
      </c>
      <c r="S230" s="13">
        <f t="shared" si="44"/>
        <v>2600</v>
      </c>
      <c r="T230" s="13">
        <f t="shared" si="45"/>
        <v>2700</v>
      </c>
      <c r="U230" s="13" t="s">
        <v>4181</v>
      </c>
      <c r="V230" s="15" t="s">
        <v>629</v>
      </c>
    </row>
    <row r="231" spans="1:23" ht="30" customHeight="1">
      <c r="A231" s="13">
        <v>23</v>
      </c>
      <c r="B231" s="13">
        <v>6523</v>
      </c>
      <c r="C231" s="9" t="s">
        <v>630</v>
      </c>
      <c r="D231" s="9" t="s">
        <v>631</v>
      </c>
      <c r="E231" s="38" t="s">
        <v>577</v>
      </c>
      <c r="F231" s="44">
        <v>2500</v>
      </c>
      <c r="G231" s="44">
        <v>0</v>
      </c>
      <c r="H231" s="44">
        <v>0</v>
      </c>
      <c r="I231" s="44">
        <v>0</v>
      </c>
      <c r="J231" s="44">
        <v>0</v>
      </c>
      <c r="K231" s="44">
        <v>0</v>
      </c>
      <c r="L231" s="44">
        <v>0</v>
      </c>
      <c r="M231" s="44">
        <v>0</v>
      </c>
      <c r="N231" s="12">
        <f t="shared" si="43"/>
        <v>0</v>
      </c>
      <c r="O231" s="44">
        <v>0</v>
      </c>
      <c r="P231" s="13">
        <v>0</v>
      </c>
      <c r="Q231" s="13">
        <v>0</v>
      </c>
      <c r="R231" s="14">
        <f t="shared" si="42"/>
        <v>0</v>
      </c>
      <c r="S231" s="13">
        <f t="shared" si="44"/>
        <v>100</v>
      </c>
      <c r="T231" s="13">
        <f t="shared" si="45"/>
        <v>200</v>
      </c>
      <c r="U231" s="13" t="s">
        <v>4181</v>
      </c>
      <c r="V231" s="15" t="s">
        <v>632</v>
      </c>
      <c r="W231" t="s">
        <v>633</v>
      </c>
    </row>
    <row r="232" spans="1:23" ht="30" customHeight="1">
      <c r="A232" s="42">
        <v>24</v>
      </c>
      <c r="B232" s="13">
        <v>6528</v>
      </c>
      <c r="C232" s="9" t="s">
        <v>634</v>
      </c>
      <c r="D232" s="9" t="s">
        <v>572</v>
      </c>
      <c r="E232" s="38" t="s">
        <v>577</v>
      </c>
      <c r="F232" s="44">
        <v>2500</v>
      </c>
      <c r="G232" s="44">
        <v>0</v>
      </c>
      <c r="H232" s="44">
        <v>0</v>
      </c>
      <c r="I232" s="44">
        <v>0</v>
      </c>
      <c r="J232" s="44">
        <v>0</v>
      </c>
      <c r="K232" s="44">
        <v>0</v>
      </c>
      <c r="L232" s="44">
        <v>0</v>
      </c>
      <c r="M232" s="44">
        <v>0</v>
      </c>
      <c r="N232" s="12">
        <f t="shared" si="43"/>
        <v>0</v>
      </c>
      <c r="O232" s="44">
        <v>0</v>
      </c>
      <c r="P232" s="13">
        <v>0</v>
      </c>
      <c r="Q232" s="13">
        <v>0</v>
      </c>
      <c r="R232" s="14">
        <f t="shared" si="42"/>
        <v>0</v>
      </c>
      <c r="S232" s="13">
        <f t="shared" ref="S232:S262" si="46">R232+100</f>
        <v>100</v>
      </c>
      <c r="T232" s="13">
        <f t="shared" ref="T232:T262" si="47">R232+200</f>
        <v>200</v>
      </c>
      <c r="U232" s="13" t="s">
        <v>4181</v>
      </c>
      <c r="V232" s="15" t="s">
        <v>635</v>
      </c>
      <c r="W232" t="s">
        <v>257</v>
      </c>
    </row>
    <row r="233" spans="1:23" ht="30" customHeight="1">
      <c r="A233" s="13">
        <v>25</v>
      </c>
      <c r="B233" s="19">
        <v>6553</v>
      </c>
      <c r="C233" s="21" t="s">
        <v>636</v>
      </c>
      <c r="D233" s="50" t="s">
        <v>281</v>
      </c>
      <c r="E233" s="38" t="s">
        <v>577</v>
      </c>
      <c r="F233" s="12">
        <v>1700</v>
      </c>
      <c r="G233" s="12">
        <v>0</v>
      </c>
      <c r="H233" s="12">
        <v>0</v>
      </c>
      <c r="I233" s="12">
        <v>0</v>
      </c>
      <c r="J233" s="12">
        <v>0</v>
      </c>
      <c r="K233" s="12">
        <v>0</v>
      </c>
      <c r="L233" s="12">
        <v>0</v>
      </c>
      <c r="M233" s="12">
        <v>0</v>
      </c>
      <c r="N233" s="12">
        <f t="shared" si="43"/>
        <v>0</v>
      </c>
      <c r="O233" s="12">
        <v>0</v>
      </c>
      <c r="P233" s="13">
        <v>0</v>
      </c>
      <c r="Q233" s="13">
        <v>0</v>
      </c>
      <c r="R233" s="14">
        <f t="shared" si="42"/>
        <v>0</v>
      </c>
      <c r="S233" s="13">
        <f t="shared" si="46"/>
        <v>100</v>
      </c>
      <c r="T233" s="13">
        <f t="shared" si="47"/>
        <v>200</v>
      </c>
      <c r="U233" s="13" t="s">
        <v>4181</v>
      </c>
      <c r="V233" s="51" t="s">
        <v>637</v>
      </c>
    </row>
    <row r="234" spans="1:23" ht="30" customHeight="1">
      <c r="A234" s="42">
        <v>26</v>
      </c>
      <c r="B234" s="13">
        <v>6565</v>
      </c>
      <c r="C234" s="21" t="s">
        <v>638</v>
      </c>
      <c r="D234" s="9" t="s">
        <v>305</v>
      </c>
      <c r="E234" s="38" t="s">
        <v>577</v>
      </c>
      <c r="F234" s="8">
        <v>1900</v>
      </c>
      <c r="G234" s="8">
        <v>0</v>
      </c>
      <c r="H234" s="8">
        <v>0</v>
      </c>
      <c r="I234" s="8">
        <v>0</v>
      </c>
      <c r="J234" s="8">
        <v>0</v>
      </c>
      <c r="K234" s="8">
        <v>0</v>
      </c>
      <c r="L234" s="8">
        <v>0</v>
      </c>
      <c r="M234" s="8">
        <v>0</v>
      </c>
      <c r="N234" s="12">
        <f t="shared" si="43"/>
        <v>0</v>
      </c>
      <c r="O234" s="8">
        <v>0</v>
      </c>
      <c r="P234" s="13">
        <v>0</v>
      </c>
      <c r="Q234" s="13">
        <v>0</v>
      </c>
      <c r="R234" s="14">
        <f t="shared" si="42"/>
        <v>0</v>
      </c>
      <c r="S234" s="13">
        <f t="shared" si="46"/>
        <v>100</v>
      </c>
      <c r="T234" s="13">
        <f t="shared" si="47"/>
        <v>200</v>
      </c>
      <c r="U234" s="13" t="s">
        <v>4181</v>
      </c>
      <c r="V234" s="15" t="s">
        <v>639</v>
      </c>
    </row>
    <row r="235" spans="1:23" ht="30" customHeight="1">
      <c r="A235" s="13">
        <v>27</v>
      </c>
      <c r="B235" s="19">
        <v>6616</v>
      </c>
      <c r="C235" s="21" t="s">
        <v>640</v>
      </c>
      <c r="D235" s="50" t="s">
        <v>641</v>
      </c>
      <c r="E235" s="38" t="s">
        <v>577</v>
      </c>
      <c r="F235" s="44">
        <v>2500</v>
      </c>
      <c r="G235" s="44">
        <v>0</v>
      </c>
      <c r="H235" s="44">
        <v>0</v>
      </c>
      <c r="I235" s="44">
        <v>0</v>
      </c>
      <c r="J235" s="44">
        <v>0</v>
      </c>
      <c r="K235" s="44">
        <v>0</v>
      </c>
      <c r="L235" s="44">
        <v>0</v>
      </c>
      <c r="M235" s="44">
        <v>0</v>
      </c>
      <c r="N235" s="12">
        <f t="shared" si="43"/>
        <v>0</v>
      </c>
      <c r="O235" s="44">
        <v>0</v>
      </c>
      <c r="P235" s="13">
        <v>0</v>
      </c>
      <c r="Q235" s="13">
        <v>0</v>
      </c>
      <c r="R235" s="14">
        <f t="shared" si="42"/>
        <v>0</v>
      </c>
      <c r="S235" s="13">
        <f t="shared" si="46"/>
        <v>100</v>
      </c>
      <c r="T235" s="13">
        <f t="shared" si="47"/>
        <v>200</v>
      </c>
      <c r="U235" s="13" t="s">
        <v>4181</v>
      </c>
      <c r="V235" s="51" t="s">
        <v>642</v>
      </c>
    </row>
    <row r="236" spans="1:23" ht="30" customHeight="1">
      <c r="A236" s="42">
        <v>28</v>
      </c>
      <c r="B236" s="19">
        <v>6631</v>
      </c>
      <c r="C236" s="21" t="s">
        <v>643</v>
      </c>
      <c r="D236" s="50" t="s">
        <v>222</v>
      </c>
      <c r="E236" s="38" t="s">
        <v>577</v>
      </c>
      <c r="F236" s="44">
        <v>2200</v>
      </c>
      <c r="G236" s="44">
        <v>0</v>
      </c>
      <c r="H236" s="44">
        <v>0</v>
      </c>
      <c r="I236" s="44">
        <v>0</v>
      </c>
      <c r="J236" s="44">
        <v>0</v>
      </c>
      <c r="K236" s="44">
        <v>0</v>
      </c>
      <c r="L236" s="44">
        <v>0</v>
      </c>
      <c r="M236" s="44">
        <v>0</v>
      </c>
      <c r="N236" s="12">
        <f t="shared" si="43"/>
        <v>0</v>
      </c>
      <c r="O236" s="44">
        <v>0</v>
      </c>
      <c r="P236" s="13">
        <v>0</v>
      </c>
      <c r="Q236" s="13">
        <v>0</v>
      </c>
      <c r="R236" s="14">
        <f t="shared" si="42"/>
        <v>0</v>
      </c>
      <c r="S236" s="13">
        <f t="shared" si="46"/>
        <v>100</v>
      </c>
      <c r="T236" s="13">
        <f t="shared" si="47"/>
        <v>200</v>
      </c>
      <c r="U236" s="13" t="s">
        <v>4181</v>
      </c>
      <c r="V236" s="51" t="s">
        <v>223</v>
      </c>
    </row>
    <row r="237" spans="1:23" ht="30" customHeight="1">
      <c r="A237" s="13">
        <v>29</v>
      </c>
      <c r="B237" s="19">
        <v>6654</v>
      </c>
      <c r="C237" s="21" t="s">
        <v>644</v>
      </c>
      <c r="D237" s="50" t="s">
        <v>645</v>
      </c>
      <c r="E237" s="38" t="s">
        <v>577</v>
      </c>
      <c r="F237" s="44">
        <v>1200</v>
      </c>
      <c r="G237" s="44">
        <v>0</v>
      </c>
      <c r="H237" s="44">
        <v>0</v>
      </c>
      <c r="I237" s="44">
        <v>0</v>
      </c>
      <c r="J237" s="44">
        <v>0</v>
      </c>
      <c r="K237" s="44">
        <v>0</v>
      </c>
      <c r="L237" s="44">
        <v>0</v>
      </c>
      <c r="M237" s="44">
        <v>0</v>
      </c>
      <c r="N237" s="12">
        <f t="shared" si="43"/>
        <v>0</v>
      </c>
      <c r="O237" s="44">
        <v>0</v>
      </c>
      <c r="P237" s="13">
        <v>0</v>
      </c>
      <c r="Q237" s="13">
        <v>0</v>
      </c>
      <c r="R237" s="14">
        <f t="shared" si="42"/>
        <v>0</v>
      </c>
      <c r="S237" s="13">
        <f t="shared" si="46"/>
        <v>100</v>
      </c>
      <c r="T237" s="13">
        <f t="shared" si="47"/>
        <v>200</v>
      </c>
      <c r="U237" s="13" t="s">
        <v>4181</v>
      </c>
      <c r="V237" s="51" t="s">
        <v>646</v>
      </c>
    </row>
    <row r="238" spans="1:23" ht="30" customHeight="1">
      <c r="A238" s="42">
        <v>30</v>
      </c>
      <c r="B238" s="19">
        <v>6655</v>
      </c>
      <c r="C238" s="21" t="s">
        <v>647</v>
      </c>
      <c r="D238" s="50" t="s">
        <v>172</v>
      </c>
      <c r="E238" s="38" t="s">
        <v>577</v>
      </c>
      <c r="F238" s="44">
        <v>0</v>
      </c>
      <c r="G238" s="44">
        <v>0</v>
      </c>
      <c r="H238" s="44">
        <v>0</v>
      </c>
      <c r="I238" s="44">
        <v>0</v>
      </c>
      <c r="J238" s="44">
        <v>0</v>
      </c>
      <c r="K238" s="44">
        <v>0</v>
      </c>
      <c r="L238" s="44">
        <v>0</v>
      </c>
      <c r="M238" s="44">
        <v>0</v>
      </c>
      <c r="N238" s="12">
        <f t="shared" si="43"/>
        <v>0</v>
      </c>
      <c r="O238" s="44">
        <v>0</v>
      </c>
      <c r="P238" s="13">
        <v>0</v>
      </c>
      <c r="Q238" s="13">
        <v>0</v>
      </c>
      <c r="R238" s="14">
        <f t="shared" si="42"/>
        <v>0</v>
      </c>
      <c r="S238" s="13">
        <f t="shared" si="46"/>
        <v>100</v>
      </c>
      <c r="T238" s="13">
        <f t="shared" si="47"/>
        <v>200</v>
      </c>
      <c r="U238" s="13" t="s">
        <v>4181</v>
      </c>
      <c r="V238" s="51" t="s">
        <v>648</v>
      </c>
    </row>
    <row r="239" spans="1:23" ht="30" customHeight="1">
      <c r="A239" s="13">
        <v>31</v>
      </c>
      <c r="B239" s="19">
        <v>6656</v>
      </c>
      <c r="C239" s="21" t="s">
        <v>649</v>
      </c>
      <c r="D239" s="50" t="s">
        <v>650</v>
      </c>
      <c r="E239" s="38" t="s">
        <v>577</v>
      </c>
      <c r="F239" s="44">
        <v>2200</v>
      </c>
      <c r="G239" s="44">
        <v>0</v>
      </c>
      <c r="H239" s="44">
        <v>0</v>
      </c>
      <c r="I239" s="44">
        <v>0</v>
      </c>
      <c r="J239" s="44">
        <v>0</v>
      </c>
      <c r="K239" s="44">
        <v>0</v>
      </c>
      <c r="L239" s="44">
        <v>0</v>
      </c>
      <c r="M239" s="44">
        <v>0</v>
      </c>
      <c r="N239" s="12">
        <f t="shared" si="43"/>
        <v>0</v>
      </c>
      <c r="O239" s="44">
        <v>2200</v>
      </c>
      <c r="P239" s="13">
        <v>0</v>
      </c>
      <c r="Q239" s="13">
        <v>0</v>
      </c>
      <c r="R239" s="14">
        <f t="shared" si="42"/>
        <v>2200</v>
      </c>
      <c r="S239" s="13">
        <f t="shared" si="46"/>
        <v>2300</v>
      </c>
      <c r="T239" s="13">
        <f t="shared" si="47"/>
        <v>2400</v>
      </c>
      <c r="U239" s="13" t="s">
        <v>4181</v>
      </c>
      <c r="V239" s="51" t="s">
        <v>651</v>
      </c>
    </row>
    <row r="240" spans="1:23" ht="30" customHeight="1">
      <c r="A240" s="42">
        <v>32</v>
      </c>
      <c r="B240" s="19">
        <v>6820</v>
      </c>
      <c r="C240" s="21" t="s">
        <v>715</v>
      </c>
      <c r="D240" s="50" t="s">
        <v>716</v>
      </c>
      <c r="E240" s="38" t="s">
        <v>577</v>
      </c>
      <c r="F240" s="44">
        <v>2000</v>
      </c>
      <c r="G240" s="44">
        <v>0</v>
      </c>
      <c r="H240" s="44">
        <v>0</v>
      </c>
      <c r="I240" s="44">
        <v>0</v>
      </c>
      <c r="J240" s="44">
        <v>0</v>
      </c>
      <c r="K240" s="44">
        <v>0</v>
      </c>
      <c r="L240" s="44">
        <v>0</v>
      </c>
      <c r="M240" s="44">
        <v>0</v>
      </c>
      <c r="N240" s="12">
        <f t="shared" si="43"/>
        <v>0</v>
      </c>
      <c r="O240" s="44">
        <v>0</v>
      </c>
      <c r="P240" s="13">
        <v>0</v>
      </c>
      <c r="Q240" s="13">
        <v>0</v>
      </c>
      <c r="R240" s="14">
        <f t="shared" si="42"/>
        <v>0</v>
      </c>
      <c r="S240" s="13">
        <f t="shared" si="46"/>
        <v>100</v>
      </c>
      <c r="T240" s="13">
        <f t="shared" si="47"/>
        <v>200</v>
      </c>
      <c r="U240" s="13" t="s">
        <v>4181</v>
      </c>
      <c r="V240" s="51" t="s">
        <v>717</v>
      </c>
    </row>
    <row r="241" spans="1:23" ht="30" customHeight="1">
      <c r="A241" s="13">
        <v>33</v>
      </c>
      <c r="B241" s="19">
        <v>6849</v>
      </c>
      <c r="C241" s="21" t="s">
        <v>4072</v>
      </c>
      <c r="D241" s="50" t="s">
        <v>4073</v>
      </c>
      <c r="E241" s="38" t="s">
        <v>577</v>
      </c>
      <c r="F241" s="44">
        <v>0</v>
      </c>
      <c r="G241" s="44">
        <v>0</v>
      </c>
      <c r="H241" s="44">
        <v>0</v>
      </c>
      <c r="I241" s="44">
        <v>0</v>
      </c>
      <c r="J241" s="44">
        <v>0</v>
      </c>
      <c r="K241" s="44">
        <v>0</v>
      </c>
      <c r="L241" s="44">
        <v>0</v>
      </c>
      <c r="M241" s="44">
        <v>0</v>
      </c>
      <c r="N241" s="12">
        <f t="shared" si="43"/>
        <v>0</v>
      </c>
      <c r="O241" s="44">
        <v>0</v>
      </c>
      <c r="P241" s="13">
        <v>0</v>
      </c>
      <c r="Q241" s="13">
        <v>0</v>
      </c>
      <c r="R241" s="14">
        <f t="shared" si="42"/>
        <v>0</v>
      </c>
      <c r="S241" s="13">
        <f t="shared" si="46"/>
        <v>100</v>
      </c>
      <c r="T241" s="13">
        <f t="shared" si="47"/>
        <v>200</v>
      </c>
      <c r="U241" s="13" t="s">
        <v>4181</v>
      </c>
      <c r="V241" s="51" t="s">
        <v>4074</v>
      </c>
    </row>
    <row r="242" spans="1:23" ht="30" customHeight="1">
      <c r="A242" s="52">
        <v>1</v>
      </c>
      <c r="B242" s="13">
        <v>4912</v>
      </c>
      <c r="C242" s="31" t="s">
        <v>652</v>
      </c>
      <c r="D242" s="9" t="s">
        <v>178</v>
      </c>
      <c r="E242" s="53" t="s">
        <v>653</v>
      </c>
      <c r="F242" s="44">
        <v>200</v>
      </c>
      <c r="G242" s="44">
        <v>0</v>
      </c>
      <c r="H242" s="44">
        <v>0</v>
      </c>
      <c r="I242" s="44">
        <v>0</v>
      </c>
      <c r="J242" s="44">
        <v>200</v>
      </c>
      <c r="K242" s="44">
        <v>200</v>
      </c>
      <c r="L242" s="44">
        <v>200</v>
      </c>
      <c r="M242" s="44">
        <v>200</v>
      </c>
      <c r="N242" s="12">
        <f t="shared" si="43"/>
        <v>800</v>
      </c>
      <c r="O242" s="44">
        <v>200</v>
      </c>
      <c r="P242" s="13">
        <v>0</v>
      </c>
      <c r="Q242" s="13">
        <v>3000</v>
      </c>
      <c r="R242" s="14">
        <f t="shared" si="42"/>
        <v>4000</v>
      </c>
      <c r="S242" s="13">
        <f t="shared" si="46"/>
        <v>4100</v>
      </c>
      <c r="T242" s="13">
        <f t="shared" si="47"/>
        <v>4200</v>
      </c>
      <c r="U242" s="13" t="s">
        <v>4181</v>
      </c>
      <c r="V242" s="23"/>
    </row>
    <row r="243" spans="1:23" ht="30" customHeight="1">
      <c r="A243" s="52">
        <v>2</v>
      </c>
      <c r="B243" s="13">
        <v>4917</v>
      </c>
      <c r="C243" s="31" t="s">
        <v>647</v>
      </c>
      <c r="D243" s="9" t="s">
        <v>654</v>
      </c>
      <c r="E243" s="53" t="s">
        <v>653</v>
      </c>
      <c r="F243" s="44">
        <v>2500</v>
      </c>
      <c r="G243" s="44">
        <v>0</v>
      </c>
      <c r="H243" s="44">
        <v>0</v>
      </c>
      <c r="I243" s="44">
        <v>0</v>
      </c>
      <c r="J243" s="44">
        <v>0</v>
      </c>
      <c r="K243" s="44">
        <v>0</v>
      </c>
      <c r="L243" s="44">
        <v>0</v>
      </c>
      <c r="M243" s="44">
        <v>0</v>
      </c>
      <c r="N243" s="12">
        <f t="shared" si="43"/>
        <v>0</v>
      </c>
      <c r="O243" s="44">
        <v>2500</v>
      </c>
      <c r="P243" s="13">
        <v>0</v>
      </c>
      <c r="Q243" s="13">
        <v>0</v>
      </c>
      <c r="R243" s="14">
        <f t="shared" si="42"/>
        <v>2500</v>
      </c>
      <c r="S243" s="13">
        <f t="shared" si="46"/>
        <v>2600</v>
      </c>
      <c r="T243" s="13">
        <f t="shared" si="47"/>
        <v>2700</v>
      </c>
      <c r="U243" s="13" t="s">
        <v>4181</v>
      </c>
      <c r="V243" s="23" t="s">
        <v>655</v>
      </c>
    </row>
    <row r="244" spans="1:23" ht="30" customHeight="1">
      <c r="A244" s="52">
        <v>3</v>
      </c>
      <c r="B244" s="13">
        <v>4920</v>
      </c>
      <c r="C244" s="31" t="s">
        <v>656</v>
      </c>
      <c r="D244" s="9" t="s">
        <v>23</v>
      </c>
      <c r="E244" s="53" t="s">
        <v>653</v>
      </c>
      <c r="F244" s="44">
        <v>2500</v>
      </c>
      <c r="G244" s="44">
        <v>0</v>
      </c>
      <c r="H244" s="44">
        <v>0</v>
      </c>
      <c r="I244" s="44">
        <v>0</v>
      </c>
      <c r="J244" s="44">
        <v>0</v>
      </c>
      <c r="K244" s="44">
        <v>0</v>
      </c>
      <c r="L244" s="44">
        <v>0</v>
      </c>
      <c r="M244" s="44">
        <v>0</v>
      </c>
      <c r="N244" s="12">
        <f t="shared" si="43"/>
        <v>0</v>
      </c>
      <c r="O244" s="44">
        <v>0</v>
      </c>
      <c r="P244" s="13">
        <v>0</v>
      </c>
      <c r="Q244" s="13">
        <v>0</v>
      </c>
      <c r="R244" s="14">
        <f t="shared" si="42"/>
        <v>0</v>
      </c>
      <c r="S244" s="13">
        <f t="shared" si="46"/>
        <v>100</v>
      </c>
      <c r="T244" s="13">
        <f t="shared" si="47"/>
        <v>200</v>
      </c>
      <c r="U244" s="13" t="s">
        <v>4181</v>
      </c>
      <c r="V244" s="23" t="s">
        <v>657</v>
      </c>
    </row>
    <row r="245" spans="1:23" ht="30" customHeight="1">
      <c r="A245" s="52">
        <v>4</v>
      </c>
      <c r="B245" s="13">
        <v>4944</v>
      </c>
      <c r="C245" s="31" t="s">
        <v>658</v>
      </c>
      <c r="D245" s="9" t="s">
        <v>563</v>
      </c>
      <c r="E245" s="53" t="s">
        <v>653</v>
      </c>
      <c r="F245" s="44">
        <v>2500</v>
      </c>
      <c r="G245" s="44">
        <v>0</v>
      </c>
      <c r="H245" s="44">
        <v>0</v>
      </c>
      <c r="I245" s="44">
        <v>0</v>
      </c>
      <c r="J245" s="44">
        <v>0</v>
      </c>
      <c r="K245" s="44">
        <v>0</v>
      </c>
      <c r="L245" s="44">
        <v>0</v>
      </c>
      <c r="M245" s="44">
        <v>0</v>
      </c>
      <c r="N245" s="12">
        <f t="shared" si="43"/>
        <v>0</v>
      </c>
      <c r="O245" s="44">
        <v>2500</v>
      </c>
      <c r="P245" s="13">
        <v>0</v>
      </c>
      <c r="Q245" s="13">
        <v>0</v>
      </c>
      <c r="R245" s="14">
        <f t="shared" si="42"/>
        <v>2500</v>
      </c>
      <c r="S245" s="13">
        <f t="shared" si="46"/>
        <v>2600</v>
      </c>
      <c r="T245" s="13">
        <f t="shared" si="47"/>
        <v>2700</v>
      </c>
      <c r="U245" s="13" t="s">
        <v>4181</v>
      </c>
      <c r="V245" s="23" t="s">
        <v>564</v>
      </c>
    </row>
    <row r="246" spans="1:23" ht="30" customHeight="1">
      <c r="A246" s="52">
        <v>5</v>
      </c>
      <c r="B246" s="13">
        <v>4965</v>
      </c>
      <c r="C246" s="31" t="s">
        <v>212</v>
      </c>
      <c r="D246" s="9" t="s">
        <v>659</v>
      </c>
      <c r="E246" s="53" t="s">
        <v>653</v>
      </c>
      <c r="F246" s="44">
        <v>2000</v>
      </c>
      <c r="G246" s="44">
        <v>0</v>
      </c>
      <c r="H246" s="44">
        <v>0</v>
      </c>
      <c r="I246" s="44">
        <v>0</v>
      </c>
      <c r="J246" s="44">
        <v>0</v>
      </c>
      <c r="K246" s="44">
        <v>0</v>
      </c>
      <c r="L246" s="44">
        <v>0</v>
      </c>
      <c r="M246" s="44">
        <v>0</v>
      </c>
      <c r="N246" s="12">
        <f t="shared" si="43"/>
        <v>0</v>
      </c>
      <c r="O246" s="44">
        <v>2000</v>
      </c>
      <c r="P246" s="13">
        <v>0</v>
      </c>
      <c r="Q246" s="13">
        <v>0</v>
      </c>
      <c r="R246" s="14">
        <f t="shared" si="42"/>
        <v>2000</v>
      </c>
      <c r="S246" s="13">
        <f t="shared" si="46"/>
        <v>2100</v>
      </c>
      <c r="T246" s="13">
        <f t="shared" si="47"/>
        <v>2200</v>
      </c>
      <c r="U246" s="13" t="s">
        <v>4181</v>
      </c>
      <c r="V246" s="23" t="s">
        <v>660</v>
      </c>
    </row>
    <row r="247" spans="1:23" ht="30" customHeight="1">
      <c r="A247" s="52">
        <v>6</v>
      </c>
      <c r="B247" s="13">
        <v>4966</v>
      </c>
      <c r="C247" s="31" t="s">
        <v>661</v>
      </c>
      <c r="D247" s="9" t="s">
        <v>662</v>
      </c>
      <c r="E247" s="53" t="s">
        <v>653</v>
      </c>
      <c r="F247" s="44">
        <v>2100</v>
      </c>
      <c r="G247" s="44">
        <v>0</v>
      </c>
      <c r="H247" s="44">
        <v>0</v>
      </c>
      <c r="I247" s="44">
        <v>0</v>
      </c>
      <c r="J247" s="44">
        <v>0</v>
      </c>
      <c r="K247" s="44">
        <v>0</v>
      </c>
      <c r="L247" s="44">
        <v>0</v>
      </c>
      <c r="M247" s="44">
        <v>0</v>
      </c>
      <c r="N247" s="12">
        <f t="shared" si="43"/>
        <v>0</v>
      </c>
      <c r="O247" s="44">
        <v>0</v>
      </c>
      <c r="P247" s="13">
        <v>0</v>
      </c>
      <c r="Q247" s="13">
        <v>0</v>
      </c>
      <c r="R247" s="14">
        <f t="shared" si="42"/>
        <v>0</v>
      </c>
      <c r="S247" s="13">
        <f t="shared" si="46"/>
        <v>100</v>
      </c>
      <c r="T247" s="13">
        <f t="shared" si="47"/>
        <v>200</v>
      </c>
      <c r="U247" s="13" t="s">
        <v>4181</v>
      </c>
      <c r="V247" s="29" t="s">
        <v>663</v>
      </c>
    </row>
    <row r="248" spans="1:23" ht="30" customHeight="1">
      <c r="A248" s="52">
        <v>7</v>
      </c>
      <c r="B248" s="13">
        <v>4973</v>
      </c>
      <c r="C248" s="31" t="s">
        <v>664</v>
      </c>
      <c r="D248" s="9" t="s">
        <v>665</v>
      </c>
      <c r="E248" s="53" t="s">
        <v>653</v>
      </c>
      <c r="F248" s="44">
        <v>1500</v>
      </c>
      <c r="G248" s="44">
        <v>0</v>
      </c>
      <c r="H248" s="44">
        <v>0</v>
      </c>
      <c r="I248" s="44">
        <v>0</v>
      </c>
      <c r="J248" s="44">
        <v>0</v>
      </c>
      <c r="K248" s="44">
        <v>0</v>
      </c>
      <c r="L248" s="44">
        <v>0</v>
      </c>
      <c r="M248" s="44">
        <v>0</v>
      </c>
      <c r="N248" s="12">
        <f t="shared" si="43"/>
        <v>0</v>
      </c>
      <c r="O248" s="44">
        <v>0</v>
      </c>
      <c r="P248" s="13">
        <v>0</v>
      </c>
      <c r="Q248" s="13">
        <v>0</v>
      </c>
      <c r="R248" s="14">
        <f t="shared" si="42"/>
        <v>0</v>
      </c>
      <c r="S248" s="13">
        <f t="shared" si="46"/>
        <v>100</v>
      </c>
      <c r="T248" s="13">
        <f t="shared" si="47"/>
        <v>200</v>
      </c>
      <c r="U248" s="13" t="s">
        <v>4181</v>
      </c>
      <c r="V248" s="23" t="s">
        <v>666</v>
      </c>
    </row>
    <row r="249" spans="1:23" ht="30" customHeight="1">
      <c r="A249" s="52">
        <v>8</v>
      </c>
      <c r="B249" s="13">
        <v>4982</v>
      </c>
      <c r="C249" s="47" t="s">
        <v>667</v>
      </c>
      <c r="D249" s="9" t="s">
        <v>668</v>
      </c>
      <c r="E249" s="53" t="s">
        <v>653</v>
      </c>
      <c r="F249" s="44">
        <v>1600</v>
      </c>
      <c r="G249" s="44">
        <v>0</v>
      </c>
      <c r="H249" s="44">
        <v>0</v>
      </c>
      <c r="I249" s="44">
        <v>0</v>
      </c>
      <c r="J249" s="44">
        <v>0</v>
      </c>
      <c r="K249" s="44">
        <v>0</v>
      </c>
      <c r="L249" s="44">
        <v>0</v>
      </c>
      <c r="M249" s="44">
        <v>0</v>
      </c>
      <c r="N249" s="12">
        <f t="shared" si="43"/>
        <v>0</v>
      </c>
      <c r="O249" s="44">
        <v>0</v>
      </c>
      <c r="P249" s="13">
        <v>0</v>
      </c>
      <c r="Q249" s="13">
        <v>0</v>
      </c>
      <c r="R249" s="14">
        <f t="shared" si="42"/>
        <v>0</v>
      </c>
      <c r="S249" s="13">
        <f t="shared" si="46"/>
        <v>100</v>
      </c>
      <c r="T249" s="13">
        <f t="shared" si="47"/>
        <v>200</v>
      </c>
      <c r="U249" s="13" t="s">
        <v>4181</v>
      </c>
      <c r="V249" s="54" t="s">
        <v>669</v>
      </c>
    </row>
    <row r="250" spans="1:23" ht="30" customHeight="1">
      <c r="A250" s="52">
        <v>9</v>
      </c>
      <c r="B250" s="13">
        <v>5027</v>
      </c>
      <c r="C250" s="31" t="s">
        <v>221</v>
      </c>
      <c r="D250" s="9" t="s">
        <v>670</v>
      </c>
      <c r="E250" s="53" t="s">
        <v>653</v>
      </c>
      <c r="F250" s="44">
        <v>1800</v>
      </c>
      <c r="G250" s="44">
        <v>0</v>
      </c>
      <c r="H250" s="44">
        <v>0</v>
      </c>
      <c r="I250" s="44">
        <v>0</v>
      </c>
      <c r="J250" s="44">
        <v>0</v>
      </c>
      <c r="K250" s="44">
        <v>0</v>
      </c>
      <c r="L250" s="44">
        <v>0</v>
      </c>
      <c r="M250" s="44">
        <v>0</v>
      </c>
      <c r="N250" s="12">
        <f t="shared" si="43"/>
        <v>0</v>
      </c>
      <c r="O250" s="44">
        <v>0</v>
      </c>
      <c r="P250" s="13">
        <v>0</v>
      </c>
      <c r="Q250" s="13">
        <v>0</v>
      </c>
      <c r="R250" s="14">
        <f t="shared" si="42"/>
        <v>0</v>
      </c>
      <c r="S250" s="13">
        <f t="shared" si="46"/>
        <v>100</v>
      </c>
      <c r="T250" s="13">
        <f t="shared" si="47"/>
        <v>200</v>
      </c>
      <c r="U250" s="13" t="s">
        <v>4181</v>
      </c>
      <c r="V250" s="23" t="s">
        <v>671</v>
      </c>
    </row>
    <row r="251" spans="1:23" ht="30" customHeight="1">
      <c r="A251" s="52">
        <v>10</v>
      </c>
      <c r="B251" s="13">
        <v>5033</v>
      </c>
      <c r="C251" s="31" t="s">
        <v>672</v>
      </c>
      <c r="D251" s="9" t="s">
        <v>673</v>
      </c>
      <c r="E251" s="53" t="s">
        <v>653</v>
      </c>
      <c r="F251" s="44">
        <v>2100</v>
      </c>
      <c r="G251" s="44">
        <v>0</v>
      </c>
      <c r="H251" s="44">
        <v>0</v>
      </c>
      <c r="I251" s="44">
        <v>0</v>
      </c>
      <c r="J251" s="44">
        <v>0</v>
      </c>
      <c r="K251" s="44">
        <v>0</v>
      </c>
      <c r="L251" s="44">
        <v>0</v>
      </c>
      <c r="M251" s="44">
        <v>0</v>
      </c>
      <c r="N251" s="12">
        <f t="shared" si="43"/>
        <v>0</v>
      </c>
      <c r="O251" s="44">
        <v>0</v>
      </c>
      <c r="P251" s="13">
        <v>0</v>
      </c>
      <c r="Q251" s="13">
        <v>0</v>
      </c>
      <c r="R251" s="14">
        <f t="shared" si="42"/>
        <v>0</v>
      </c>
      <c r="S251" s="13">
        <f t="shared" si="46"/>
        <v>100</v>
      </c>
      <c r="T251" s="13">
        <f t="shared" si="47"/>
        <v>200</v>
      </c>
      <c r="U251" s="13" t="s">
        <v>4181</v>
      </c>
      <c r="V251" s="23" t="s">
        <v>674</v>
      </c>
    </row>
    <row r="252" spans="1:23" ht="30" customHeight="1">
      <c r="A252" s="52">
        <v>11</v>
      </c>
      <c r="B252" s="13">
        <v>5039</v>
      </c>
      <c r="C252" s="31" t="s">
        <v>675</v>
      </c>
      <c r="D252" s="9" t="s">
        <v>92</v>
      </c>
      <c r="E252" s="53" t="s">
        <v>653</v>
      </c>
      <c r="F252" s="44">
        <v>200</v>
      </c>
      <c r="G252" s="44">
        <v>0</v>
      </c>
      <c r="H252" s="44">
        <v>0</v>
      </c>
      <c r="I252" s="44">
        <v>0</v>
      </c>
      <c r="J252" s="44">
        <v>200</v>
      </c>
      <c r="K252" s="44">
        <v>200</v>
      </c>
      <c r="L252" s="44">
        <v>200</v>
      </c>
      <c r="M252" s="44">
        <v>200</v>
      </c>
      <c r="N252" s="12">
        <f t="shared" si="43"/>
        <v>800</v>
      </c>
      <c r="O252" s="44">
        <v>200</v>
      </c>
      <c r="P252" s="13">
        <v>0</v>
      </c>
      <c r="Q252" s="13">
        <v>3000</v>
      </c>
      <c r="R252" s="14">
        <f t="shared" si="42"/>
        <v>4000</v>
      </c>
      <c r="S252" s="13">
        <f t="shared" si="46"/>
        <v>4100</v>
      </c>
      <c r="T252" s="13">
        <f t="shared" si="47"/>
        <v>4200</v>
      </c>
      <c r="U252" s="13" t="s">
        <v>4181</v>
      </c>
      <c r="V252" s="23" t="s">
        <v>676</v>
      </c>
    </row>
    <row r="253" spans="1:23" ht="30" customHeight="1">
      <c r="A253" s="52">
        <v>12</v>
      </c>
      <c r="B253" s="13">
        <v>5040</v>
      </c>
      <c r="C253" s="31" t="s">
        <v>513</v>
      </c>
      <c r="D253" s="9" t="s">
        <v>382</v>
      </c>
      <c r="E253" s="53" t="s">
        <v>653</v>
      </c>
      <c r="F253" s="44">
        <v>2500</v>
      </c>
      <c r="G253" s="44">
        <v>0</v>
      </c>
      <c r="H253" s="44">
        <v>0</v>
      </c>
      <c r="I253" s="44">
        <v>0</v>
      </c>
      <c r="J253" s="44">
        <v>0</v>
      </c>
      <c r="K253" s="44">
        <v>0</v>
      </c>
      <c r="L253" s="44">
        <v>0</v>
      </c>
      <c r="M253" s="44">
        <v>0</v>
      </c>
      <c r="N253" s="12">
        <f t="shared" si="43"/>
        <v>0</v>
      </c>
      <c r="O253" s="44">
        <v>0</v>
      </c>
      <c r="P253" s="13">
        <v>0</v>
      </c>
      <c r="Q253" s="13">
        <v>0</v>
      </c>
      <c r="R253" s="14">
        <f t="shared" si="42"/>
        <v>0</v>
      </c>
      <c r="S253" s="13">
        <f t="shared" si="46"/>
        <v>100</v>
      </c>
      <c r="T253" s="13">
        <f t="shared" si="47"/>
        <v>200</v>
      </c>
      <c r="U253" s="13" t="s">
        <v>4181</v>
      </c>
      <c r="V253" s="23" t="s">
        <v>462</v>
      </c>
    </row>
    <row r="254" spans="1:23" ht="30" customHeight="1">
      <c r="A254" s="52">
        <v>13</v>
      </c>
      <c r="B254" s="13">
        <v>5041</v>
      </c>
      <c r="C254" s="31" t="s">
        <v>677</v>
      </c>
      <c r="D254" s="9" t="s">
        <v>678</v>
      </c>
      <c r="E254" s="53" t="s">
        <v>653</v>
      </c>
      <c r="F254" s="44">
        <v>2500</v>
      </c>
      <c r="G254" s="44">
        <v>0</v>
      </c>
      <c r="H254" s="44">
        <v>0</v>
      </c>
      <c r="I254" s="44">
        <v>0</v>
      </c>
      <c r="J254" s="44">
        <v>0</v>
      </c>
      <c r="K254" s="44">
        <v>0</v>
      </c>
      <c r="L254" s="44">
        <v>0</v>
      </c>
      <c r="M254" s="44">
        <v>0</v>
      </c>
      <c r="N254" s="12">
        <f t="shared" si="43"/>
        <v>0</v>
      </c>
      <c r="O254" s="44">
        <v>0</v>
      </c>
      <c r="P254" s="13">
        <v>0</v>
      </c>
      <c r="Q254" s="13">
        <v>0</v>
      </c>
      <c r="R254" s="14">
        <f t="shared" si="42"/>
        <v>0</v>
      </c>
      <c r="S254" s="13">
        <f t="shared" si="46"/>
        <v>100</v>
      </c>
      <c r="T254" s="13">
        <f t="shared" si="47"/>
        <v>200</v>
      </c>
      <c r="U254" s="13" t="s">
        <v>4181</v>
      </c>
      <c r="V254" s="23" t="s">
        <v>679</v>
      </c>
    </row>
    <row r="255" spans="1:23" ht="30" customHeight="1">
      <c r="A255" s="52">
        <v>14</v>
      </c>
      <c r="B255" s="13">
        <v>5083</v>
      </c>
      <c r="C255" s="31" t="s">
        <v>680</v>
      </c>
      <c r="D255" s="9" t="s">
        <v>681</v>
      </c>
      <c r="E255" s="53" t="s">
        <v>653</v>
      </c>
      <c r="F255" s="44">
        <v>0</v>
      </c>
      <c r="G255" s="44">
        <v>0</v>
      </c>
      <c r="H255" s="44">
        <v>0</v>
      </c>
      <c r="I255" s="44">
        <v>0</v>
      </c>
      <c r="J255" s="44">
        <v>0</v>
      </c>
      <c r="K255" s="44">
        <v>0</v>
      </c>
      <c r="L255" s="44">
        <v>0</v>
      </c>
      <c r="M255" s="44">
        <v>0</v>
      </c>
      <c r="N255" s="12">
        <f t="shared" si="43"/>
        <v>0</v>
      </c>
      <c r="O255" s="44">
        <v>0</v>
      </c>
      <c r="P255" s="32">
        <v>0</v>
      </c>
      <c r="Q255" s="13">
        <v>0</v>
      </c>
      <c r="R255" s="14">
        <f t="shared" si="42"/>
        <v>0</v>
      </c>
      <c r="S255" s="13">
        <f t="shared" si="46"/>
        <v>100</v>
      </c>
      <c r="T255" s="13">
        <f t="shared" si="47"/>
        <v>200</v>
      </c>
      <c r="U255" s="13" t="s">
        <v>4181</v>
      </c>
      <c r="V255" s="23" t="s">
        <v>682</v>
      </c>
    </row>
    <row r="256" spans="1:23" ht="30" customHeight="1">
      <c r="A256" s="52">
        <v>15</v>
      </c>
      <c r="B256" s="13">
        <v>5084</v>
      </c>
      <c r="C256" s="31" t="s">
        <v>683</v>
      </c>
      <c r="D256" s="9" t="s">
        <v>681</v>
      </c>
      <c r="E256" s="53" t="s">
        <v>653</v>
      </c>
      <c r="F256" s="44">
        <v>1700</v>
      </c>
      <c r="G256" s="44">
        <v>0</v>
      </c>
      <c r="H256" s="44">
        <v>0</v>
      </c>
      <c r="I256" s="44">
        <v>0</v>
      </c>
      <c r="J256" s="44">
        <v>0</v>
      </c>
      <c r="K256" s="44">
        <v>0</v>
      </c>
      <c r="L256" s="44">
        <v>0</v>
      </c>
      <c r="M256" s="44">
        <v>0</v>
      </c>
      <c r="N256" s="12">
        <f t="shared" si="43"/>
        <v>0</v>
      </c>
      <c r="O256" s="44">
        <v>0</v>
      </c>
      <c r="P256" s="32">
        <v>0</v>
      </c>
      <c r="Q256" s="13">
        <v>0</v>
      </c>
      <c r="R256" s="14">
        <f t="shared" si="42"/>
        <v>0</v>
      </c>
      <c r="S256" s="13">
        <f t="shared" si="46"/>
        <v>100</v>
      </c>
      <c r="T256" s="13">
        <f t="shared" si="47"/>
        <v>200</v>
      </c>
      <c r="U256" s="13" t="s">
        <v>4181</v>
      </c>
      <c r="V256" s="23" t="s">
        <v>682</v>
      </c>
      <c r="W256" t="s">
        <v>257</v>
      </c>
    </row>
    <row r="257" spans="1:23" ht="30" customHeight="1">
      <c r="A257" s="52">
        <v>16</v>
      </c>
      <c r="B257" s="13">
        <v>5095</v>
      </c>
      <c r="C257" s="31" t="s">
        <v>565</v>
      </c>
      <c r="D257" s="9" t="s">
        <v>684</v>
      </c>
      <c r="E257" s="53" t="s">
        <v>653</v>
      </c>
      <c r="F257" s="44">
        <v>1600</v>
      </c>
      <c r="G257" s="44">
        <v>0</v>
      </c>
      <c r="H257" s="44">
        <v>0</v>
      </c>
      <c r="I257" s="44">
        <v>0</v>
      </c>
      <c r="J257" s="44">
        <v>0</v>
      </c>
      <c r="K257" s="44">
        <v>0</v>
      </c>
      <c r="L257" s="44">
        <v>0</v>
      </c>
      <c r="M257" s="44">
        <v>0</v>
      </c>
      <c r="N257" s="12">
        <f t="shared" si="43"/>
        <v>0</v>
      </c>
      <c r="O257" s="44">
        <v>0</v>
      </c>
      <c r="P257" s="32">
        <v>0</v>
      </c>
      <c r="Q257" s="13">
        <v>0</v>
      </c>
      <c r="R257" s="14">
        <f t="shared" si="42"/>
        <v>0</v>
      </c>
      <c r="S257" s="13">
        <f t="shared" si="46"/>
        <v>100</v>
      </c>
      <c r="T257" s="13">
        <f t="shared" si="47"/>
        <v>200</v>
      </c>
      <c r="U257" s="13" t="s">
        <v>4181</v>
      </c>
      <c r="V257" s="23" t="s">
        <v>685</v>
      </c>
      <c r="W257" s="55"/>
    </row>
    <row r="258" spans="1:23" ht="30" customHeight="1">
      <c r="A258" s="52">
        <v>17</v>
      </c>
      <c r="B258" s="13">
        <v>6005</v>
      </c>
      <c r="C258" s="31" t="s">
        <v>686</v>
      </c>
      <c r="D258" s="9" t="s">
        <v>687</v>
      </c>
      <c r="E258" s="53" t="s">
        <v>653</v>
      </c>
      <c r="F258" s="44">
        <v>2500</v>
      </c>
      <c r="G258" s="44">
        <v>0</v>
      </c>
      <c r="H258" s="44">
        <v>0</v>
      </c>
      <c r="I258" s="44">
        <v>0</v>
      </c>
      <c r="J258" s="44">
        <v>0</v>
      </c>
      <c r="K258" s="44">
        <v>0</v>
      </c>
      <c r="L258" s="44">
        <v>0</v>
      </c>
      <c r="M258" s="44">
        <v>0</v>
      </c>
      <c r="N258" s="12">
        <f t="shared" si="43"/>
        <v>0</v>
      </c>
      <c r="O258" s="44">
        <v>0</v>
      </c>
      <c r="P258" s="13">
        <v>0</v>
      </c>
      <c r="Q258" s="13">
        <v>0</v>
      </c>
      <c r="R258" s="14">
        <f t="shared" si="42"/>
        <v>0</v>
      </c>
      <c r="S258" s="13">
        <f t="shared" si="46"/>
        <v>100</v>
      </c>
      <c r="T258" s="13">
        <f t="shared" si="47"/>
        <v>200</v>
      </c>
      <c r="U258" s="13" t="s">
        <v>4181</v>
      </c>
      <c r="V258" s="23" t="s">
        <v>688</v>
      </c>
    </row>
    <row r="259" spans="1:23" ht="30" customHeight="1">
      <c r="A259" s="52">
        <v>18</v>
      </c>
      <c r="B259" s="13">
        <v>6113</v>
      </c>
      <c r="C259" s="31" t="s">
        <v>689</v>
      </c>
      <c r="D259" s="9" t="s">
        <v>690</v>
      </c>
      <c r="E259" s="53" t="s">
        <v>653</v>
      </c>
      <c r="F259" s="44">
        <v>2500</v>
      </c>
      <c r="G259" s="44">
        <v>0</v>
      </c>
      <c r="H259" s="44">
        <v>0</v>
      </c>
      <c r="I259" s="44">
        <v>0</v>
      </c>
      <c r="J259" s="44">
        <v>0</v>
      </c>
      <c r="K259" s="44">
        <v>0</v>
      </c>
      <c r="L259" s="44">
        <v>0</v>
      </c>
      <c r="M259" s="44">
        <v>0</v>
      </c>
      <c r="N259" s="12">
        <f t="shared" si="43"/>
        <v>0</v>
      </c>
      <c r="O259" s="44">
        <v>2500</v>
      </c>
      <c r="P259" s="13">
        <v>0</v>
      </c>
      <c r="Q259" s="13">
        <v>0</v>
      </c>
      <c r="R259" s="14">
        <f t="shared" si="42"/>
        <v>2500</v>
      </c>
      <c r="S259" s="13">
        <f t="shared" si="46"/>
        <v>2600</v>
      </c>
      <c r="T259" s="13">
        <f t="shared" si="47"/>
        <v>2700</v>
      </c>
      <c r="U259" s="13" t="s">
        <v>4181</v>
      </c>
      <c r="V259" s="23" t="s">
        <v>691</v>
      </c>
    </row>
    <row r="260" spans="1:23" ht="30" customHeight="1">
      <c r="A260" s="52">
        <v>19</v>
      </c>
      <c r="B260" s="8">
        <v>6263</v>
      </c>
      <c r="C260" s="41" t="s">
        <v>508</v>
      </c>
      <c r="D260" s="9" t="s">
        <v>692</v>
      </c>
      <c r="E260" s="53" t="s">
        <v>653</v>
      </c>
      <c r="F260" s="44">
        <v>1600</v>
      </c>
      <c r="G260" s="44">
        <v>0</v>
      </c>
      <c r="H260" s="44">
        <v>0</v>
      </c>
      <c r="I260" s="44">
        <v>0</v>
      </c>
      <c r="J260" s="44">
        <v>0</v>
      </c>
      <c r="K260" s="44">
        <v>0</v>
      </c>
      <c r="L260" s="44">
        <v>0</v>
      </c>
      <c r="M260" s="44">
        <v>0</v>
      </c>
      <c r="N260" s="12">
        <f t="shared" si="43"/>
        <v>0</v>
      </c>
      <c r="O260" s="44">
        <v>0</v>
      </c>
      <c r="P260" s="8">
        <v>0</v>
      </c>
      <c r="Q260" s="13">
        <v>0</v>
      </c>
      <c r="R260" s="14">
        <f t="shared" si="42"/>
        <v>0</v>
      </c>
      <c r="S260" s="13">
        <f t="shared" si="46"/>
        <v>100</v>
      </c>
      <c r="T260" s="13">
        <f t="shared" si="47"/>
        <v>200</v>
      </c>
      <c r="U260" s="13" t="s">
        <v>4181</v>
      </c>
      <c r="V260" s="37" t="s">
        <v>693</v>
      </c>
    </row>
    <row r="261" spans="1:23" ht="30" customHeight="1">
      <c r="A261" s="52">
        <v>20</v>
      </c>
      <c r="B261" s="13">
        <v>6312</v>
      </c>
      <c r="C261" s="9" t="s">
        <v>694</v>
      </c>
      <c r="D261" s="9" t="s">
        <v>559</v>
      </c>
      <c r="E261" s="53" t="s">
        <v>653</v>
      </c>
      <c r="F261" s="44">
        <v>2500</v>
      </c>
      <c r="G261" s="44">
        <v>0</v>
      </c>
      <c r="H261" s="44">
        <v>0</v>
      </c>
      <c r="I261" s="44">
        <v>0</v>
      </c>
      <c r="J261" s="44">
        <v>0</v>
      </c>
      <c r="K261" s="44">
        <v>0</v>
      </c>
      <c r="L261" s="44">
        <v>0</v>
      </c>
      <c r="M261" s="44">
        <v>0</v>
      </c>
      <c r="N261" s="12">
        <f t="shared" si="43"/>
        <v>0</v>
      </c>
      <c r="O261" s="44">
        <v>0</v>
      </c>
      <c r="P261" s="13">
        <v>0</v>
      </c>
      <c r="Q261" s="13">
        <v>0</v>
      </c>
      <c r="R261" s="14">
        <f t="shared" ref="R261:R324" si="48">(SUM(N261:Q261))</f>
        <v>0</v>
      </c>
      <c r="S261" s="13">
        <f t="shared" si="46"/>
        <v>100</v>
      </c>
      <c r="T261" s="13">
        <f t="shared" si="47"/>
        <v>200</v>
      </c>
      <c r="U261" s="13" t="s">
        <v>4181</v>
      </c>
      <c r="V261" s="15" t="s">
        <v>695</v>
      </c>
    </row>
    <row r="262" spans="1:23" ht="30" customHeight="1">
      <c r="A262" s="52">
        <v>21</v>
      </c>
      <c r="B262" s="13">
        <v>6313</v>
      </c>
      <c r="C262" s="9" t="s">
        <v>640</v>
      </c>
      <c r="D262" s="9" t="s">
        <v>696</v>
      </c>
      <c r="E262" s="53" t="s">
        <v>653</v>
      </c>
      <c r="F262" s="44">
        <v>2500</v>
      </c>
      <c r="G262" s="44">
        <v>0</v>
      </c>
      <c r="H262" s="44">
        <v>0</v>
      </c>
      <c r="I262" s="44">
        <v>0</v>
      </c>
      <c r="J262" s="44">
        <v>0</v>
      </c>
      <c r="K262" s="44">
        <v>0</v>
      </c>
      <c r="L262" s="44">
        <v>0</v>
      </c>
      <c r="M262" s="44">
        <v>0</v>
      </c>
      <c r="N262" s="12">
        <f t="shared" ref="N262:N325" si="49">(SUM(G262:M262))</f>
        <v>0</v>
      </c>
      <c r="O262" s="44">
        <v>0</v>
      </c>
      <c r="P262" s="8">
        <v>0</v>
      </c>
      <c r="Q262" s="13">
        <v>0</v>
      </c>
      <c r="R262" s="14">
        <f t="shared" si="48"/>
        <v>0</v>
      </c>
      <c r="S262" s="13">
        <f t="shared" si="46"/>
        <v>100</v>
      </c>
      <c r="T262" s="13">
        <f t="shared" si="47"/>
        <v>200</v>
      </c>
      <c r="U262" s="13" t="s">
        <v>4181</v>
      </c>
      <c r="V262" s="56" t="s">
        <v>695</v>
      </c>
    </row>
    <row r="263" spans="1:23" ht="30" customHeight="1">
      <c r="A263" s="52">
        <v>22</v>
      </c>
      <c r="B263" s="19">
        <v>6594</v>
      </c>
      <c r="C263" s="21" t="s">
        <v>697</v>
      </c>
      <c r="D263" s="50" t="s">
        <v>698</v>
      </c>
      <c r="E263" s="53" t="s">
        <v>653</v>
      </c>
      <c r="F263" s="44">
        <v>2300</v>
      </c>
      <c r="G263" s="44">
        <v>0</v>
      </c>
      <c r="H263" s="44">
        <v>0</v>
      </c>
      <c r="I263" s="44">
        <v>0</v>
      </c>
      <c r="J263" s="44">
        <v>0</v>
      </c>
      <c r="K263" s="44">
        <v>0</v>
      </c>
      <c r="L263" s="44">
        <v>0</v>
      </c>
      <c r="M263" s="44">
        <v>0</v>
      </c>
      <c r="N263" s="12">
        <f t="shared" si="49"/>
        <v>0</v>
      </c>
      <c r="O263" s="44">
        <v>0</v>
      </c>
      <c r="P263" s="13">
        <v>0</v>
      </c>
      <c r="Q263" s="13">
        <v>0</v>
      </c>
      <c r="R263" s="14">
        <f t="shared" si="48"/>
        <v>0</v>
      </c>
      <c r="S263" s="13">
        <f t="shared" ref="S263:S294" si="50">R263+100</f>
        <v>100</v>
      </c>
      <c r="T263" s="13">
        <f t="shared" ref="T263:T294" si="51">R263+200</f>
        <v>200</v>
      </c>
      <c r="U263" s="13" t="s">
        <v>4181</v>
      </c>
      <c r="V263" s="51" t="s">
        <v>699</v>
      </c>
    </row>
    <row r="264" spans="1:23" ht="30" customHeight="1">
      <c r="A264" s="52">
        <v>23</v>
      </c>
      <c r="B264" s="19">
        <v>6632</v>
      </c>
      <c r="C264" s="21" t="s">
        <v>704</v>
      </c>
      <c r="D264" s="50" t="s">
        <v>325</v>
      </c>
      <c r="E264" s="53" t="s">
        <v>653</v>
      </c>
      <c r="F264" s="44">
        <v>2500</v>
      </c>
      <c r="G264" s="44">
        <v>0</v>
      </c>
      <c r="H264" s="44">
        <v>0</v>
      </c>
      <c r="I264" s="44">
        <v>0</v>
      </c>
      <c r="J264" s="44">
        <v>0</v>
      </c>
      <c r="K264" s="44">
        <v>0</v>
      </c>
      <c r="L264" s="44">
        <v>0</v>
      </c>
      <c r="M264" s="44">
        <v>0</v>
      </c>
      <c r="N264" s="12">
        <f t="shared" si="49"/>
        <v>0</v>
      </c>
      <c r="O264" s="44">
        <v>0</v>
      </c>
      <c r="P264" s="13">
        <v>0</v>
      </c>
      <c r="Q264" s="13">
        <v>0</v>
      </c>
      <c r="R264" s="14">
        <f t="shared" si="48"/>
        <v>0</v>
      </c>
      <c r="S264" s="13">
        <f t="shared" si="50"/>
        <v>100</v>
      </c>
      <c r="T264" s="13">
        <f t="shared" si="51"/>
        <v>200</v>
      </c>
      <c r="U264" s="13" t="s">
        <v>4181</v>
      </c>
      <c r="V264" s="51" t="s">
        <v>326</v>
      </c>
    </row>
    <row r="265" spans="1:23" ht="30" customHeight="1">
      <c r="A265" s="52">
        <v>24</v>
      </c>
      <c r="B265" s="19">
        <v>6633</v>
      </c>
      <c r="C265" s="21" t="s">
        <v>705</v>
      </c>
      <c r="D265" s="50" t="s">
        <v>706</v>
      </c>
      <c r="E265" s="53" t="s">
        <v>653</v>
      </c>
      <c r="F265" s="44">
        <v>2500</v>
      </c>
      <c r="G265" s="44">
        <v>0</v>
      </c>
      <c r="H265" s="44">
        <v>0</v>
      </c>
      <c r="I265" s="44">
        <v>0</v>
      </c>
      <c r="J265" s="44">
        <v>0</v>
      </c>
      <c r="K265" s="44">
        <v>0</v>
      </c>
      <c r="L265" s="44">
        <v>0</v>
      </c>
      <c r="M265" s="44">
        <v>0</v>
      </c>
      <c r="N265" s="12">
        <f t="shared" si="49"/>
        <v>0</v>
      </c>
      <c r="O265" s="44">
        <v>0</v>
      </c>
      <c r="P265" s="13">
        <v>0</v>
      </c>
      <c r="Q265" s="13">
        <v>0</v>
      </c>
      <c r="R265" s="14">
        <f t="shared" si="48"/>
        <v>0</v>
      </c>
      <c r="S265" s="13">
        <f t="shared" si="50"/>
        <v>100</v>
      </c>
      <c r="T265" s="13">
        <f t="shared" si="51"/>
        <v>200</v>
      </c>
      <c r="U265" s="13" t="s">
        <v>4181</v>
      </c>
      <c r="V265" s="51" t="s">
        <v>707</v>
      </c>
      <c r="W265" t="s">
        <v>423</v>
      </c>
    </row>
    <row r="266" spans="1:23" ht="30" customHeight="1">
      <c r="A266" s="52">
        <v>25</v>
      </c>
      <c r="B266" s="13">
        <v>6690</v>
      </c>
      <c r="C266" s="9" t="s">
        <v>708</v>
      </c>
      <c r="D266" s="57" t="s">
        <v>709</v>
      </c>
      <c r="E266" s="53" t="s">
        <v>653</v>
      </c>
      <c r="F266" s="12">
        <v>2200</v>
      </c>
      <c r="G266" s="12">
        <v>0</v>
      </c>
      <c r="H266" s="12">
        <v>0</v>
      </c>
      <c r="I266" s="12">
        <v>0</v>
      </c>
      <c r="J266" s="12">
        <v>0</v>
      </c>
      <c r="K266" s="12">
        <v>0</v>
      </c>
      <c r="L266" s="12">
        <v>0</v>
      </c>
      <c r="M266" s="12">
        <v>0</v>
      </c>
      <c r="N266" s="12">
        <f t="shared" si="49"/>
        <v>0</v>
      </c>
      <c r="O266" s="12">
        <v>0</v>
      </c>
      <c r="P266" s="13">
        <v>0</v>
      </c>
      <c r="Q266" s="13">
        <v>0</v>
      </c>
      <c r="R266" s="14">
        <f t="shared" si="48"/>
        <v>0</v>
      </c>
      <c r="S266" s="13">
        <f t="shared" si="50"/>
        <v>100</v>
      </c>
      <c r="T266" s="13">
        <f t="shared" si="51"/>
        <v>200</v>
      </c>
      <c r="U266" s="13" t="s">
        <v>4181</v>
      </c>
      <c r="V266" s="51" t="s">
        <v>710</v>
      </c>
    </row>
    <row r="267" spans="1:23" ht="30" customHeight="1">
      <c r="A267" s="52">
        <v>26</v>
      </c>
      <c r="B267" s="19">
        <v>6695</v>
      </c>
      <c r="C267" s="21" t="s">
        <v>711</v>
      </c>
      <c r="D267" s="50" t="s">
        <v>228</v>
      </c>
      <c r="E267" s="53" t="s">
        <v>653</v>
      </c>
      <c r="F267" s="44">
        <v>2400</v>
      </c>
      <c r="G267" s="44">
        <v>0</v>
      </c>
      <c r="H267" s="44">
        <v>0</v>
      </c>
      <c r="I267" s="44">
        <v>0</v>
      </c>
      <c r="J267" s="44">
        <v>0</v>
      </c>
      <c r="K267" s="44">
        <v>0</v>
      </c>
      <c r="L267" s="44">
        <v>0</v>
      </c>
      <c r="M267" s="44">
        <v>0</v>
      </c>
      <c r="N267" s="12">
        <f t="shared" si="49"/>
        <v>0</v>
      </c>
      <c r="O267" s="44">
        <v>0</v>
      </c>
      <c r="P267" s="13">
        <v>0</v>
      </c>
      <c r="Q267" s="13">
        <v>0</v>
      </c>
      <c r="R267" s="14">
        <f t="shared" si="48"/>
        <v>0</v>
      </c>
      <c r="S267" s="13">
        <f t="shared" si="50"/>
        <v>100</v>
      </c>
      <c r="T267" s="13">
        <f t="shared" si="51"/>
        <v>200</v>
      </c>
      <c r="U267" s="13" t="s">
        <v>4181</v>
      </c>
      <c r="V267" s="51" t="s">
        <v>712</v>
      </c>
    </row>
    <row r="268" spans="1:23" ht="30" customHeight="1">
      <c r="A268" s="52">
        <v>27</v>
      </c>
      <c r="B268" s="19">
        <v>6859</v>
      </c>
      <c r="C268" s="21" t="s">
        <v>377</v>
      </c>
      <c r="D268" s="50" t="s">
        <v>4085</v>
      </c>
      <c r="E268" s="53" t="s">
        <v>653</v>
      </c>
      <c r="F268" s="44">
        <v>2500</v>
      </c>
      <c r="G268" s="44">
        <v>0</v>
      </c>
      <c r="H268" s="44">
        <v>0</v>
      </c>
      <c r="I268" s="44">
        <v>0</v>
      </c>
      <c r="J268" s="44">
        <v>0</v>
      </c>
      <c r="K268" s="44">
        <v>0</v>
      </c>
      <c r="L268" s="44">
        <v>0</v>
      </c>
      <c r="M268" s="44">
        <v>0</v>
      </c>
      <c r="N268" s="12">
        <f t="shared" si="49"/>
        <v>0</v>
      </c>
      <c r="O268" s="44">
        <v>0</v>
      </c>
      <c r="P268" s="13">
        <v>0</v>
      </c>
      <c r="Q268" s="13">
        <v>0</v>
      </c>
      <c r="R268" s="14">
        <f t="shared" si="48"/>
        <v>0</v>
      </c>
      <c r="S268" s="13">
        <f t="shared" si="50"/>
        <v>100</v>
      </c>
      <c r="T268" s="13">
        <f t="shared" si="51"/>
        <v>200</v>
      </c>
      <c r="U268" s="13" t="s">
        <v>4181</v>
      </c>
      <c r="V268" s="51" t="s">
        <v>4088</v>
      </c>
      <c r="W268" t="s">
        <v>4089</v>
      </c>
    </row>
    <row r="269" spans="1:23" ht="30" customHeight="1">
      <c r="A269" s="19">
        <v>1</v>
      </c>
      <c r="B269" s="19">
        <v>4939</v>
      </c>
      <c r="C269" s="20" t="s">
        <v>718</v>
      </c>
      <c r="D269" s="21" t="s">
        <v>719</v>
      </c>
      <c r="E269" s="58" t="s">
        <v>720</v>
      </c>
      <c r="F269" s="44">
        <v>2400</v>
      </c>
      <c r="G269" s="44">
        <v>0</v>
      </c>
      <c r="H269" s="44">
        <v>0</v>
      </c>
      <c r="I269" s="44">
        <v>0</v>
      </c>
      <c r="J269" s="44">
        <v>0</v>
      </c>
      <c r="K269" s="44">
        <v>0</v>
      </c>
      <c r="L269" s="44">
        <v>0</v>
      </c>
      <c r="M269" s="44">
        <v>0</v>
      </c>
      <c r="N269" s="12">
        <f t="shared" si="49"/>
        <v>0</v>
      </c>
      <c r="O269" s="44">
        <v>0</v>
      </c>
      <c r="P269" s="13">
        <v>0</v>
      </c>
      <c r="Q269" s="13">
        <v>0</v>
      </c>
      <c r="R269" s="14">
        <f t="shared" si="48"/>
        <v>0</v>
      </c>
      <c r="S269" s="13">
        <f t="shared" si="50"/>
        <v>100</v>
      </c>
      <c r="T269" s="13">
        <f t="shared" si="51"/>
        <v>200</v>
      </c>
      <c r="U269" s="13" t="s">
        <v>4181</v>
      </c>
      <c r="V269" s="23" t="s">
        <v>721</v>
      </c>
    </row>
    <row r="270" spans="1:23" ht="30" customHeight="1">
      <c r="A270" s="13">
        <v>2</v>
      </c>
      <c r="B270" s="13">
        <v>4972</v>
      </c>
      <c r="C270" s="31" t="s">
        <v>57</v>
      </c>
      <c r="D270" s="9" t="s">
        <v>213</v>
      </c>
      <c r="E270" s="58" t="s">
        <v>720</v>
      </c>
      <c r="F270" s="44">
        <v>2500</v>
      </c>
      <c r="G270" s="44">
        <v>0</v>
      </c>
      <c r="H270" s="44">
        <v>0</v>
      </c>
      <c r="I270" s="44">
        <v>0</v>
      </c>
      <c r="J270" s="44">
        <v>0</v>
      </c>
      <c r="K270" s="44">
        <v>2500</v>
      </c>
      <c r="L270" s="44">
        <v>2500</v>
      </c>
      <c r="M270" s="44">
        <v>2500</v>
      </c>
      <c r="N270" s="12">
        <f t="shared" si="49"/>
        <v>7500</v>
      </c>
      <c r="O270" s="44">
        <v>2500</v>
      </c>
      <c r="P270" s="13">
        <v>0</v>
      </c>
      <c r="Q270" s="13">
        <v>0</v>
      </c>
      <c r="R270" s="14">
        <f t="shared" si="48"/>
        <v>10000</v>
      </c>
      <c r="S270" s="13">
        <f t="shared" si="50"/>
        <v>10100</v>
      </c>
      <c r="T270" s="13">
        <f t="shared" si="51"/>
        <v>10200</v>
      </c>
      <c r="U270" s="13" t="s">
        <v>4181</v>
      </c>
      <c r="V270" s="23" t="s">
        <v>4069</v>
      </c>
    </row>
    <row r="271" spans="1:23" ht="30" customHeight="1">
      <c r="A271" s="19">
        <v>3</v>
      </c>
      <c r="B271" s="8">
        <v>6044</v>
      </c>
      <c r="C271" s="48" t="s">
        <v>724</v>
      </c>
      <c r="D271" s="59" t="s">
        <v>725</v>
      </c>
      <c r="E271" s="58" t="s">
        <v>720</v>
      </c>
      <c r="F271" s="44">
        <v>2100</v>
      </c>
      <c r="G271" s="44">
        <v>0</v>
      </c>
      <c r="H271" s="44">
        <v>0</v>
      </c>
      <c r="I271" s="44">
        <v>0</v>
      </c>
      <c r="J271" s="44">
        <v>0</v>
      </c>
      <c r="K271" s="44">
        <v>0</v>
      </c>
      <c r="L271" s="44">
        <v>0</v>
      </c>
      <c r="M271" s="44">
        <v>0</v>
      </c>
      <c r="N271" s="12">
        <f t="shared" si="49"/>
        <v>0</v>
      </c>
      <c r="O271" s="44">
        <v>0</v>
      </c>
      <c r="P271" s="60">
        <v>0</v>
      </c>
      <c r="Q271" s="13">
        <v>0</v>
      </c>
      <c r="R271" s="14">
        <f t="shared" si="48"/>
        <v>0</v>
      </c>
      <c r="S271" s="13">
        <f t="shared" si="50"/>
        <v>100</v>
      </c>
      <c r="T271" s="13">
        <f t="shared" si="51"/>
        <v>200</v>
      </c>
      <c r="U271" s="13" t="s">
        <v>4181</v>
      </c>
      <c r="V271" s="61" t="s">
        <v>726</v>
      </c>
    </row>
    <row r="272" spans="1:23" ht="30" customHeight="1">
      <c r="A272" s="13">
        <v>4</v>
      </c>
      <c r="B272" s="8">
        <v>6071</v>
      </c>
      <c r="C272" s="41" t="s">
        <v>727</v>
      </c>
      <c r="D272" s="10" t="s">
        <v>416</v>
      </c>
      <c r="E272" s="58" t="s">
        <v>720</v>
      </c>
      <c r="F272" s="44">
        <v>2500</v>
      </c>
      <c r="G272" s="44">
        <v>0</v>
      </c>
      <c r="H272" s="44">
        <v>0</v>
      </c>
      <c r="I272" s="44">
        <v>0</v>
      </c>
      <c r="J272" s="44">
        <v>0</v>
      </c>
      <c r="K272" s="44">
        <v>0</v>
      </c>
      <c r="L272" s="44">
        <v>0</v>
      </c>
      <c r="M272" s="44">
        <v>0</v>
      </c>
      <c r="N272" s="12">
        <f t="shared" si="49"/>
        <v>0</v>
      </c>
      <c r="O272" s="44">
        <v>0</v>
      </c>
      <c r="P272" s="8">
        <v>0</v>
      </c>
      <c r="Q272" s="13">
        <v>0</v>
      </c>
      <c r="R272" s="14">
        <f t="shared" si="48"/>
        <v>0</v>
      </c>
      <c r="S272" s="13">
        <f t="shared" si="50"/>
        <v>100</v>
      </c>
      <c r="T272" s="13">
        <f t="shared" si="51"/>
        <v>200</v>
      </c>
      <c r="U272" s="13" t="s">
        <v>4181</v>
      </c>
      <c r="V272" s="37" t="s">
        <v>417</v>
      </c>
    </row>
    <row r="273" spans="1:23" ht="30" customHeight="1">
      <c r="A273" s="19">
        <v>5</v>
      </c>
      <c r="B273" s="8">
        <v>6072</v>
      </c>
      <c r="C273" s="41" t="s">
        <v>728</v>
      </c>
      <c r="D273" s="10" t="s">
        <v>729</v>
      </c>
      <c r="E273" s="58" t="s">
        <v>720</v>
      </c>
      <c r="F273" s="44">
        <v>0</v>
      </c>
      <c r="G273" s="44">
        <v>0</v>
      </c>
      <c r="H273" s="44">
        <v>0</v>
      </c>
      <c r="I273" s="44">
        <v>0</v>
      </c>
      <c r="J273" s="44">
        <v>0</v>
      </c>
      <c r="K273" s="44">
        <v>0</v>
      </c>
      <c r="L273" s="44">
        <v>0</v>
      </c>
      <c r="M273" s="44">
        <v>0</v>
      </c>
      <c r="N273" s="12">
        <f t="shared" si="49"/>
        <v>0</v>
      </c>
      <c r="O273" s="44">
        <v>0</v>
      </c>
      <c r="P273" s="8">
        <v>0</v>
      </c>
      <c r="Q273" s="13">
        <v>0</v>
      </c>
      <c r="R273" s="14">
        <f t="shared" si="48"/>
        <v>0</v>
      </c>
      <c r="S273" s="13">
        <f t="shared" si="50"/>
        <v>100</v>
      </c>
      <c r="T273" s="13">
        <f t="shared" si="51"/>
        <v>200</v>
      </c>
      <c r="U273" s="13" t="s">
        <v>4181</v>
      </c>
      <c r="V273" s="37" t="s">
        <v>730</v>
      </c>
    </row>
    <row r="274" spans="1:23" ht="30" customHeight="1">
      <c r="A274" s="13">
        <v>6</v>
      </c>
      <c r="B274" s="8">
        <v>6114</v>
      </c>
      <c r="C274" s="41" t="s">
        <v>731</v>
      </c>
      <c r="D274" s="10" t="s">
        <v>732</v>
      </c>
      <c r="E274" s="58" t="s">
        <v>720</v>
      </c>
      <c r="F274" s="44">
        <v>2500</v>
      </c>
      <c r="G274" s="44">
        <v>0</v>
      </c>
      <c r="H274" s="44">
        <v>0</v>
      </c>
      <c r="I274" s="44">
        <v>0</v>
      </c>
      <c r="J274" s="44">
        <v>0</v>
      </c>
      <c r="K274" s="44">
        <v>0</v>
      </c>
      <c r="L274" s="44">
        <v>0</v>
      </c>
      <c r="M274" s="44">
        <v>0</v>
      </c>
      <c r="N274" s="12">
        <f t="shared" si="49"/>
        <v>0</v>
      </c>
      <c r="O274" s="44">
        <v>2500</v>
      </c>
      <c r="P274" s="8">
        <v>0</v>
      </c>
      <c r="Q274" s="13">
        <v>0</v>
      </c>
      <c r="R274" s="14">
        <f t="shared" si="48"/>
        <v>2500</v>
      </c>
      <c r="S274" s="13">
        <f t="shared" si="50"/>
        <v>2600</v>
      </c>
      <c r="T274" s="13">
        <f t="shared" si="51"/>
        <v>2700</v>
      </c>
      <c r="U274" s="13" t="s">
        <v>4181</v>
      </c>
      <c r="V274" s="37"/>
    </row>
    <row r="275" spans="1:23" ht="30" customHeight="1">
      <c r="A275" s="19">
        <v>7</v>
      </c>
      <c r="B275" s="8">
        <v>6122</v>
      </c>
      <c r="C275" s="41" t="s">
        <v>57</v>
      </c>
      <c r="D275" s="10" t="s">
        <v>528</v>
      </c>
      <c r="E275" s="58" t="s">
        <v>720</v>
      </c>
      <c r="F275" s="44">
        <v>2500</v>
      </c>
      <c r="G275" s="44">
        <v>0</v>
      </c>
      <c r="H275" s="44">
        <v>0</v>
      </c>
      <c r="I275" s="44">
        <v>0</v>
      </c>
      <c r="J275" s="44">
        <v>0</v>
      </c>
      <c r="K275" s="44">
        <v>0</v>
      </c>
      <c r="L275" s="44">
        <v>0</v>
      </c>
      <c r="M275" s="44">
        <v>0</v>
      </c>
      <c r="N275" s="12">
        <f t="shared" si="49"/>
        <v>0</v>
      </c>
      <c r="O275" s="44">
        <v>0</v>
      </c>
      <c r="P275" s="8">
        <v>0</v>
      </c>
      <c r="Q275" s="13">
        <v>0</v>
      </c>
      <c r="R275" s="14">
        <f t="shared" si="48"/>
        <v>0</v>
      </c>
      <c r="S275" s="13">
        <f t="shared" si="50"/>
        <v>100</v>
      </c>
      <c r="T275" s="13">
        <f t="shared" si="51"/>
        <v>200</v>
      </c>
      <c r="U275" s="13" t="s">
        <v>4181</v>
      </c>
      <c r="V275" s="37" t="s">
        <v>733</v>
      </c>
    </row>
    <row r="276" spans="1:23" ht="30" customHeight="1">
      <c r="A276" s="13">
        <v>8</v>
      </c>
      <c r="B276" s="8">
        <v>6188</v>
      </c>
      <c r="C276" s="41" t="s">
        <v>739</v>
      </c>
      <c r="D276" s="10" t="s">
        <v>740</v>
      </c>
      <c r="E276" s="58" t="s">
        <v>720</v>
      </c>
      <c r="F276" s="44">
        <v>2500</v>
      </c>
      <c r="G276" s="44">
        <v>0</v>
      </c>
      <c r="H276" s="44">
        <v>0</v>
      </c>
      <c r="I276" s="44">
        <v>0</v>
      </c>
      <c r="J276" s="44">
        <v>0</v>
      </c>
      <c r="K276" s="44">
        <v>0</v>
      </c>
      <c r="L276" s="44">
        <v>0</v>
      </c>
      <c r="M276" s="44">
        <v>0</v>
      </c>
      <c r="N276" s="12">
        <f t="shared" si="49"/>
        <v>0</v>
      </c>
      <c r="O276" s="44">
        <v>2500</v>
      </c>
      <c r="P276" s="13">
        <v>0</v>
      </c>
      <c r="Q276" s="13">
        <v>0</v>
      </c>
      <c r="R276" s="14">
        <f t="shared" si="48"/>
        <v>2500</v>
      </c>
      <c r="S276" s="13">
        <f t="shared" si="50"/>
        <v>2600</v>
      </c>
      <c r="T276" s="13">
        <f t="shared" si="51"/>
        <v>2700</v>
      </c>
      <c r="U276" s="13" t="s">
        <v>4181</v>
      </c>
      <c r="V276" s="37" t="s">
        <v>741</v>
      </c>
    </row>
    <row r="277" spans="1:23" ht="30" customHeight="1">
      <c r="A277" s="19">
        <v>9</v>
      </c>
      <c r="B277" s="8">
        <v>6202</v>
      </c>
      <c r="C277" s="41" t="s">
        <v>742</v>
      </c>
      <c r="D277" s="10" t="s">
        <v>743</v>
      </c>
      <c r="E277" s="58" t="s">
        <v>720</v>
      </c>
      <c r="F277" s="44">
        <v>2500</v>
      </c>
      <c r="G277" s="44">
        <v>0</v>
      </c>
      <c r="H277" s="44">
        <v>0</v>
      </c>
      <c r="I277" s="44">
        <v>0</v>
      </c>
      <c r="J277" s="44">
        <v>0</v>
      </c>
      <c r="K277" s="44">
        <v>0</v>
      </c>
      <c r="L277" s="44">
        <v>0</v>
      </c>
      <c r="M277" s="44">
        <v>0</v>
      </c>
      <c r="N277" s="12">
        <f t="shared" si="49"/>
        <v>0</v>
      </c>
      <c r="O277" s="44">
        <v>0</v>
      </c>
      <c r="P277" s="13">
        <v>0</v>
      </c>
      <c r="Q277" s="13">
        <v>0</v>
      </c>
      <c r="R277" s="14">
        <f t="shared" si="48"/>
        <v>0</v>
      </c>
      <c r="S277" s="13">
        <f t="shared" si="50"/>
        <v>100</v>
      </c>
      <c r="T277" s="13">
        <f t="shared" si="51"/>
        <v>200</v>
      </c>
      <c r="U277" s="13" t="s">
        <v>4181</v>
      </c>
      <c r="V277" s="37" t="s">
        <v>744</v>
      </c>
    </row>
    <row r="278" spans="1:23" ht="30" customHeight="1">
      <c r="A278" s="13">
        <v>10</v>
      </c>
      <c r="B278" s="8">
        <v>6228</v>
      </c>
      <c r="C278" s="41" t="s">
        <v>745</v>
      </c>
      <c r="D278" s="10" t="s">
        <v>746</v>
      </c>
      <c r="E278" s="58" t="s">
        <v>720</v>
      </c>
      <c r="F278" s="44">
        <v>2500</v>
      </c>
      <c r="G278" s="44">
        <v>0</v>
      </c>
      <c r="H278" s="44">
        <v>0</v>
      </c>
      <c r="I278" s="44">
        <v>0</v>
      </c>
      <c r="J278" s="44">
        <v>0</v>
      </c>
      <c r="K278" s="44">
        <v>0</v>
      </c>
      <c r="L278" s="44">
        <v>0</v>
      </c>
      <c r="M278" s="44">
        <v>0</v>
      </c>
      <c r="N278" s="12">
        <f t="shared" si="49"/>
        <v>0</v>
      </c>
      <c r="O278" s="44">
        <v>2500</v>
      </c>
      <c r="P278" s="13">
        <v>0</v>
      </c>
      <c r="Q278" s="13">
        <v>0</v>
      </c>
      <c r="R278" s="14">
        <f t="shared" si="48"/>
        <v>2500</v>
      </c>
      <c r="S278" s="13">
        <f t="shared" si="50"/>
        <v>2600</v>
      </c>
      <c r="T278" s="13">
        <f t="shared" si="51"/>
        <v>2700</v>
      </c>
      <c r="U278" s="13" t="s">
        <v>4181</v>
      </c>
      <c r="V278" s="37" t="s">
        <v>339</v>
      </c>
    </row>
    <row r="279" spans="1:23" ht="30" customHeight="1">
      <c r="A279" s="19">
        <v>11</v>
      </c>
      <c r="B279" s="13">
        <v>6258</v>
      </c>
      <c r="C279" s="9" t="s">
        <v>747</v>
      </c>
      <c r="D279" s="9" t="s">
        <v>748</v>
      </c>
      <c r="E279" s="58" t="s">
        <v>720</v>
      </c>
      <c r="F279" s="44">
        <v>2500</v>
      </c>
      <c r="G279" s="44">
        <v>0</v>
      </c>
      <c r="H279" s="44">
        <v>0</v>
      </c>
      <c r="I279" s="44">
        <v>0</v>
      </c>
      <c r="J279" s="44">
        <v>0</v>
      </c>
      <c r="K279" s="44">
        <v>0</v>
      </c>
      <c r="L279" s="44">
        <v>0</v>
      </c>
      <c r="M279" s="44">
        <v>0</v>
      </c>
      <c r="N279" s="12">
        <f t="shared" si="49"/>
        <v>0</v>
      </c>
      <c r="O279" s="44">
        <v>2500</v>
      </c>
      <c r="P279" s="13">
        <v>0</v>
      </c>
      <c r="Q279" s="13">
        <v>0</v>
      </c>
      <c r="R279" s="14">
        <f t="shared" si="48"/>
        <v>2500</v>
      </c>
      <c r="S279" s="13">
        <f t="shared" si="50"/>
        <v>2600</v>
      </c>
      <c r="T279" s="13">
        <f t="shared" si="51"/>
        <v>2700</v>
      </c>
      <c r="U279" s="13" t="s">
        <v>4181</v>
      </c>
      <c r="V279" s="15" t="s">
        <v>749</v>
      </c>
    </row>
    <row r="280" spans="1:23" ht="30" customHeight="1">
      <c r="A280" s="13">
        <v>12</v>
      </c>
      <c r="B280" s="13">
        <v>6269</v>
      </c>
      <c r="C280" s="9" t="s">
        <v>750</v>
      </c>
      <c r="D280" s="9" t="s">
        <v>751</v>
      </c>
      <c r="E280" s="58" t="s">
        <v>720</v>
      </c>
      <c r="F280" s="44">
        <v>2500</v>
      </c>
      <c r="G280" s="44">
        <v>0</v>
      </c>
      <c r="H280" s="44">
        <v>0</v>
      </c>
      <c r="I280" s="44">
        <v>0</v>
      </c>
      <c r="J280" s="44">
        <v>0</v>
      </c>
      <c r="K280" s="44">
        <v>0</v>
      </c>
      <c r="L280" s="44">
        <v>0</v>
      </c>
      <c r="M280" s="44">
        <v>0</v>
      </c>
      <c r="N280" s="12">
        <f t="shared" si="49"/>
        <v>0</v>
      </c>
      <c r="O280" s="44">
        <v>0</v>
      </c>
      <c r="P280" s="13">
        <v>0</v>
      </c>
      <c r="Q280" s="13">
        <v>0</v>
      </c>
      <c r="R280" s="14">
        <f t="shared" si="48"/>
        <v>0</v>
      </c>
      <c r="S280" s="13">
        <f t="shared" si="50"/>
        <v>100</v>
      </c>
      <c r="T280" s="13">
        <f t="shared" si="51"/>
        <v>200</v>
      </c>
      <c r="U280" s="13" t="s">
        <v>4181</v>
      </c>
      <c r="V280" s="15" t="s">
        <v>752</v>
      </c>
      <c r="W280" t="s">
        <v>4180</v>
      </c>
    </row>
    <row r="281" spans="1:23" ht="30" customHeight="1">
      <c r="A281" s="19">
        <v>13</v>
      </c>
      <c r="B281" s="13">
        <v>6323</v>
      </c>
      <c r="C281" s="9" t="s">
        <v>431</v>
      </c>
      <c r="D281" s="9" t="s">
        <v>753</v>
      </c>
      <c r="E281" s="58" t="s">
        <v>720</v>
      </c>
      <c r="F281" s="44">
        <v>2500</v>
      </c>
      <c r="G281" s="44">
        <v>0</v>
      </c>
      <c r="H281" s="44">
        <v>0</v>
      </c>
      <c r="I281" s="44">
        <v>0</v>
      </c>
      <c r="J281" s="44">
        <v>0</v>
      </c>
      <c r="K281" s="44">
        <v>0</v>
      </c>
      <c r="L281" s="44">
        <v>0</v>
      </c>
      <c r="M281" s="44">
        <v>0</v>
      </c>
      <c r="N281" s="12">
        <f t="shared" si="49"/>
        <v>0</v>
      </c>
      <c r="O281" s="44">
        <v>0</v>
      </c>
      <c r="P281" s="13">
        <v>0</v>
      </c>
      <c r="Q281" s="13">
        <v>0</v>
      </c>
      <c r="R281" s="14">
        <f t="shared" si="48"/>
        <v>0</v>
      </c>
      <c r="S281" s="13">
        <f t="shared" si="50"/>
        <v>100</v>
      </c>
      <c r="T281" s="13">
        <f t="shared" si="51"/>
        <v>200</v>
      </c>
      <c r="U281" s="13" t="s">
        <v>4181</v>
      </c>
      <c r="V281" s="15" t="s">
        <v>754</v>
      </c>
    </row>
    <row r="282" spans="1:23" s="17" customFormat="1" ht="30" customHeight="1">
      <c r="A282" s="13">
        <v>14</v>
      </c>
      <c r="B282" s="13">
        <v>6375</v>
      </c>
      <c r="C282" s="9" t="s">
        <v>755</v>
      </c>
      <c r="D282" s="9" t="s">
        <v>178</v>
      </c>
      <c r="E282" s="58" t="s">
        <v>720</v>
      </c>
      <c r="F282" s="44">
        <v>2500</v>
      </c>
      <c r="G282" s="44">
        <v>0</v>
      </c>
      <c r="H282" s="44">
        <v>0</v>
      </c>
      <c r="I282" s="44">
        <v>0</v>
      </c>
      <c r="J282" s="44">
        <v>0</v>
      </c>
      <c r="K282" s="44">
        <v>0</v>
      </c>
      <c r="L282" s="44">
        <v>0</v>
      </c>
      <c r="M282" s="44">
        <v>0</v>
      </c>
      <c r="N282" s="12">
        <f t="shared" si="49"/>
        <v>0</v>
      </c>
      <c r="O282" s="44">
        <v>2500</v>
      </c>
      <c r="P282" s="13">
        <v>0</v>
      </c>
      <c r="Q282" s="13">
        <v>0</v>
      </c>
      <c r="R282" s="14">
        <f t="shared" si="48"/>
        <v>2500</v>
      </c>
      <c r="S282" s="13">
        <f t="shared" si="50"/>
        <v>2600</v>
      </c>
      <c r="T282" s="13">
        <f t="shared" si="51"/>
        <v>2700</v>
      </c>
      <c r="U282" s="13" t="s">
        <v>4181</v>
      </c>
      <c r="V282" s="15" t="s">
        <v>756</v>
      </c>
      <c r="W282"/>
    </row>
    <row r="283" spans="1:23" ht="30" customHeight="1">
      <c r="A283" s="19">
        <v>15</v>
      </c>
      <c r="B283" s="8">
        <v>6415</v>
      </c>
      <c r="C283" s="10" t="s">
        <v>757</v>
      </c>
      <c r="D283" s="10" t="s">
        <v>190</v>
      </c>
      <c r="E283" s="58" t="s">
        <v>720</v>
      </c>
      <c r="F283" s="44">
        <v>1500</v>
      </c>
      <c r="G283" s="44">
        <v>0</v>
      </c>
      <c r="H283" s="44">
        <v>0</v>
      </c>
      <c r="I283" s="44">
        <v>0</v>
      </c>
      <c r="J283" s="44">
        <v>0</v>
      </c>
      <c r="K283" s="44">
        <v>0</v>
      </c>
      <c r="L283" s="44">
        <v>0</v>
      </c>
      <c r="M283" s="44">
        <v>0</v>
      </c>
      <c r="N283" s="12">
        <f t="shared" si="49"/>
        <v>0</v>
      </c>
      <c r="O283" s="44">
        <v>0</v>
      </c>
      <c r="P283" s="13">
        <v>0</v>
      </c>
      <c r="Q283" s="13">
        <v>0</v>
      </c>
      <c r="R283" s="14">
        <f t="shared" si="48"/>
        <v>0</v>
      </c>
      <c r="S283" s="13">
        <f t="shared" si="50"/>
        <v>100</v>
      </c>
      <c r="T283" s="13">
        <f t="shared" si="51"/>
        <v>200</v>
      </c>
      <c r="U283" s="13" t="s">
        <v>4181</v>
      </c>
      <c r="V283" s="56" t="s">
        <v>758</v>
      </c>
      <c r="W283" s="17"/>
    </row>
    <row r="284" spans="1:23" ht="30" customHeight="1">
      <c r="A284" s="13">
        <v>16</v>
      </c>
      <c r="B284" s="8">
        <v>6451</v>
      </c>
      <c r="C284" s="10" t="s">
        <v>759</v>
      </c>
      <c r="D284" s="10" t="s">
        <v>760</v>
      </c>
      <c r="E284" s="58" t="s">
        <v>720</v>
      </c>
      <c r="F284" s="44">
        <v>2500</v>
      </c>
      <c r="G284" s="44">
        <v>0</v>
      </c>
      <c r="H284" s="44">
        <v>0</v>
      </c>
      <c r="I284" s="44">
        <v>0</v>
      </c>
      <c r="J284" s="44">
        <v>0</v>
      </c>
      <c r="K284" s="44">
        <v>0</v>
      </c>
      <c r="L284" s="44">
        <v>0</v>
      </c>
      <c r="M284" s="44">
        <v>0</v>
      </c>
      <c r="N284" s="12">
        <f t="shared" si="49"/>
        <v>0</v>
      </c>
      <c r="O284" s="44">
        <v>2500</v>
      </c>
      <c r="P284" s="13">
        <v>0</v>
      </c>
      <c r="Q284" s="13">
        <v>500</v>
      </c>
      <c r="R284" s="14">
        <f t="shared" si="48"/>
        <v>3000</v>
      </c>
      <c r="S284" s="13">
        <f t="shared" si="50"/>
        <v>3100</v>
      </c>
      <c r="T284" s="13">
        <f t="shared" si="51"/>
        <v>3200</v>
      </c>
      <c r="U284" s="13" t="s">
        <v>4181</v>
      </c>
      <c r="V284" s="56" t="s">
        <v>761</v>
      </c>
    </row>
    <row r="285" spans="1:23" ht="30" customHeight="1">
      <c r="A285" s="19">
        <v>17</v>
      </c>
      <c r="B285" s="8">
        <v>6472</v>
      </c>
      <c r="C285" s="10" t="s">
        <v>762</v>
      </c>
      <c r="D285" s="10" t="s">
        <v>218</v>
      </c>
      <c r="E285" s="58" t="s">
        <v>720</v>
      </c>
      <c r="F285" s="44">
        <v>2500</v>
      </c>
      <c r="G285" s="44">
        <v>0</v>
      </c>
      <c r="H285" s="44">
        <v>0</v>
      </c>
      <c r="I285" s="44">
        <v>0</v>
      </c>
      <c r="J285" s="44">
        <v>0</v>
      </c>
      <c r="K285" s="44">
        <v>0</v>
      </c>
      <c r="L285" s="44">
        <v>0</v>
      </c>
      <c r="M285" s="44">
        <v>0</v>
      </c>
      <c r="N285" s="12">
        <f t="shared" si="49"/>
        <v>0</v>
      </c>
      <c r="O285" s="44">
        <v>0</v>
      </c>
      <c r="P285" s="8">
        <v>0</v>
      </c>
      <c r="Q285" s="13">
        <v>0</v>
      </c>
      <c r="R285" s="14">
        <f t="shared" si="48"/>
        <v>0</v>
      </c>
      <c r="S285" s="13">
        <f t="shared" si="50"/>
        <v>100</v>
      </c>
      <c r="T285" s="13">
        <f t="shared" si="51"/>
        <v>200</v>
      </c>
      <c r="U285" s="13" t="s">
        <v>4181</v>
      </c>
      <c r="V285" s="56" t="s">
        <v>763</v>
      </c>
      <c r="W285" t="s">
        <v>220</v>
      </c>
    </row>
    <row r="286" spans="1:23" ht="30" customHeight="1">
      <c r="A286" s="13">
        <v>18</v>
      </c>
      <c r="B286" s="13">
        <v>6510</v>
      </c>
      <c r="C286" s="9" t="s">
        <v>764</v>
      </c>
      <c r="D286" s="9" t="s">
        <v>765</v>
      </c>
      <c r="E286" s="58" t="s">
        <v>720</v>
      </c>
      <c r="F286" s="44">
        <v>2500</v>
      </c>
      <c r="G286" s="44">
        <v>0</v>
      </c>
      <c r="H286" s="44">
        <v>0</v>
      </c>
      <c r="I286" s="44">
        <v>0</v>
      </c>
      <c r="J286" s="44">
        <v>0</v>
      </c>
      <c r="K286" s="44">
        <v>0</v>
      </c>
      <c r="L286" s="44">
        <v>0</v>
      </c>
      <c r="M286" s="44">
        <v>0</v>
      </c>
      <c r="N286" s="12">
        <f t="shared" si="49"/>
        <v>0</v>
      </c>
      <c r="O286" s="44">
        <v>0</v>
      </c>
      <c r="P286" s="13">
        <v>0</v>
      </c>
      <c r="Q286" s="13">
        <v>0</v>
      </c>
      <c r="R286" s="14">
        <f t="shared" si="48"/>
        <v>0</v>
      </c>
      <c r="S286" s="13">
        <f t="shared" si="50"/>
        <v>100</v>
      </c>
      <c r="T286" s="13">
        <f t="shared" si="51"/>
        <v>200</v>
      </c>
      <c r="U286" s="13" t="s">
        <v>4181</v>
      </c>
      <c r="V286" s="15" t="s">
        <v>766</v>
      </c>
      <c r="W286" t="s">
        <v>257</v>
      </c>
    </row>
    <row r="287" spans="1:23" ht="30" customHeight="1">
      <c r="A287" s="19">
        <v>19</v>
      </c>
      <c r="B287" s="19">
        <v>6611</v>
      </c>
      <c r="C287" s="21" t="s">
        <v>767</v>
      </c>
      <c r="D287" s="50" t="s">
        <v>768</v>
      </c>
      <c r="E287" s="58" t="s">
        <v>720</v>
      </c>
      <c r="F287" s="44">
        <v>2500</v>
      </c>
      <c r="G287" s="44">
        <v>0</v>
      </c>
      <c r="H287" s="44">
        <v>0</v>
      </c>
      <c r="I287" s="44">
        <v>0</v>
      </c>
      <c r="J287" s="44">
        <v>0</v>
      </c>
      <c r="K287" s="44">
        <v>0</v>
      </c>
      <c r="L287" s="44">
        <v>0</v>
      </c>
      <c r="M287" s="44">
        <v>0</v>
      </c>
      <c r="N287" s="12">
        <f t="shared" si="49"/>
        <v>0</v>
      </c>
      <c r="O287" s="44">
        <v>0</v>
      </c>
      <c r="P287" s="13">
        <v>0</v>
      </c>
      <c r="Q287" s="13">
        <v>0</v>
      </c>
      <c r="R287" s="14">
        <f t="shared" si="48"/>
        <v>0</v>
      </c>
      <c r="S287" s="13">
        <f t="shared" si="50"/>
        <v>100</v>
      </c>
      <c r="T287" s="13">
        <f t="shared" si="51"/>
        <v>200</v>
      </c>
      <c r="U287" s="13" t="s">
        <v>4181</v>
      </c>
      <c r="V287" s="51" t="s">
        <v>769</v>
      </c>
    </row>
    <row r="288" spans="1:23" ht="30" customHeight="1">
      <c r="A288" s="13">
        <v>20</v>
      </c>
      <c r="B288" s="19">
        <v>6697</v>
      </c>
      <c r="C288" s="21" t="s">
        <v>770</v>
      </c>
      <c r="D288" s="50" t="s">
        <v>771</v>
      </c>
      <c r="E288" s="58" t="s">
        <v>720</v>
      </c>
      <c r="F288" s="44">
        <v>2500</v>
      </c>
      <c r="G288" s="44">
        <v>0</v>
      </c>
      <c r="H288" s="44">
        <v>0</v>
      </c>
      <c r="I288" s="44">
        <v>0</v>
      </c>
      <c r="J288" s="44">
        <v>0</v>
      </c>
      <c r="K288" s="44">
        <v>0</v>
      </c>
      <c r="L288" s="44">
        <v>0</v>
      </c>
      <c r="M288" s="44">
        <v>0</v>
      </c>
      <c r="N288" s="12">
        <f t="shared" si="49"/>
        <v>0</v>
      </c>
      <c r="O288" s="44">
        <v>0</v>
      </c>
      <c r="P288" s="13">
        <v>0</v>
      </c>
      <c r="Q288" s="13">
        <v>0</v>
      </c>
      <c r="R288" s="14">
        <f t="shared" si="48"/>
        <v>0</v>
      </c>
      <c r="S288" s="13">
        <f t="shared" si="50"/>
        <v>100</v>
      </c>
      <c r="T288" s="13">
        <f t="shared" si="51"/>
        <v>200</v>
      </c>
      <c r="U288" s="13" t="s">
        <v>4181</v>
      </c>
      <c r="V288" s="51" t="s">
        <v>772</v>
      </c>
    </row>
    <row r="289" spans="1:23" ht="30" customHeight="1">
      <c r="A289" s="19">
        <v>21</v>
      </c>
      <c r="B289" s="19">
        <v>6699</v>
      </c>
      <c r="C289" s="21" t="s">
        <v>775</v>
      </c>
      <c r="D289" s="50" t="s">
        <v>776</v>
      </c>
      <c r="E289" s="58" t="s">
        <v>720</v>
      </c>
      <c r="F289" s="44">
        <v>2500</v>
      </c>
      <c r="G289" s="44">
        <v>0</v>
      </c>
      <c r="H289" s="44">
        <v>0</v>
      </c>
      <c r="I289" s="44">
        <v>0</v>
      </c>
      <c r="J289" s="44">
        <v>0</v>
      </c>
      <c r="K289" s="44">
        <v>0</v>
      </c>
      <c r="L289" s="44">
        <v>0</v>
      </c>
      <c r="M289" s="44">
        <v>0</v>
      </c>
      <c r="N289" s="12">
        <f t="shared" si="49"/>
        <v>0</v>
      </c>
      <c r="O289" s="44">
        <v>1000</v>
      </c>
      <c r="P289" s="13">
        <v>0</v>
      </c>
      <c r="Q289" s="13">
        <v>0</v>
      </c>
      <c r="R289" s="14">
        <f t="shared" si="48"/>
        <v>1000</v>
      </c>
      <c r="S289" s="13">
        <f t="shared" si="50"/>
        <v>1100</v>
      </c>
      <c r="T289" s="13">
        <f t="shared" si="51"/>
        <v>1200</v>
      </c>
      <c r="U289" s="13" t="s">
        <v>4181</v>
      </c>
      <c r="V289" s="51" t="s">
        <v>777</v>
      </c>
    </row>
    <row r="290" spans="1:23" ht="30" customHeight="1">
      <c r="A290" s="13">
        <v>22</v>
      </c>
      <c r="B290" s="19">
        <v>6731</v>
      </c>
      <c r="C290" s="21" t="s">
        <v>778</v>
      </c>
      <c r="D290" s="50" t="s">
        <v>80</v>
      </c>
      <c r="E290" s="58" t="s">
        <v>720</v>
      </c>
      <c r="F290" s="44">
        <v>2500</v>
      </c>
      <c r="G290" s="44">
        <v>0</v>
      </c>
      <c r="H290" s="44">
        <v>0</v>
      </c>
      <c r="I290" s="44">
        <v>0</v>
      </c>
      <c r="J290" s="44">
        <v>0</v>
      </c>
      <c r="K290" s="44">
        <v>0</v>
      </c>
      <c r="L290" s="44">
        <v>0</v>
      </c>
      <c r="M290" s="44">
        <v>0</v>
      </c>
      <c r="N290" s="12">
        <f t="shared" si="49"/>
        <v>0</v>
      </c>
      <c r="O290" s="44">
        <v>0</v>
      </c>
      <c r="P290" s="13">
        <v>0</v>
      </c>
      <c r="Q290" s="13">
        <v>0</v>
      </c>
      <c r="R290" s="14">
        <f t="shared" si="48"/>
        <v>0</v>
      </c>
      <c r="S290" s="13">
        <f t="shared" si="50"/>
        <v>100</v>
      </c>
      <c r="T290" s="13">
        <f t="shared" si="51"/>
        <v>200</v>
      </c>
      <c r="U290" s="13" t="s">
        <v>4181</v>
      </c>
      <c r="V290" s="51" t="s">
        <v>333</v>
      </c>
      <c r="W290" t="s">
        <v>78</v>
      </c>
    </row>
    <row r="291" spans="1:23" ht="30" customHeight="1">
      <c r="A291" s="19">
        <v>23</v>
      </c>
      <c r="B291" s="19">
        <v>6732</v>
      </c>
      <c r="C291" s="21" t="s">
        <v>779</v>
      </c>
      <c r="D291" s="50" t="s">
        <v>780</v>
      </c>
      <c r="E291" s="58" t="s">
        <v>720</v>
      </c>
      <c r="F291" s="44">
        <v>2200</v>
      </c>
      <c r="G291" s="44">
        <v>0</v>
      </c>
      <c r="H291" s="44">
        <v>0</v>
      </c>
      <c r="I291" s="44">
        <v>0</v>
      </c>
      <c r="J291" s="44">
        <v>0</v>
      </c>
      <c r="K291" s="44">
        <v>0</v>
      </c>
      <c r="L291" s="44">
        <v>0</v>
      </c>
      <c r="M291" s="44">
        <v>0</v>
      </c>
      <c r="N291" s="12">
        <f t="shared" si="49"/>
        <v>0</v>
      </c>
      <c r="O291" s="44">
        <v>2200</v>
      </c>
      <c r="P291" s="13">
        <v>0</v>
      </c>
      <c r="Q291" s="13">
        <v>0</v>
      </c>
      <c r="R291" s="14">
        <f t="shared" si="48"/>
        <v>2200</v>
      </c>
      <c r="S291" s="13">
        <f t="shared" si="50"/>
        <v>2300</v>
      </c>
      <c r="T291" s="13">
        <f t="shared" si="51"/>
        <v>2400</v>
      </c>
      <c r="U291" s="13" t="s">
        <v>4181</v>
      </c>
      <c r="V291" s="51" t="s">
        <v>781</v>
      </c>
      <c r="W291" t="s">
        <v>78</v>
      </c>
    </row>
    <row r="292" spans="1:23" ht="30" customHeight="1">
      <c r="A292" s="13">
        <v>24</v>
      </c>
      <c r="B292" s="19">
        <v>6742</v>
      </c>
      <c r="C292" s="21" t="s">
        <v>782</v>
      </c>
      <c r="D292" s="50" t="s">
        <v>236</v>
      </c>
      <c r="E292" s="58" t="s">
        <v>720</v>
      </c>
      <c r="F292" s="44">
        <v>2500</v>
      </c>
      <c r="G292" s="44">
        <v>0</v>
      </c>
      <c r="H292" s="44">
        <v>0</v>
      </c>
      <c r="I292" s="44">
        <v>0</v>
      </c>
      <c r="J292" s="44">
        <v>0</v>
      </c>
      <c r="K292" s="44">
        <v>0</v>
      </c>
      <c r="L292" s="44">
        <v>0</v>
      </c>
      <c r="M292" s="44">
        <v>0</v>
      </c>
      <c r="N292" s="12">
        <f t="shared" si="49"/>
        <v>0</v>
      </c>
      <c r="O292" s="44">
        <v>0</v>
      </c>
      <c r="P292" s="13">
        <v>0</v>
      </c>
      <c r="Q292" s="13">
        <v>0</v>
      </c>
      <c r="R292" s="14">
        <f t="shared" si="48"/>
        <v>0</v>
      </c>
      <c r="S292" s="13">
        <f t="shared" si="50"/>
        <v>100</v>
      </c>
      <c r="T292" s="13">
        <f t="shared" si="51"/>
        <v>200</v>
      </c>
      <c r="U292" s="13" t="s">
        <v>4181</v>
      </c>
      <c r="V292" s="51" t="s">
        <v>783</v>
      </c>
      <c r="W292" t="s">
        <v>78</v>
      </c>
    </row>
    <row r="293" spans="1:23" ht="30" customHeight="1">
      <c r="A293" s="19">
        <v>25</v>
      </c>
      <c r="B293" s="19">
        <v>6767</v>
      </c>
      <c r="C293" s="21" t="s">
        <v>784</v>
      </c>
      <c r="D293" s="50" t="s">
        <v>92</v>
      </c>
      <c r="E293" s="58" t="s">
        <v>720</v>
      </c>
      <c r="F293" s="44">
        <v>2500</v>
      </c>
      <c r="G293" s="44">
        <v>0</v>
      </c>
      <c r="H293" s="44">
        <v>0</v>
      </c>
      <c r="I293" s="44">
        <v>0</v>
      </c>
      <c r="J293" s="44">
        <v>0</v>
      </c>
      <c r="K293" s="44">
        <v>0</v>
      </c>
      <c r="L293" s="44">
        <v>0</v>
      </c>
      <c r="M293" s="44">
        <v>0</v>
      </c>
      <c r="N293" s="12">
        <f t="shared" si="49"/>
        <v>0</v>
      </c>
      <c r="O293" s="44">
        <v>2500</v>
      </c>
      <c r="P293" s="13">
        <v>0</v>
      </c>
      <c r="Q293" s="13">
        <v>0</v>
      </c>
      <c r="R293" s="14">
        <f t="shared" si="48"/>
        <v>2500</v>
      </c>
      <c r="S293" s="13">
        <f t="shared" si="50"/>
        <v>2600</v>
      </c>
      <c r="T293" s="13">
        <f t="shared" si="51"/>
        <v>2700</v>
      </c>
      <c r="U293" s="13" t="s">
        <v>4181</v>
      </c>
      <c r="V293" s="51" t="s">
        <v>785</v>
      </c>
    </row>
    <row r="294" spans="1:23" ht="30" customHeight="1">
      <c r="A294" s="13">
        <v>26</v>
      </c>
      <c r="B294" s="19">
        <v>6791</v>
      </c>
      <c r="C294" s="21" t="s">
        <v>790</v>
      </c>
      <c r="D294" s="50" t="s">
        <v>100</v>
      </c>
      <c r="E294" s="58" t="s">
        <v>720</v>
      </c>
      <c r="F294" s="44">
        <v>2500</v>
      </c>
      <c r="G294" s="44">
        <v>0</v>
      </c>
      <c r="H294" s="44">
        <v>0</v>
      </c>
      <c r="I294" s="44">
        <v>0</v>
      </c>
      <c r="J294" s="44">
        <v>0</v>
      </c>
      <c r="K294" s="44">
        <v>0</v>
      </c>
      <c r="L294" s="44">
        <v>0</v>
      </c>
      <c r="M294" s="44">
        <v>0</v>
      </c>
      <c r="N294" s="12">
        <f t="shared" si="49"/>
        <v>0</v>
      </c>
      <c r="O294" s="44">
        <v>2500</v>
      </c>
      <c r="P294" s="13">
        <v>0</v>
      </c>
      <c r="Q294" s="13">
        <v>0</v>
      </c>
      <c r="R294" s="14">
        <f t="shared" si="48"/>
        <v>2500</v>
      </c>
      <c r="S294" s="13">
        <f t="shared" si="50"/>
        <v>2600</v>
      </c>
      <c r="T294" s="13">
        <f t="shared" si="51"/>
        <v>2700</v>
      </c>
      <c r="U294" s="13" t="s">
        <v>4181</v>
      </c>
      <c r="V294" s="51" t="s">
        <v>353</v>
      </c>
      <c r="W294" t="s">
        <v>789</v>
      </c>
    </row>
    <row r="295" spans="1:23" ht="30" customHeight="1">
      <c r="A295" s="62">
        <v>1</v>
      </c>
      <c r="B295" s="13">
        <v>4604</v>
      </c>
      <c r="C295" s="9" t="s">
        <v>791</v>
      </c>
      <c r="D295" s="9" t="s">
        <v>792</v>
      </c>
      <c r="E295" s="53" t="s">
        <v>793</v>
      </c>
      <c r="F295" s="13">
        <v>2500</v>
      </c>
      <c r="G295" s="13">
        <v>0</v>
      </c>
      <c r="H295" s="13">
        <v>0</v>
      </c>
      <c r="I295" s="13">
        <v>0</v>
      </c>
      <c r="J295" s="13">
        <v>0</v>
      </c>
      <c r="K295" s="13">
        <v>0</v>
      </c>
      <c r="L295" s="13">
        <v>0</v>
      </c>
      <c r="M295" s="13">
        <v>0</v>
      </c>
      <c r="N295" s="12">
        <f t="shared" si="49"/>
        <v>0</v>
      </c>
      <c r="O295" s="13">
        <v>0</v>
      </c>
      <c r="P295" s="13">
        <v>0</v>
      </c>
      <c r="Q295" s="13">
        <v>0</v>
      </c>
      <c r="R295" s="14">
        <f t="shared" si="48"/>
        <v>0</v>
      </c>
      <c r="S295" s="13">
        <f t="shared" ref="S295:S324" si="52">R295+100</f>
        <v>100</v>
      </c>
      <c r="T295" s="13">
        <f t="shared" ref="T295:T324" si="53">R295+200</f>
        <v>200</v>
      </c>
      <c r="U295" s="13" t="s">
        <v>4181</v>
      </c>
      <c r="V295" s="23" t="s">
        <v>794</v>
      </c>
    </row>
    <row r="296" spans="1:23" s="17" customFormat="1" ht="30" customHeight="1">
      <c r="A296" s="13">
        <v>2</v>
      </c>
      <c r="B296" s="13">
        <v>4613</v>
      </c>
      <c r="C296" s="9" t="s">
        <v>795</v>
      </c>
      <c r="D296" s="9" t="s">
        <v>796</v>
      </c>
      <c r="E296" s="53" t="s">
        <v>793</v>
      </c>
      <c r="F296" s="13">
        <v>2500</v>
      </c>
      <c r="G296" s="13">
        <v>0</v>
      </c>
      <c r="H296" s="13">
        <v>0</v>
      </c>
      <c r="I296" s="13">
        <v>0</v>
      </c>
      <c r="J296" s="13">
        <v>0</v>
      </c>
      <c r="K296" s="13">
        <v>0</v>
      </c>
      <c r="L296" s="13">
        <v>0</v>
      </c>
      <c r="M296" s="13">
        <v>0</v>
      </c>
      <c r="N296" s="12">
        <f t="shared" si="49"/>
        <v>0</v>
      </c>
      <c r="O296" s="13">
        <v>0</v>
      </c>
      <c r="P296" s="13">
        <v>0</v>
      </c>
      <c r="Q296" s="13">
        <v>0</v>
      </c>
      <c r="R296" s="14">
        <f t="shared" si="48"/>
        <v>0</v>
      </c>
      <c r="S296" s="13">
        <f t="shared" si="52"/>
        <v>100</v>
      </c>
      <c r="T296" s="13">
        <f t="shared" si="53"/>
        <v>200</v>
      </c>
      <c r="U296" s="13" t="s">
        <v>4181</v>
      </c>
      <c r="V296" s="23" t="s">
        <v>797</v>
      </c>
    </row>
    <row r="297" spans="1:23" ht="30" customHeight="1">
      <c r="A297" s="62">
        <v>3</v>
      </c>
      <c r="B297" s="13">
        <v>4617</v>
      </c>
      <c r="C297" s="9" t="s">
        <v>798</v>
      </c>
      <c r="D297" s="9" t="s">
        <v>687</v>
      </c>
      <c r="E297" s="53" t="s">
        <v>793</v>
      </c>
      <c r="F297" s="13">
        <v>2500</v>
      </c>
      <c r="G297" s="13">
        <v>0</v>
      </c>
      <c r="H297" s="13">
        <v>0</v>
      </c>
      <c r="I297" s="13">
        <v>0</v>
      </c>
      <c r="J297" s="13">
        <v>0</v>
      </c>
      <c r="K297" s="13">
        <v>0</v>
      </c>
      <c r="L297" s="13">
        <v>0</v>
      </c>
      <c r="M297" s="13">
        <v>0</v>
      </c>
      <c r="N297" s="12">
        <f t="shared" si="49"/>
        <v>0</v>
      </c>
      <c r="O297" s="13">
        <v>0</v>
      </c>
      <c r="P297" s="13">
        <v>0</v>
      </c>
      <c r="Q297" s="13">
        <v>0</v>
      </c>
      <c r="R297" s="14">
        <f t="shared" si="48"/>
        <v>0</v>
      </c>
      <c r="S297" s="13">
        <f t="shared" si="52"/>
        <v>100</v>
      </c>
      <c r="T297" s="13">
        <f t="shared" si="53"/>
        <v>200</v>
      </c>
      <c r="U297" s="13" t="s">
        <v>4181</v>
      </c>
      <c r="V297" s="23" t="s">
        <v>799</v>
      </c>
    </row>
    <row r="298" spans="1:23" ht="30" customHeight="1">
      <c r="A298" s="13">
        <v>4</v>
      </c>
      <c r="B298" s="13">
        <v>4697</v>
      </c>
      <c r="C298" s="9" t="s">
        <v>800</v>
      </c>
      <c r="D298" s="9" t="s">
        <v>801</v>
      </c>
      <c r="E298" s="53" t="s">
        <v>793</v>
      </c>
      <c r="F298" s="13">
        <v>1500</v>
      </c>
      <c r="G298" s="13">
        <v>0</v>
      </c>
      <c r="H298" s="13">
        <v>0</v>
      </c>
      <c r="I298" s="13">
        <v>0</v>
      </c>
      <c r="J298" s="13">
        <v>0</v>
      </c>
      <c r="K298" s="13">
        <v>0</v>
      </c>
      <c r="L298" s="13">
        <v>0</v>
      </c>
      <c r="M298" s="13">
        <v>0</v>
      </c>
      <c r="N298" s="12">
        <f t="shared" si="49"/>
        <v>0</v>
      </c>
      <c r="O298" s="13">
        <v>0</v>
      </c>
      <c r="P298" s="13">
        <v>0</v>
      </c>
      <c r="Q298" s="13">
        <v>1000</v>
      </c>
      <c r="R298" s="14">
        <f t="shared" si="48"/>
        <v>1000</v>
      </c>
      <c r="S298" s="13">
        <f t="shared" si="52"/>
        <v>1100</v>
      </c>
      <c r="T298" s="13">
        <f t="shared" si="53"/>
        <v>1200</v>
      </c>
      <c r="U298" s="13" t="s">
        <v>4181</v>
      </c>
      <c r="V298" s="23" t="s">
        <v>802</v>
      </c>
    </row>
    <row r="299" spans="1:23" ht="30" customHeight="1">
      <c r="A299" s="62">
        <v>5</v>
      </c>
      <c r="B299" s="13">
        <v>4707</v>
      </c>
      <c r="C299" s="9" t="s">
        <v>522</v>
      </c>
      <c r="D299" s="9" t="s">
        <v>803</v>
      </c>
      <c r="E299" s="53" t="s">
        <v>793</v>
      </c>
      <c r="F299" s="13">
        <v>1200</v>
      </c>
      <c r="G299" s="13">
        <v>0</v>
      </c>
      <c r="H299" s="13">
        <v>0</v>
      </c>
      <c r="I299" s="13">
        <v>0</v>
      </c>
      <c r="J299" s="13">
        <v>0</v>
      </c>
      <c r="K299" s="13">
        <v>0</v>
      </c>
      <c r="L299" s="13">
        <v>0</v>
      </c>
      <c r="M299" s="13">
        <v>0</v>
      </c>
      <c r="N299" s="12">
        <f t="shared" si="49"/>
        <v>0</v>
      </c>
      <c r="O299" s="13">
        <v>0</v>
      </c>
      <c r="P299" s="13">
        <v>0</v>
      </c>
      <c r="Q299" s="13">
        <v>0</v>
      </c>
      <c r="R299" s="14">
        <f t="shared" si="48"/>
        <v>0</v>
      </c>
      <c r="S299" s="13">
        <f t="shared" si="52"/>
        <v>100</v>
      </c>
      <c r="T299" s="13">
        <f t="shared" si="53"/>
        <v>200</v>
      </c>
      <c r="U299" s="13" t="s">
        <v>4181</v>
      </c>
      <c r="V299" s="24" t="s">
        <v>804</v>
      </c>
    </row>
    <row r="300" spans="1:23" ht="30" customHeight="1">
      <c r="A300" s="13">
        <v>6</v>
      </c>
      <c r="B300" s="13">
        <v>4717</v>
      </c>
      <c r="C300" s="9" t="s">
        <v>805</v>
      </c>
      <c r="D300" s="9" t="s">
        <v>806</v>
      </c>
      <c r="E300" s="53" t="s">
        <v>793</v>
      </c>
      <c r="F300" s="13">
        <v>2500</v>
      </c>
      <c r="G300" s="13">
        <v>0</v>
      </c>
      <c r="H300" s="13">
        <v>0</v>
      </c>
      <c r="I300" s="13">
        <v>0</v>
      </c>
      <c r="J300" s="13">
        <v>0</v>
      </c>
      <c r="K300" s="13">
        <v>0</v>
      </c>
      <c r="L300" s="13">
        <v>0</v>
      </c>
      <c r="M300" s="13">
        <v>0</v>
      </c>
      <c r="N300" s="12">
        <f t="shared" si="49"/>
        <v>0</v>
      </c>
      <c r="O300" s="13">
        <v>0</v>
      </c>
      <c r="P300" s="13">
        <v>0</v>
      </c>
      <c r="Q300" s="13">
        <v>0</v>
      </c>
      <c r="R300" s="14">
        <f t="shared" si="48"/>
        <v>0</v>
      </c>
      <c r="S300" s="13">
        <f t="shared" si="52"/>
        <v>100</v>
      </c>
      <c r="T300" s="13">
        <f t="shared" si="53"/>
        <v>200</v>
      </c>
      <c r="U300" s="13" t="s">
        <v>4181</v>
      </c>
      <c r="V300" s="24" t="s">
        <v>4071</v>
      </c>
    </row>
    <row r="301" spans="1:23" ht="30" customHeight="1">
      <c r="A301" s="62">
        <v>7</v>
      </c>
      <c r="B301" s="13">
        <v>4731</v>
      </c>
      <c r="C301" s="9" t="s">
        <v>807</v>
      </c>
      <c r="D301" s="9" t="s">
        <v>808</v>
      </c>
      <c r="E301" s="53" t="s">
        <v>793</v>
      </c>
      <c r="F301" s="13">
        <v>2500</v>
      </c>
      <c r="G301" s="13">
        <v>0</v>
      </c>
      <c r="H301" s="13">
        <v>0</v>
      </c>
      <c r="I301" s="13">
        <v>0</v>
      </c>
      <c r="J301" s="13">
        <v>0</v>
      </c>
      <c r="K301" s="13">
        <v>0</v>
      </c>
      <c r="L301" s="13">
        <v>0</v>
      </c>
      <c r="M301" s="13">
        <v>0</v>
      </c>
      <c r="N301" s="12">
        <f t="shared" si="49"/>
        <v>0</v>
      </c>
      <c r="O301" s="13">
        <v>0</v>
      </c>
      <c r="P301" s="13">
        <v>0</v>
      </c>
      <c r="Q301" s="13">
        <v>0</v>
      </c>
      <c r="R301" s="14">
        <f t="shared" si="48"/>
        <v>0</v>
      </c>
      <c r="S301" s="13">
        <f t="shared" si="52"/>
        <v>100</v>
      </c>
      <c r="T301" s="13">
        <f t="shared" si="53"/>
        <v>200</v>
      </c>
      <c r="U301" s="13" t="s">
        <v>4181</v>
      </c>
      <c r="V301" s="24" t="s">
        <v>809</v>
      </c>
      <c r="W301" t="s">
        <v>810</v>
      </c>
    </row>
    <row r="302" spans="1:23" ht="30" customHeight="1">
      <c r="A302" s="13">
        <v>8</v>
      </c>
      <c r="B302" s="13">
        <v>4732</v>
      </c>
      <c r="C302" s="9" t="s">
        <v>811</v>
      </c>
      <c r="D302" s="9" t="s">
        <v>621</v>
      </c>
      <c r="E302" s="53" t="s">
        <v>793</v>
      </c>
      <c r="F302" s="13">
        <v>2500</v>
      </c>
      <c r="G302" s="13">
        <v>0</v>
      </c>
      <c r="H302" s="13">
        <v>0</v>
      </c>
      <c r="I302" s="13">
        <v>0</v>
      </c>
      <c r="J302" s="13">
        <v>0</v>
      </c>
      <c r="K302" s="13">
        <v>0</v>
      </c>
      <c r="L302" s="13">
        <v>0</v>
      </c>
      <c r="M302" s="13">
        <v>0</v>
      </c>
      <c r="N302" s="12">
        <f t="shared" si="49"/>
        <v>0</v>
      </c>
      <c r="O302" s="13">
        <v>0</v>
      </c>
      <c r="P302" s="13">
        <v>0</v>
      </c>
      <c r="Q302" s="13">
        <v>0</v>
      </c>
      <c r="R302" s="14">
        <f t="shared" si="48"/>
        <v>0</v>
      </c>
      <c r="S302" s="13">
        <f t="shared" si="52"/>
        <v>100</v>
      </c>
      <c r="T302" s="13">
        <f t="shared" si="53"/>
        <v>200</v>
      </c>
      <c r="U302" s="13" t="s">
        <v>4181</v>
      </c>
      <c r="V302" s="23" t="s">
        <v>812</v>
      </c>
      <c r="W302" t="s">
        <v>813</v>
      </c>
    </row>
    <row r="303" spans="1:23" ht="30" customHeight="1">
      <c r="A303" s="62">
        <v>9</v>
      </c>
      <c r="B303" s="13">
        <v>4735</v>
      </c>
      <c r="C303" s="63" t="s">
        <v>814</v>
      </c>
      <c r="D303" s="63" t="s">
        <v>231</v>
      </c>
      <c r="E303" s="53" t="s">
        <v>793</v>
      </c>
      <c r="F303" s="60">
        <v>1400</v>
      </c>
      <c r="G303" s="60">
        <v>0</v>
      </c>
      <c r="H303" s="60">
        <v>0</v>
      </c>
      <c r="I303" s="60">
        <v>0</v>
      </c>
      <c r="J303" s="60">
        <v>0</v>
      </c>
      <c r="K303" s="60">
        <v>0</v>
      </c>
      <c r="L303" s="60">
        <v>0</v>
      </c>
      <c r="M303" s="60">
        <v>0</v>
      </c>
      <c r="N303" s="12">
        <f t="shared" si="49"/>
        <v>0</v>
      </c>
      <c r="O303" s="60">
        <v>0</v>
      </c>
      <c r="P303" s="13">
        <v>0</v>
      </c>
      <c r="Q303" s="13">
        <v>0</v>
      </c>
      <c r="R303" s="14">
        <f t="shared" si="48"/>
        <v>0</v>
      </c>
      <c r="S303" s="13">
        <f t="shared" si="52"/>
        <v>100</v>
      </c>
      <c r="T303" s="13">
        <f t="shared" si="53"/>
        <v>200</v>
      </c>
      <c r="U303" s="13" t="s">
        <v>4181</v>
      </c>
      <c r="V303" s="29" t="s">
        <v>232</v>
      </c>
    </row>
    <row r="304" spans="1:23" ht="30" customHeight="1">
      <c r="A304" s="13">
        <v>10</v>
      </c>
      <c r="B304" s="13">
        <v>4745</v>
      </c>
      <c r="C304" s="64" t="s">
        <v>815</v>
      </c>
      <c r="D304" s="9" t="s">
        <v>816</v>
      </c>
      <c r="E304" s="53" t="s">
        <v>793</v>
      </c>
      <c r="F304" s="13">
        <v>1550</v>
      </c>
      <c r="G304" s="13">
        <v>0</v>
      </c>
      <c r="H304" s="13">
        <v>0</v>
      </c>
      <c r="I304" s="13">
        <v>0</v>
      </c>
      <c r="J304" s="13">
        <v>0</v>
      </c>
      <c r="K304" s="13">
        <v>0</v>
      </c>
      <c r="L304" s="13">
        <v>0</v>
      </c>
      <c r="M304" s="13">
        <v>0</v>
      </c>
      <c r="N304" s="12">
        <f t="shared" si="49"/>
        <v>0</v>
      </c>
      <c r="O304" s="13">
        <v>0</v>
      </c>
      <c r="P304" s="13">
        <v>0</v>
      </c>
      <c r="Q304" s="13">
        <v>1000</v>
      </c>
      <c r="R304" s="14">
        <f t="shared" si="48"/>
        <v>1000</v>
      </c>
      <c r="S304" s="13">
        <f t="shared" si="52"/>
        <v>1100</v>
      </c>
      <c r="T304" s="13">
        <f t="shared" si="53"/>
        <v>1200</v>
      </c>
      <c r="U304" s="13" t="s">
        <v>4181</v>
      </c>
      <c r="V304" s="24" t="s">
        <v>817</v>
      </c>
    </row>
    <row r="305" spans="1:23" ht="30" customHeight="1">
      <c r="A305" s="62">
        <v>11</v>
      </c>
      <c r="B305" s="13">
        <v>4823</v>
      </c>
      <c r="C305" s="9" t="s">
        <v>818</v>
      </c>
      <c r="D305" s="9" t="s">
        <v>184</v>
      </c>
      <c r="E305" s="53" t="s">
        <v>793</v>
      </c>
      <c r="F305" s="13">
        <v>1800</v>
      </c>
      <c r="G305" s="13">
        <v>0</v>
      </c>
      <c r="H305" s="13">
        <v>0</v>
      </c>
      <c r="I305" s="13">
        <v>0</v>
      </c>
      <c r="J305" s="13">
        <v>0</v>
      </c>
      <c r="K305" s="13">
        <v>0</v>
      </c>
      <c r="L305" s="13">
        <v>0</v>
      </c>
      <c r="M305" s="13">
        <v>0</v>
      </c>
      <c r="N305" s="12">
        <f t="shared" si="49"/>
        <v>0</v>
      </c>
      <c r="O305" s="13">
        <v>0</v>
      </c>
      <c r="P305" s="13">
        <v>0</v>
      </c>
      <c r="Q305" s="13">
        <v>0</v>
      </c>
      <c r="R305" s="14">
        <f t="shared" si="48"/>
        <v>0</v>
      </c>
      <c r="S305" s="13">
        <f t="shared" si="52"/>
        <v>100</v>
      </c>
      <c r="T305" s="13">
        <f t="shared" si="53"/>
        <v>200</v>
      </c>
      <c r="U305" s="13" t="s">
        <v>4181</v>
      </c>
      <c r="V305" s="65" t="s">
        <v>819</v>
      </c>
    </row>
    <row r="306" spans="1:23" ht="30" customHeight="1">
      <c r="A306" s="13">
        <v>12</v>
      </c>
      <c r="B306" s="13">
        <v>4825</v>
      </c>
      <c r="C306" s="64" t="s">
        <v>820</v>
      </c>
      <c r="D306" s="9" t="s">
        <v>821</v>
      </c>
      <c r="E306" s="53" t="s">
        <v>793</v>
      </c>
      <c r="F306" s="13">
        <v>2200</v>
      </c>
      <c r="G306" s="13">
        <v>0</v>
      </c>
      <c r="H306" s="13">
        <v>0</v>
      </c>
      <c r="I306" s="13">
        <v>0</v>
      </c>
      <c r="J306" s="13">
        <v>0</v>
      </c>
      <c r="K306" s="13">
        <v>0</v>
      </c>
      <c r="L306" s="13">
        <v>0</v>
      </c>
      <c r="M306" s="13">
        <v>0</v>
      </c>
      <c r="N306" s="12">
        <f t="shared" si="49"/>
        <v>0</v>
      </c>
      <c r="O306" s="13">
        <v>2200</v>
      </c>
      <c r="P306" s="13">
        <v>0</v>
      </c>
      <c r="Q306" s="13">
        <v>0</v>
      </c>
      <c r="R306" s="14">
        <f t="shared" si="48"/>
        <v>2200</v>
      </c>
      <c r="S306" s="13">
        <f t="shared" si="52"/>
        <v>2300</v>
      </c>
      <c r="T306" s="13">
        <f t="shared" si="53"/>
        <v>2400</v>
      </c>
      <c r="U306" s="13" t="s">
        <v>4181</v>
      </c>
      <c r="V306" s="24" t="s">
        <v>822</v>
      </c>
    </row>
    <row r="307" spans="1:23" ht="30" customHeight="1">
      <c r="A307" s="62">
        <v>13</v>
      </c>
      <c r="B307" s="13">
        <v>4871</v>
      </c>
      <c r="C307" s="9" t="s">
        <v>823</v>
      </c>
      <c r="D307" s="9" t="s">
        <v>824</v>
      </c>
      <c r="E307" s="53" t="s">
        <v>793</v>
      </c>
      <c r="F307" s="13">
        <v>2200</v>
      </c>
      <c r="G307" s="13">
        <v>0</v>
      </c>
      <c r="H307" s="13">
        <v>0</v>
      </c>
      <c r="I307" s="13">
        <v>0</v>
      </c>
      <c r="J307" s="13">
        <v>0</v>
      </c>
      <c r="K307" s="13">
        <v>0</v>
      </c>
      <c r="L307" s="13">
        <v>0</v>
      </c>
      <c r="M307" s="13">
        <v>0</v>
      </c>
      <c r="N307" s="12">
        <f t="shared" si="49"/>
        <v>0</v>
      </c>
      <c r="O307" s="13">
        <v>0</v>
      </c>
      <c r="P307" s="13">
        <v>0</v>
      </c>
      <c r="Q307" s="13">
        <v>0</v>
      </c>
      <c r="R307" s="14">
        <f t="shared" si="48"/>
        <v>0</v>
      </c>
      <c r="S307" s="13">
        <f t="shared" si="52"/>
        <v>100</v>
      </c>
      <c r="T307" s="13">
        <f t="shared" si="53"/>
        <v>200</v>
      </c>
      <c r="U307" s="13" t="s">
        <v>4181</v>
      </c>
      <c r="V307" s="23" t="s">
        <v>825</v>
      </c>
    </row>
    <row r="308" spans="1:23" ht="30" customHeight="1">
      <c r="A308" s="13">
        <v>14</v>
      </c>
      <c r="B308" s="13">
        <v>4872</v>
      </c>
      <c r="C308" s="9" t="s">
        <v>826</v>
      </c>
      <c r="D308" s="9" t="s">
        <v>827</v>
      </c>
      <c r="E308" s="53" t="s">
        <v>793</v>
      </c>
      <c r="F308" s="13">
        <v>2500</v>
      </c>
      <c r="G308" s="13">
        <v>0</v>
      </c>
      <c r="H308" s="13">
        <v>0</v>
      </c>
      <c r="I308" s="13">
        <v>0</v>
      </c>
      <c r="J308" s="13">
        <v>0</v>
      </c>
      <c r="K308" s="13">
        <v>0</v>
      </c>
      <c r="L308" s="13">
        <v>0</v>
      </c>
      <c r="M308" s="13">
        <v>0</v>
      </c>
      <c r="N308" s="12">
        <f t="shared" si="49"/>
        <v>0</v>
      </c>
      <c r="O308" s="13">
        <v>0</v>
      </c>
      <c r="P308" s="13">
        <v>0</v>
      </c>
      <c r="Q308" s="13">
        <v>0</v>
      </c>
      <c r="R308" s="14">
        <f t="shared" si="48"/>
        <v>0</v>
      </c>
      <c r="S308" s="13">
        <f t="shared" si="52"/>
        <v>100</v>
      </c>
      <c r="T308" s="13">
        <f t="shared" si="53"/>
        <v>200</v>
      </c>
      <c r="U308" s="13" t="s">
        <v>4181</v>
      </c>
      <c r="V308" s="23" t="s">
        <v>828</v>
      </c>
    </row>
    <row r="309" spans="1:23" ht="30" customHeight="1">
      <c r="A309" s="62">
        <v>15</v>
      </c>
      <c r="B309" s="13">
        <v>4922</v>
      </c>
      <c r="C309" s="9" t="s">
        <v>829</v>
      </c>
      <c r="D309" s="9" t="s">
        <v>830</v>
      </c>
      <c r="E309" s="53" t="s">
        <v>793</v>
      </c>
      <c r="F309" s="13">
        <v>1200</v>
      </c>
      <c r="G309" s="13">
        <v>0</v>
      </c>
      <c r="H309" s="13">
        <v>0</v>
      </c>
      <c r="I309" s="13">
        <v>0</v>
      </c>
      <c r="J309" s="13">
        <v>0</v>
      </c>
      <c r="K309" s="13">
        <v>0</v>
      </c>
      <c r="L309" s="13">
        <v>0</v>
      </c>
      <c r="M309" s="13">
        <v>0</v>
      </c>
      <c r="N309" s="12">
        <f t="shared" si="49"/>
        <v>0</v>
      </c>
      <c r="O309" s="13">
        <v>0</v>
      </c>
      <c r="P309" s="13">
        <v>0</v>
      </c>
      <c r="Q309" s="13">
        <v>0</v>
      </c>
      <c r="R309" s="14">
        <f t="shared" si="48"/>
        <v>0</v>
      </c>
      <c r="S309" s="13">
        <f t="shared" si="52"/>
        <v>100</v>
      </c>
      <c r="T309" s="13">
        <f t="shared" si="53"/>
        <v>200</v>
      </c>
      <c r="U309" s="13" t="s">
        <v>4181</v>
      </c>
      <c r="V309" s="23" t="s">
        <v>831</v>
      </c>
    </row>
    <row r="310" spans="1:23" ht="30" customHeight="1">
      <c r="A310" s="13">
        <v>16</v>
      </c>
      <c r="B310" s="13">
        <v>4935</v>
      </c>
      <c r="C310" s="9" t="s">
        <v>640</v>
      </c>
      <c r="D310" s="9" t="s">
        <v>832</v>
      </c>
      <c r="E310" s="53" t="s">
        <v>793</v>
      </c>
      <c r="F310" s="13">
        <v>1000</v>
      </c>
      <c r="G310" s="13">
        <v>0</v>
      </c>
      <c r="H310" s="13">
        <v>0</v>
      </c>
      <c r="I310" s="13">
        <v>0</v>
      </c>
      <c r="J310" s="13">
        <v>0</v>
      </c>
      <c r="K310" s="13">
        <v>0</v>
      </c>
      <c r="L310" s="13">
        <v>0</v>
      </c>
      <c r="M310" s="13">
        <v>0</v>
      </c>
      <c r="N310" s="12">
        <f t="shared" si="49"/>
        <v>0</v>
      </c>
      <c r="O310" s="13">
        <v>0</v>
      </c>
      <c r="P310" s="13">
        <v>0</v>
      </c>
      <c r="Q310" s="13">
        <v>1000</v>
      </c>
      <c r="R310" s="14">
        <f t="shared" si="48"/>
        <v>1000</v>
      </c>
      <c r="S310" s="13">
        <f t="shared" si="52"/>
        <v>1100</v>
      </c>
      <c r="T310" s="13">
        <f t="shared" si="53"/>
        <v>1200</v>
      </c>
      <c r="U310" s="13" t="s">
        <v>4181</v>
      </c>
      <c r="V310" s="23"/>
    </row>
    <row r="311" spans="1:23" ht="30" customHeight="1">
      <c r="A311" s="62">
        <v>17</v>
      </c>
      <c r="B311" s="13">
        <v>4938</v>
      </c>
      <c r="C311" s="31" t="s">
        <v>700</v>
      </c>
      <c r="D311" s="9" t="s">
        <v>833</v>
      </c>
      <c r="E311" s="53" t="s">
        <v>793</v>
      </c>
      <c r="F311" s="32">
        <v>1350</v>
      </c>
      <c r="G311" s="32">
        <v>0</v>
      </c>
      <c r="H311" s="32">
        <v>0</v>
      </c>
      <c r="I311" s="32">
        <v>0</v>
      </c>
      <c r="J311" s="32">
        <v>0</v>
      </c>
      <c r="K311" s="32">
        <v>0</v>
      </c>
      <c r="L311" s="32">
        <v>0</v>
      </c>
      <c r="M311" s="32">
        <v>0</v>
      </c>
      <c r="N311" s="12">
        <f t="shared" si="49"/>
        <v>0</v>
      </c>
      <c r="O311" s="32">
        <v>1350</v>
      </c>
      <c r="P311" s="32">
        <v>0</v>
      </c>
      <c r="Q311" s="13">
        <v>0</v>
      </c>
      <c r="R311" s="14">
        <f t="shared" si="48"/>
        <v>1350</v>
      </c>
      <c r="S311" s="13">
        <f t="shared" si="52"/>
        <v>1450</v>
      </c>
      <c r="T311" s="13">
        <f t="shared" si="53"/>
        <v>1550</v>
      </c>
      <c r="U311" s="13" t="s">
        <v>4181</v>
      </c>
      <c r="V311" s="23" t="s">
        <v>834</v>
      </c>
    </row>
    <row r="312" spans="1:23" ht="30" customHeight="1">
      <c r="A312" s="13">
        <v>18</v>
      </c>
      <c r="B312" s="13">
        <v>4940</v>
      </c>
      <c r="C312" s="9" t="s">
        <v>835</v>
      </c>
      <c r="D312" s="9" t="s">
        <v>4083</v>
      </c>
      <c r="E312" s="53" t="s">
        <v>793</v>
      </c>
      <c r="F312" s="13">
        <v>2500</v>
      </c>
      <c r="G312" s="13">
        <v>0</v>
      </c>
      <c r="H312" s="13">
        <v>0</v>
      </c>
      <c r="I312" s="13">
        <v>0</v>
      </c>
      <c r="J312" s="13">
        <v>0</v>
      </c>
      <c r="K312" s="13">
        <v>0</v>
      </c>
      <c r="L312" s="13">
        <v>0</v>
      </c>
      <c r="M312" s="13">
        <v>0</v>
      </c>
      <c r="N312" s="12">
        <f t="shared" si="49"/>
        <v>0</v>
      </c>
      <c r="O312" s="13">
        <v>2500</v>
      </c>
      <c r="P312" s="13">
        <v>0</v>
      </c>
      <c r="Q312" s="13">
        <v>0</v>
      </c>
      <c r="R312" s="14">
        <f t="shared" si="48"/>
        <v>2500</v>
      </c>
      <c r="S312" s="13">
        <f t="shared" si="52"/>
        <v>2600</v>
      </c>
      <c r="T312" s="13">
        <f t="shared" si="53"/>
        <v>2700</v>
      </c>
      <c r="U312" s="13" t="s">
        <v>4181</v>
      </c>
      <c r="V312" s="15" t="s">
        <v>603</v>
      </c>
    </row>
    <row r="313" spans="1:23" ht="30" customHeight="1">
      <c r="A313" s="62">
        <v>19</v>
      </c>
      <c r="B313" s="13">
        <v>4967</v>
      </c>
      <c r="C313" s="31" t="s">
        <v>836</v>
      </c>
      <c r="D313" s="9" t="s">
        <v>659</v>
      </c>
      <c r="E313" s="53" t="s">
        <v>793</v>
      </c>
      <c r="F313" s="32">
        <v>2000</v>
      </c>
      <c r="G313" s="32">
        <v>0</v>
      </c>
      <c r="H313" s="32">
        <v>0</v>
      </c>
      <c r="I313" s="32">
        <v>0</v>
      </c>
      <c r="J313" s="32">
        <v>0</v>
      </c>
      <c r="K313" s="32">
        <v>0</v>
      </c>
      <c r="L313" s="32">
        <v>0</v>
      </c>
      <c r="M313" s="32">
        <v>0</v>
      </c>
      <c r="N313" s="12">
        <f t="shared" si="49"/>
        <v>0</v>
      </c>
      <c r="O313" s="32">
        <v>2000</v>
      </c>
      <c r="P313" s="13">
        <v>0</v>
      </c>
      <c r="Q313" s="13">
        <v>0</v>
      </c>
      <c r="R313" s="14">
        <f t="shared" si="48"/>
        <v>2000</v>
      </c>
      <c r="S313" s="13">
        <f t="shared" si="52"/>
        <v>2100</v>
      </c>
      <c r="T313" s="13">
        <f t="shared" si="53"/>
        <v>2200</v>
      </c>
      <c r="U313" s="13" t="s">
        <v>4181</v>
      </c>
      <c r="V313" s="23" t="s">
        <v>837</v>
      </c>
    </row>
    <row r="314" spans="1:23" ht="30" customHeight="1">
      <c r="A314" s="13">
        <v>20</v>
      </c>
      <c r="B314" s="13">
        <v>5074</v>
      </c>
      <c r="C314" s="9" t="s">
        <v>838</v>
      </c>
      <c r="D314" s="9" t="s">
        <v>839</v>
      </c>
      <c r="E314" s="53" t="s">
        <v>793</v>
      </c>
      <c r="F314" s="13">
        <v>1400</v>
      </c>
      <c r="G314" s="13">
        <v>0</v>
      </c>
      <c r="H314" s="13">
        <v>0</v>
      </c>
      <c r="I314" s="13">
        <v>0</v>
      </c>
      <c r="J314" s="13">
        <v>0</v>
      </c>
      <c r="K314" s="13">
        <v>0</v>
      </c>
      <c r="L314" s="13">
        <v>0</v>
      </c>
      <c r="M314" s="13">
        <v>0</v>
      </c>
      <c r="N314" s="12">
        <f t="shared" si="49"/>
        <v>0</v>
      </c>
      <c r="O314" s="13">
        <v>0</v>
      </c>
      <c r="P314" s="13">
        <v>0</v>
      </c>
      <c r="Q314" s="13">
        <v>0</v>
      </c>
      <c r="R314" s="14">
        <f t="shared" si="48"/>
        <v>0</v>
      </c>
      <c r="S314" s="13">
        <f t="shared" si="52"/>
        <v>100</v>
      </c>
      <c r="T314" s="13">
        <f t="shared" si="53"/>
        <v>200</v>
      </c>
      <c r="U314" s="13" t="s">
        <v>4181</v>
      </c>
      <c r="V314" s="23" t="s">
        <v>840</v>
      </c>
    </row>
    <row r="315" spans="1:23" ht="30" customHeight="1">
      <c r="A315" s="62">
        <v>21</v>
      </c>
      <c r="B315" s="13">
        <v>6076</v>
      </c>
      <c r="C315" s="9" t="s">
        <v>841</v>
      </c>
      <c r="D315" s="9" t="s">
        <v>192</v>
      </c>
      <c r="E315" s="53" t="s">
        <v>793</v>
      </c>
      <c r="F315" s="13">
        <v>2200</v>
      </c>
      <c r="G315" s="13">
        <v>0</v>
      </c>
      <c r="H315" s="13">
        <v>0</v>
      </c>
      <c r="I315" s="13">
        <v>0</v>
      </c>
      <c r="J315" s="13">
        <v>0</v>
      </c>
      <c r="K315" s="13">
        <v>0</v>
      </c>
      <c r="L315" s="13">
        <v>0</v>
      </c>
      <c r="M315" s="13">
        <v>0</v>
      </c>
      <c r="N315" s="12">
        <f t="shared" si="49"/>
        <v>0</v>
      </c>
      <c r="O315" s="13">
        <v>0</v>
      </c>
      <c r="P315" s="13">
        <v>0</v>
      </c>
      <c r="Q315" s="13">
        <v>0</v>
      </c>
      <c r="R315" s="14">
        <f t="shared" si="48"/>
        <v>0</v>
      </c>
      <c r="S315" s="13">
        <f t="shared" si="52"/>
        <v>100</v>
      </c>
      <c r="T315" s="13">
        <f t="shared" si="53"/>
        <v>200</v>
      </c>
      <c r="U315" s="13" t="s">
        <v>4181</v>
      </c>
      <c r="V315" s="23" t="s">
        <v>193</v>
      </c>
    </row>
    <row r="316" spans="1:23" ht="30" customHeight="1">
      <c r="A316" s="13">
        <v>22</v>
      </c>
      <c r="B316" s="19">
        <v>6090</v>
      </c>
      <c r="C316" s="21" t="s">
        <v>842</v>
      </c>
      <c r="D316" s="21" t="s">
        <v>843</v>
      </c>
      <c r="E316" s="53" t="s">
        <v>793</v>
      </c>
      <c r="F316" s="13">
        <v>2500</v>
      </c>
      <c r="G316" s="13">
        <v>0</v>
      </c>
      <c r="H316" s="13">
        <v>0</v>
      </c>
      <c r="I316" s="13">
        <v>0</v>
      </c>
      <c r="J316" s="13">
        <v>0</v>
      </c>
      <c r="K316" s="13">
        <v>0</v>
      </c>
      <c r="L316" s="13">
        <v>0</v>
      </c>
      <c r="M316" s="13">
        <v>0</v>
      </c>
      <c r="N316" s="12">
        <f t="shared" si="49"/>
        <v>0</v>
      </c>
      <c r="O316" s="13">
        <v>0</v>
      </c>
      <c r="P316" s="13">
        <v>0</v>
      </c>
      <c r="Q316" s="13">
        <v>0</v>
      </c>
      <c r="R316" s="14">
        <f t="shared" si="48"/>
        <v>0</v>
      </c>
      <c r="S316" s="13">
        <f t="shared" si="52"/>
        <v>100</v>
      </c>
      <c r="T316" s="13">
        <f t="shared" si="53"/>
        <v>200</v>
      </c>
      <c r="U316" s="13" t="s">
        <v>4181</v>
      </c>
      <c r="V316" s="45" t="s">
        <v>844</v>
      </c>
    </row>
    <row r="317" spans="1:23" ht="30" customHeight="1">
      <c r="A317" s="62">
        <v>23</v>
      </c>
      <c r="B317" s="19">
        <v>6091</v>
      </c>
      <c r="C317" s="21" t="s">
        <v>845</v>
      </c>
      <c r="D317" s="21" t="s">
        <v>846</v>
      </c>
      <c r="E317" s="53" t="s">
        <v>793</v>
      </c>
      <c r="F317" s="13">
        <v>2500</v>
      </c>
      <c r="G317" s="13">
        <v>0</v>
      </c>
      <c r="H317" s="13">
        <v>0</v>
      </c>
      <c r="I317" s="13">
        <v>0</v>
      </c>
      <c r="J317" s="13">
        <v>0</v>
      </c>
      <c r="K317" s="13">
        <v>0</v>
      </c>
      <c r="L317" s="13">
        <v>0</v>
      </c>
      <c r="M317" s="13">
        <v>0</v>
      </c>
      <c r="N317" s="12">
        <f t="shared" si="49"/>
        <v>0</v>
      </c>
      <c r="O317" s="13">
        <v>0</v>
      </c>
      <c r="P317" s="13">
        <v>0</v>
      </c>
      <c r="Q317" s="13">
        <v>0</v>
      </c>
      <c r="R317" s="14">
        <f t="shared" si="48"/>
        <v>0</v>
      </c>
      <c r="S317" s="13">
        <f t="shared" si="52"/>
        <v>100</v>
      </c>
      <c r="T317" s="13">
        <f t="shared" si="53"/>
        <v>200</v>
      </c>
      <c r="U317" s="13" t="s">
        <v>4181</v>
      </c>
      <c r="V317" s="45" t="s">
        <v>844</v>
      </c>
    </row>
    <row r="318" spans="1:23" ht="30" customHeight="1">
      <c r="A318" s="13">
        <v>24</v>
      </c>
      <c r="B318" s="19">
        <v>6099</v>
      </c>
      <c r="C318" s="21" t="s">
        <v>847</v>
      </c>
      <c r="D318" s="21" t="s">
        <v>83</v>
      </c>
      <c r="E318" s="53" t="s">
        <v>793</v>
      </c>
      <c r="F318" s="13">
        <v>2500</v>
      </c>
      <c r="G318" s="13">
        <v>0</v>
      </c>
      <c r="H318" s="13">
        <v>0</v>
      </c>
      <c r="I318" s="13">
        <v>0</v>
      </c>
      <c r="J318" s="13">
        <v>0</v>
      </c>
      <c r="K318" s="13">
        <v>0</v>
      </c>
      <c r="L318" s="13">
        <v>0</v>
      </c>
      <c r="M318" s="13">
        <v>0</v>
      </c>
      <c r="N318" s="12">
        <f t="shared" si="49"/>
        <v>0</v>
      </c>
      <c r="O318" s="13">
        <v>0</v>
      </c>
      <c r="P318" s="13">
        <v>0</v>
      </c>
      <c r="Q318" s="13">
        <v>0</v>
      </c>
      <c r="R318" s="14">
        <f t="shared" si="48"/>
        <v>0</v>
      </c>
      <c r="S318" s="13">
        <f t="shared" si="52"/>
        <v>100</v>
      </c>
      <c r="T318" s="13">
        <f t="shared" si="53"/>
        <v>200</v>
      </c>
      <c r="U318" s="13" t="s">
        <v>4181</v>
      </c>
      <c r="V318" s="46" t="s">
        <v>395</v>
      </c>
    </row>
    <row r="319" spans="1:23" ht="30" customHeight="1">
      <c r="A319" s="62">
        <v>25</v>
      </c>
      <c r="B319" s="13">
        <v>6139</v>
      </c>
      <c r="C319" s="9" t="s">
        <v>848</v>
      </c>
      <c r="D319" s="9" t="s">
        <v>849</v>
      </c>
      <c r="E319" s="53" t="s">
        <v>793</v>
      </c>
      <c r="F319" s="13">
        <v>2500</v>
      </c>
      <c r="G319" s="13">
        <v>0</v>
      </c>
      <c r="H319" s="13">
        <v>0</v>
      </c>
      <c r="I319" s="13">
        <v>0</v>
      </c>
      <c r="J319" s="13">
        <v>0</v>
      </c>
      <c r="K319" s="13">
        <v>0</v>
      </c>
      <c r="L319" s="13">
        <v>0</v>
      </c>
      <c r="M319" s="13">
        <v>0</v>
      </c>
      <c r="N319" s="12">
        <f t="shared" si="49"/>
        <v>0</v>
      </c>
      <c r="O319" s="13">
        <v>0</v>
      </c>
      <c r="P319" s="13">
        <v>0</v>
      </c>
      <c r="Q319" s="13">
        <v>0</v>
      </c>
      <c r="R319" s="14">
        <f t="shared" si="48"/>
        <v>0</v>
      </c>
      <c r="S319" s="13">
        <f t="shared" si="52"/>
        <v>100</v>
      </c>
      <c r="T319" s="13">
        <f t="shared" si="53"/>
        <v>200</v>
      </c>
      <c r="U319" s="13" t="s">
        <v>4181</v>
      </c>
      <c r="V319" s="24" t="s">
        <v>850</v>
      </c>
    </row>
    <row r="320" spans="1:23" ht="30" customHeight="1">
      <c r="A320" s="13">
        <v>26</v>
      </c>
      <c r="B320" s="13">
        <v>6270</v>
      </c>
      <c r="C320" s="9" t="s">
        <v>851</v>
      </c>
      <c r="D320" s="9" t="s">
        <v>271</v>
      </c>
      <c r="E320" s="53" t="s">
        <v>793</v>
      </c>
      <c r="F320" s="13">
        <v>2400</v>
      </c>
      <c r="G320" s="13">
        <v>0</v>
      </c>
      <c r="H320" s="13">
        <v>0</v>
      </c>
      <c r="I320" s="13">
        <v>0</v>
      </c>
      <c r="J320" s="13">
        <v>0</v>
      </c>
      <c r="K320" s="13">
        <v>0</v>
      </c>
      <c r="L320" s="13">
        <v>0</v>
      </c>
      <c r="M320" s="13">
        <v>0</v>
      </c>
      <c r="N320" s="12">
        <f t="shared" si="49"/>
        <v>0</v>
      </c>
      <c r="O320" s="13">
        <v>0</v>
      </c>
      <c r="P320" s="13">
        <v>0</v>
      </c>
      <c r="Q320" s="13">
        <v>0</v>
      </c>
      <c r="R320" s="14">
        <f t="shared" si="48"/>
        <v>0</v>
      </c>
      <c r="S320" s="13">
        <f t="shared" si="52"/>
        <v>100</v>
      </c>
      <c r="T320" s="13">
        <f t="shared" si="53"/>
        <v>200</v>
      </c>
      <c r="U320" s="13" t="s">
        <v>4181</v>
      </c>
      <c r="V320" s="15" t="s">
        <v>852</v>
      </c>
      <c r="W320" t="s">
        <v>853</v>
      </c>
    </row>
    <row r="321" spans="1:23" ht="30" customHeight="1">
      <c r="A321" s="62">
        <v>27</v>
      </c>
      <c r="B321" s="13">
        <v>6374</v>
      </c>
      <c r="C321" s="9" t="s">
        <v>854</v>
      </c>
      <c r="D321" s="57" t="s">
        <v>855</v>
      </c>
      <c r="E321" s="53" t="s">
        <v>793</v>
      </c>
      <c r="F321" s="12">
        <v>400</v>
      </c>
      <c r="G321" s="12">
        <v>0</v>
      </c>
      <c r="H321" s="12">
        <v>0</v>
      </c>
      <c r="I321" s="12">
        <v>0</v>
      </c>
      <c r="J321" s="12">
        <v>0</v>
      </c>
      <c r="K321" s="12">
        <v>0</v>
      </c>
      <c r="L321" s="12">
        <v>0</v>
      </c>
      <c r="M321" s="12">
        <v>0</v>
      </c>
      <c r="N321" s="12">
        <f t="shared" si="49"/>
        <v>0</v>
      </c>
      <c r="O321" s="12">
        <v>0</v>
      </c>
      <c r="P321" s="13">
        <v>0</v>
      </c>
      <c r="Q321" s="13">
        <v>0</v>
      </c>
      <c r="R321" s="14">
        <f t="shared" si="48"/>
        <v>0</v>
      </c>
      <c r="S321" s="13">
        <f t="shared" si="52"/>
        <v>100</v>
      </c>
      <c r="T321" s="13">
        <f t="shared" si="53"/>
        <v>200</v>
      </c>
      <c r="U321" s="13" t="s">
        <v>4181</v>
      </c>
      <c r="V321" s="51" t="s">
        <v>856</v>
      </c>
    </row>
    <row r="322" spans="1:23" ht="30" customHeight="1">
      <c r="A322" s="13">
        <v>28</v>
      </c>
      <c r="B322" s="13">
        <v>6376</v>
      </c>
      <c r="C322" s="9" t="s">
        <v>857</v>
      </c>
      <c r="D322" s="57" t="s">
        <v>858</v>
      </c>
      <c r="E322" s="53" t="s">
        <v>793</v>
      </c>
      <c r="F322" s="12">
        <v>2300</v>
      </c>
      <c r="G322" s="12">
        <v>0</v>
      </c>
      <c r="H322" s="12">
        <v>0</v>
      </c>
      <c r="I322" s="12">
        <v>0</v>
      </c>
      <c r="J322" s="12">
        <v>0</v>
      </c>
      <c r="K322" s="12">
        <v>0</v>
      </c>
      <c r="L322" s="12">
        <v>0</v>
      </c>
      <c r="M322" s="12">
        <v>0</v>
      </c>
      <c r="N322" s="12">
        <f t="shared" si="49"/>
        <v>0</v>
      </c>
      <c r="O322" s="12">
        <v>0</v>
      </c>
      <c r="P322" s="13">
        <v>0</v>
      </c>
      <c r="Q322" s="13">
        <v>0</v>
      </c>
      <c r="R322" s="14">
        <f t="shared" si="48"/>
        <v>0</v>
      </c>
      <c r="S322" s="13">
        <f t="shared" si="52"/>
        <v>100</v>
      </c>
      <c r="T322" s="13">
        <f t="shared" si="53"/>
        <v>200</v>
      </c>
      <c r="U322" s="13" t="s">
        <v>4181</v>
      </c>
      <c r="V322" s="51" t="s">
        <v>859</v>
      </c>
    </row>
    <row r="323" spans="1:23" ht="30" customHeight="1">
      <c r="A323" s="62">
        <v>29</v>
      </c>
      <c r="B323" s="13">
        <v>6610</v>
      </c>
      <c r="C323" s="9" t="s">
        <v>860</v>
      </c>
      <c r="D323" s="57" t="s">
        <v>768</v>
      </c>
      <c r="E323" s="53" t="s">
        <v>793</v>
      </c>
      <c r="F323" s="12">
        <v>2500</v>
      </c>
      <c r="G323" s="12">
        <v>0</v>
      </c>
      <c r="H323" s="12">
        <v>0</v>
      </c>
      <c r="I323" s="12">
        <v>0</v>
      </c>
      <c r="J323" s="12">
        <v>0</v>
      </c>
      <c r="K323" s="12">
        <v>0</v>
      </c>
      <c r="L323" s="12">
        <v>0</v>
      </c>
      <c r="M323" s="12">
        <v>0</v>
      </c>
      <c r="N323" s="12">
        <f t="shared" si="49"/>
        <v>0</v>
      </c>
      <c r="O323" s="12">
        <v>0</v>
      </c>
      <c r="P323" s="13">
        <v>0</v>
      </c>
      <c r="Q323" s="13">
        <v>0</v>
      </c>
      <c r="R323" s="14">
        <f t="shared" si="48"/>
        <v>0</v>
      </c>
      <c r="S323" s="13">
        <f t="shared" si="52"/>
        <v>100</v>
      </c>
      <c r="T323" s="13">
        <f t="shared" si="53"/>
        <v>200</v>
      </c>
      <c r="U323" s="13" t="s">
        <v>4181</v>
      </c>
      <c r="V323" s="51" t="s">
        <v>861</v>
      </c>
    </row>
    <row r="324" spans="1:23" ht="30" customHeight="1">
      <c r="A324" s="13">
        <v>30</v>
      </c>
      <c r="B324" s="13">
        <v>6636</v>
      </c>
      <c r="C324" s="9" t="s">
        <v>862</v>
      </c>
      <c r="D324" s="57" t="s">
        <v>863</v>
      </c>
      <c r="E324" s="53" t="s">
        <v>793</v>
      </c>
      <c r="F324" s="12">
        <v>2400</v>
      </c>
      <c r="G324" s="12">
        <v>0</v>
      </c>
      <c r="H324" s="12">
        <v>0</v>
      </c>
      <c r="I324" s="12">
        <v>0</v>
      </c>
      <c r="J324" s="12">
        <v>0</v>
      </c>
      <c r="K324" s="12">
        <v>0</v>
      </c>
      <c r="L324" s="12">
        <v>0</v>
      </c>
      <c r="M324" s="12">
        <v>0</v>
      </c>
      <c r="N324" s="12">
        <f t="shared" si="49"/>
        <v>0</v>
      </c>
      <c r="O324" s="12">
        <v>2400</v>
      </c>
      <c r="P324" s="13">
        <v>0</v>
      </c>
      <c r="Q324" s="13">
        <v>0</v>
      </c>
      <c r="R324" s="14">
        <f t="shared" si="48"/>
        <v>2400</v>
      </c>
      <c r="S324" s="13">
        <f t="shared" si="52"/>
        <v>2500</v>
      </c>
      <c r="T324" s="13">
        <f t="shared" si="53"/>
        <v>2600</v>
      </c>
      <c r="U324" s="13" t="s">
        <v>4181</v>
      </c>
      <c r="V324" s="51" t="s">
        <v>864</v>
      </c>
    </row>
    <row r="325" spans="1:23" ht="30" customHeight="1">
      <c r="A325" s="62">
        <v>31</v>
      </c>
      <c r="B325" s="13">
        <v>6657</v>
      </c>
      <c r="C325" s="9" t="s">
        <v>865</v>
      </c>
      <c r="D325" s="57" t="s">
        <v>866</v>
      </c>
      <c r="E325" s="53" t="s">
        <v>793</v>
      </c>
      <c r="F325" s="12">
        <v>1300</v>
      </c>
      <c r="G325" s="12">
        <v>0</v>
      </c>
      <c r="H325" s="12">
        <v>0</v>
      </c>
      <c r="I325" s="12">
        <v>0</v>
      </c>
      <c r="J325" s="12">
        <v>0</v>
      </c>
      <c r="K325" s="12">
        <v>0</v>
      </c>
      <c r="L325" s="12">
        <v>0</v>
      </c>
      <c r="M325" s="12">
        <v>0</v>
      </c>
      <c r="N325" s="12">
        <f t="shared" si="49"/>
        <v>0</v>
      </c>
      <c r="O325" s="12">
        <v>0</v>
      </c>
      <c r="P325" s="13">
        <v>0</v>
      </c>
      <c r="Q325" s="13">
        <v>0</v>
      </c>
      <c r="R325" s="14">
        <f t="shared" ref="R325:R388" si="54">(SUM(N325:Q325))</f>
        <v>0</v>
      </c>
      <c r="S325" s="13">
        <f t="shared" ref="S325:S389" si="55">R325+100</f>
        <v>100</v>
      </c>
      <c r="T325" s="13">
        <f t="shared" ref="T325:T389" si="56">R325+200</f>
        <v>200</v>
      </c>
      <c r="U325" s="13" t="s">
        <v>4181</v>
      </c>
      <c r="V325" s="51" t="s">
        <v>867</v>
      </c>
    </row>
    <row r="326" spans="1:23" ht="30" customHeight="1">
      <c r="A326" s="13">
        <v>32</v>
      </c>
      <c r="B326" s="19">
        <v>6733</v>
      </c>
      <c r="C326" s="21" t="s">
        <v>868</v>
      </c>
      <c r="D326" s="50" t="s">
        <v>80</v>
      </c>
      <c r="E326" s="53" t="s">
        <v>793</v>
      </c>
      <c r="F326" s="12">
        <v>2500</v>
      </c>
      <c r="G326" s="12">
        <v>0</v>
      </c>
      <c r="H326" s="12">
        <v>0</v>
      </c>
      <c r="I326" s="12">
        <v>0</v>
      </c>
      <c r="J326" s="12">
        <v>0</v>
      </c>
      <c r="K326" s="12">
        <v>0</v>
      </c>
      <c r="L326" s="12">
        <v>0</v>
      </c>
      <c r="M326" s="12">
        <v>0</v>
      </c>
      <c r="N326" s="12">
        <f t="shared" ref="N326:N389" si="57">(SUM(G326:M326))</f>
        <v>0</v>
      </c>
      <c r="O326" s="12">
        <v>0</v>
      </c>
      <c r="P326" s="13">
        <v>0</v>
      </c>
      <c r="Q326" s="13">
        <v>0</v>
      </c>
      <c r="R326" s="14">
        <f t="shared" si="54"/>
        <v>0</v>
      </c>
      <c r="S326" s="13">
        <f t="shared" si="55"/>
        <v>100</v>
      </c>
      <c r="T326" s="13">
        <f t="shared" si="56"/>
        <v>200</v>
      </c>
      <c r="U326" s="13" t="s">
        <v>4181</v>
      </c>
      <c r="V326" s="51" t="s">
        <v>333</v>
      </c>
    </row>
    <row r="327" spans="1:23" ht="30" customHeight="1">
      <c r="A327" s="62">
        <v>33</v>
      </c>
      <c r="B327" s="19">
        <v>6757</v>
      </c>
      <c r="C327" s="21" t="s">
        <v>869</v>
      </c>
      <c r="D327" s="50" t="s">
        <v>870</v>
      </c>
      <c r="E327" s="53" t="s">
        <v>793</v>
      </c>
      <c r="F327" s="12">
        <v>2500</v>
      </c>
      <c r="G327" s="12">
        <v>0</v>
      </c>
      <c r="H327" s="12">
        <v>0</v>
      </c>
      <c r="I327" s="12">
        <v>0</v>
      </c>
      <c r="J327" s="12">
        <v>0</v>
      </c>
      <c r="K327" s="12">
        <v>0</v>
      </c>
      <c r="L327" s="12">
        <v>0</v>
      </c>
      <c r="M327" s="12">
        <v>0</v>
      </c>
      <c r="N327" s="12">
        <f t="shared" si="57"/>
        <v>0</v>
      </c>
      <c r="O327" s="12">
        <v>0</v>
      </c>
      <c r="P327" s="13">
        <v>0</v>
      </c>
      <c r="Q327" s="13">
        <v>0</v>
      </c>
      <c r="R327" s="14">
        <f t="shared" si="54"/>
        <v>0</v>
      </c>
      <c r="S327" s="13">
        <f t="shared" si="55"/>
        <v>100</v>
      </c>
      <c r="T327" s="13">
        <f t="shared" si="56"/>
        <v>200</v>
      </c>
      <c r="U327" s="13" t="s">
        <v>4181</v>
      </c>
      <c r="V327" s="51" t="s">
        <v>871</v>
      </c>
      <c r="W327" t="s">
        <v>98</v>
      </c>
    </row>
    <row r="328" spans="1:23" ht="30" customHeight="1">
      <c r="A328" s="13">
        <v>34</v>
      </c>
      <c r="B328" s="19">
        <v>6758</v>
      </c>
      <c r="C328" s="21" t="s">
        <v>872</v>
      </c>
      <c r="D328" s="50" t="s">
        <v>870</v>
      </c>
      <c r="E328" s="53" t="s">
        <v>793</v>
      </c>
      <c r="F328" s="12">
        <v>2500</v>
      </c>
      <c r="G328" s="12">
        <v>0</v>
      </c>
      <c r="H328" s="12">
        <v>0</v>
      </c>
      <c r="I328" s="12">
        <v>0</v>
      </c>
      <c r="J328" s="12">
        <v>0</v>
      </c>
      <c r="K328" s="12">
        <v>0</v>
      </c>
      <c r="L328" s="12">
        <v>0</v>
      </c>
      <c r="M328" s="12">
        <v>0</v>
      </c>
      <c r="N328" s="12">
        <f t="shared" si="57"/>
        <v>0</v>
      </c>
      <c r="O328" s="12">
        <v>0</v>
      </c>
      <c r="P328" s="13">
        <v>0</v>
      </c>
      <c r="Q328" s="13">
        <v>0</v>
      </c>
      <c r="R328" s="14">
        <f t="shared" si="54"/>
        <v>0</v>
      </c>
      <c r="S328" s="13">
        <f t="shared" si="55"/>
        <v>100</v>
      </c>
      <c r="T328" s="13">
        <f t="shared" si="56"/>
        <v>200</v>
      </c>
      <c r="U328" s="13" t="s">
        <v>4181</v>
      </c>
      <c r="V328" s="51" t="s">
        <v>871</v>
      </c>
      <c r="W328" t="s">
        <v>98</v>
      </c>
    </row>
    <row r="329" spans="1:23" ht="30" customHeight="1">
      <c r="A329" s="62">
        <v>35</v>
      </c>
      <c r="B329" s="13">
        <v>6816</v>
      </c>
      <c r="C329" s="9" t="s">
        <v>959</v>
      </c>
      <c r="D329" s="57" t="s">
        <v>960</v>
      </c>
      <c r="E329" s="53" t="s">
        <v>793</v>
      </c>
      <c r="F329" s="12">
        <v>2500</v>
      </c>
      <c r="G329" s="12">
        <v>0</v>
      </c>
      <c r="H329" s="12">
        <v>0</v>
      </c>
      <c r="I329" s="12">
        <v>0</v>
      </c>
      <c r="J329" s="12">
        <v>0</v>
      </c>
      <c r="K329" s="12">
        <v>0</v>
      </c>
      <c r="L329" s="12">
        <v>0</v>
      </c>
      <c r="M329" s="12">
        <v>0</v>
      </c>
      <c r="N329" s="12">
        <f t="shared" si="57"/>
        <v>0</v>
      </c>
      <c r="O329" s="12">
        <v>0</v>
      </c>
      <c r="P329" s="13">
        <v>0</v>
      </c>
      <c r="Q329" s="13">
        <v>0</v>
      </c>
      <c r="R329" s="14">
        <f t="shared" si="54"/>
        <v>0</v>
      </c>
      <c r="S329" s="13">
        <f t="shared" si="55"/>
        <v>100</v>
      </c>
      <c r="T329" s="13">
        <f t="shared" si="56"/>
        <v>200</v>
      </c>
      <c r="U329" s="13" t="s">
        <v>4181</v>
      </c>
      <c r="V329" s="51" t="s">
        <v>961</v>
      </c>
    </row>
    <row r="330" spans="1:23" ht="30" customHeight="1">
      <c r="A330" s="13">
        <v>36</v>
      </c>
      <c r="B330" s="19">
        <v>6831</v>
      </c>
      <c r="C330" s="21" t="s">
        <v>876</v>
      </c>
      <c r="D330" s="50" t="s">
        <v>877</v>
      </c>
      <c r="E330" s="53" t="s">
        <v>793</v>
      </c>
      <c r="F330" s="12">
        <v>2300</v>
      </c>
      <c r="G330" s="12">
        <v>0</v>
      </c>
      <c r="H330" s="12">
        <v>0</v>
      </c>
      <c r="I330" s="12">
        <v>0</v>
      </c>
      <c r="J330" s="12">
        <v>0</v>
      </c>
      <c r="K330" s="12">
        <v>0</v>
      </c>
      <c r="L330" s="12">
        <v>0</v>
      </c>
      <c r="M330" s="12">
        <v>0</v>
      </c>
      <c r="N330" s="12">
        <f t="shared" si="57"/>
        <v>0</v>
      </c>
      <c r="O330" s="12">
        <v>0</v>
      </c>
      <c r="P330" s="13">
        <v>0</v>
      </c>
      <c r="Q330" s="13">
        <v>0</v>
      </c>
      <c r="R330" s="14">
        <f t="shared" si="54"/>
        <v>0</v>
      </c>
      <c r="S330" s="13">
        <f t="shared" si="55"/>
        <v>100</v>
      </c>
      <c r="T330" s="13">
        <f t="shared" si="56"/>
        <v>200</v>
      </c>
      <c r="U330" s="13" t="s">
        <v>4181</v>
      </c>
      <c r="V330" s="51" t="s">
        <v>874</v>
      </c>
      <c r="W330" t="s">
        <v>875</v>
      </c>
    </row>
    <row r="331" spans="1:23" ht="30" customHeight="1">
      <c r="A331" s="62">
        <v>37</v>
      </c>
      <c r="B331" s="13">
        <v>6856</v>
      </c>
      <c r="C331" s="9" t="s">
        <v>1404</v>
      </c>
      <c r="D331" s="57" t="s">
        <v>547</v>
      </c>
      <c r="E331" s="53" t="s">
        <v>793</v>
      </c>
      <c r="F331" s="12">
        <v>2500</v>
      </c>
      <c r="G331" s="12">
        <v>0</v>
      </c>
      <c r="H331" s="12">
        <v>0</v>
      </c>
      <c r="I331" s="12">
        <v>0</v>
      </c>
      <c r="J331" s="12">
        <v>0</v>
      </c>
      <c r="K331" s="12">
        <v>0</v>
      </c>
      <c r="L331" s="12">
        <v>0</v>
      </c>
      <c r="M331" s="12">
        <v>0</v>
      </c>
      <c r="N331" s="12">
        <f t="shared" si="57"/>
        <v>0</v>
      </c>
      <c r="O331" s="12">
        <v>0</v>
      </c>
      <c r="P331" s="13">
        <v>0</v>
      </c>
      <c r="Q331" s="13">
        <v>0</v>
      </c>
      <c r="R331" s="14">
        <f t="shared" si="54"/>
        <v>0</v>
      </c>
      <c r="S331" s="13">
        <f t="shared" si="55"/>
        <v>100</v>
      </c>
      <c r="T331" s="13">
        <f t="shared" si="56"/>
        <v>200</v>
      </c>
      <c r="U331" s="13" t="s">
        <v>4181</v>
      </c>
      <c r="V331" s="51" t="s">
        <v>4088</v>
      </c>
      <c r="W331" t="s">
        <v>4079</v>
      </c>
    </row>
    <row r="332" spans="1:23" ht="30" customHeight="1">
      <c r="A332" s="13">
        <v>38</v>
      </c>
      <c r="B332" s="13">
        <v>6854</v>
      </c>
      <c r="C332" s="9" t="s">
        <v>4094</v>
      </c>
      <c r="D332" s="57" t="s">
        <v>4091</v>
      </c>
      <c r="E332" s="66" t="s">
        <v>878</v>
      </c>
      <c r="F332" s="12">
        <v>2500</v>
      </c>
      <c r="G332" s="12">
        <v>0</v>
      </c>
      <c r="H332" s="12">
        <v>0</v>
      </c>
      <c r="I332" s="12">
        <v>0</v>
      </c>
      <c r="J332" s="12">
        <v>0</v>
      </c>
      <c r="K332" s="12">
        <v>0</v>
      </c>
      <c r="L332" s="12">
        <v>0</v>
      </c>
      <c r="M332" s="12">
        <v>0</v>
      </c>
      <c r="N332" s="12">
        <f t="shared" si="57"/>
        <v>0</v>
      </c>
      <c r="O332" s="12">
        <v>0</v>
      </c>
      <c r="P332" s="13">
        <v>0</v>
      </c>
      <c r="Q332" s="13">
        <v>0</v>
      </c>
      <c r="R332" s="14">
        <f t="shared" si="54"/>
        <v>0</v>
      </c>
      <c r="S332" s="13">
        <f>R332+100</f>
        <v>100</v>
      </c>
      <c r="T332" s="13">
        <f>R332+200</f>
        <v>200</v>
      </c>
      <c r="U332" s="13" t="s">
        <v>4181</v>
      </c>
      <c r="V332" s="51" t="s">
        <v>4088</v>
      </c>
      <c r="W332" t="s">
        <v>4079</v>
      </c>
    </row>
    <row r="333" spans="1:23" ht="30" customHeight="1">
      <c r="A333" s="62">
        <v>39</v>
      </c>
      <c r="B333" s="13">
        <v>6875</v>
      </c>
      <c r="C333" s="9" t="s">
        <v>4155</v>
      </c>
      <c r="D333" s="57" t="s">
        <v>4156</v>
      </c>
      <c r="E333" s="289" t="s">
        <v>4159</v>
      </c>
      <c r="F333" s="12">
        <v>2500</v>
      </c>
      <c r="G333" s="12">
        <v>0</v>
      </c>
      <c r="H333" s="12">
        <v>0</v>
      </c>
      <c r="I333" s="12">
        <v>0</v>
      </c>
      <c r="J333" s="12">
        <v>0</v>
      </c>
      <c r="K333" s="12">
        <v>0</v>
      </c>
      <c r="L333" s="12">
        <v>0</v>
      </c>
      <c r="M333" s="12">
        <v>0</v>
      </c>
      <c r="N333" s="12">
        <f t="shared" si="57"/>
        <v>0</v>
      </c>
      <c r="O333" s="12">
        <v>0</v>
      </c>
      <c r="P333" s="13">
        <v>0</v>
      </c>
      <c r="Q333" s="13">
        <v>0</v>
      </c>
      <c r="R333" s="14">
        <f t="shared" si="54"/>
        <v>0</v>
      </c>
      <c r="S333" s="13">
        <f t="shared" ref="S333" si="58">R333+100</f>
        <v>100</v>
      </c>
      <c r="T333" s="13">
        <f t="shared" ref="T333" si="59">R333+200</f>
        <v>200</v>
      </c>
      <c r="U333" s="13" t="s">
        <v>4181</v>
      </c>
      <c r="V333" s="51" t="s">
        <v>4154</v>
      </c>
      <c r="W333" t="s">
        <v>4151</v>
      </c>
    </row>
    <row r="334" spans="1:23" ht="30" customHeight="1">
      <c r="A334" s="13">
        <v>1</v>
      </c>
      <c r="B334" s="13">
        <v>4691</v>
      </c>
      <c r="C334" s="9" t="s">
        <v>121</v>
      </c>
      <c r="D334" s="9" t="s">
        <v>369</v>
      </c>
      <c r="E334" s="66" t="s">
        <v>878</v>
      </c>
      <c r="F334" s="13">
        <v>2500</v>
      </c>
      <c r="G334" s="13">
        <v>0</v>
      </c>
      <c r="H334" s="13">
        <v>0</v>
      </c>
      <c r="I334" s="13">
        <v>0</v>
      </c>
      <c r="J334" s="13">
        <v>0</v>
      </c>
      <c r="K334" s="13">
        <v>0</v>
      </c>
      <c r="L334" s="13">
        <v>0</v>
      </c>
      <c r="M334" s="13">
        <v>0</v>
      </c>
      <c r="N334" s="12">
        <f t="shared" si="57"/>
        <v>0</v>
      </c>
      <c r="O334" s="13">
        <v>0</v>
      </c>
      <c r="P334" s="13">
        <v>0</v>
      </c>
      <c r="Q334" s="13">
        <v>500</v>
      </c>
      <c r="R334" s="14">
        <f t="shared" si="54"/>
        <v>500</v>
      </c>
      <c r="S334" s="13">
        <f t="shared" si="55"/>
        <v>600</v>
      </c>
      <c r="T334" s="13">
        <f t="shared" si="56"/>
        <v>700</v>
      </c>
      <c r="U334" s="13" t="s">
        <v>4181</v>
      </c>
      <c r="V334" s="67" t="s">
        <v>370</v>
      </c>
    </row>
    <row r="335" spans="1:23" ht="30" customHeight="1">
      <c r="A335" s="60">
        <v>2</v>
      </c>
      <c r="B335" s="13">
        <v>4734</v>
      </c>
      <c r="C335" s="63" t="s">
        <v>879</v>
      </c>
      <c r="D335" s="63" t="s">
        <v>531</v>
      </c>
      <c r="E335" s="66" t="s">
        <v>878</v>
      </c>
      <c r="F335" s="60">
        <v>1500</v>
      </c>
      <c r="G335" s="60">
        <v>0</v>
      </c>
      <c r="H335" s="60">
        <v>0</v>
      </c>
      <c r="I335" s="60">
        <v>0</v>
      </c>
      <c r="J335" s="60">
        <v>0</v>
      </c>
      <c r="K335" s="60">
        <v>0</v>
      </c>
      <c r="L335" s="60">
        <v>0</v>
      </c>
      <c r="M335" s="60">
        <v>0</v>
      </c>
      <c r="N335" s="12">
        <f t="shared" si="57"/>
        <v>0</v>
      </c>
      <c r="O335" s="60">
        <v>0</v>
      </c>
      <c r="P335" s="60">
        <v>0</v>
      </c>
      <c r="Q335" s="13">
        <v>0</v>
      </c>
      <c r="R335" s="14">
        <f t="shared" si="54"/>
        <v>0</v>
      </c>
      <c r="S335" s="13">
        <f t="shared" si="55"/>
        <v>100</v>
      </c>
      <c r="T335" s="13">
        <f t="shared" si="56"/>
        <v>200</v>
      </c>
      <c r="U335" s="13" t="s">
        <v>4181</v>
      </c>
      <c r="V335" s="29" t="s">
        <v>880</v>
      </c>
    </row>
    <row r="336" spans="1:23" ht="30" customHeight="1">
      <c r="A336" s="13">
        <v>3</v>
      </c>
      <c r="B336" s="13">
        <v>4751</v>
      </c>
      <c r="C336" s="64" t="s">
        <v>881</v>
      </c>
      <c r="D336" s="9" t="s">
        <v>882</v>
      </c>
      <c r="E336" s="66" t="s">
        <v>878</v>
      </c>
      <c r="F336" s="13">
        <v>2500</v>
      </c>
      <c r="G336" s="13">
        <v>0</v>
      </c>
      <c r="H336" s="13">
        <v>0</v>
      </c>
      <c r="I336" s="13">
        <v>0</v>
      </c>
      <c r="J336" s="13">
        <v>0</v>
      </c>
      <c r="K336" s="13">
        <v>0</v>
      </c>
      <c r="L336" s="13">
        <v>0</v>
      </c>
      <c r="M336" s="13">
        <v>0</v>
      </c>
      <c r="N336" s="12">
        <f t="shared" si="57"/>
        <v>0</v>
      </c>
      <c r="O336" s="13">
        <v>0</v>
      </c>
      <c r="P336" s="13">
        <v>0</v>
      </c>
      <c r="Q336" s="13">
        <v>0</v>
      </c>
      <c r="R336" s="14">
        <f t="shared" si="54"/>
        <v>0</v>
      </c>
      <c r="S336" s="13">
        <f t="shared" si="55"/>
        <v>100</v>
      </c>
      <c r="T336" s="13">
        <f t="shared" si="56"/>
        <v>200</v>
      </c>
      <c r="U336" s="13" t="s">
        <v>4181</v>
      </c>
      <c r="V336" s="24" t="s">
        <v>883</v>
      </c>
    </row>
    <row r="337" spans="1:22" ht="30" customHeight="1">
      <c r="A337" s="60">
        <v>4</v>
      </c>
      <c r="B337" s="13">
        <v>4752</v>
      </c>
      <c r="C337" s="64" t="s">
        <v>884</v>
      </c>
      <c r="D337" s="9" t="s">
        <v>126</v>
      </c>
      <c r="E337" s="66" t="s">
        <v>878</v>
      </c>
      <c r="F337" s="13">
        <v>2500</v>
      </c>
      <c r="G337" s="13">
        <v>0</v>
      </c>
      <c r="H337" s="13">
        <v>0</v>
      </c>
      <c r="I337" s="13">
        <v>0</v>
      </c>
      <c r="J337" s="13">
        <v>0</v>
      </c>
      <c r="K337" s="13">
        <v>0</v>
      </c>
      <c r="L337" s="13">
        <v>0</v>
      </c>
      <c r="M337" s="13">
        <v>0</v>
      </c>
      <c r="N337" s="12">
        <f t="shared" si="57"/>
        <v>0</v>
      </c>
      <c r="O337" s="13">
        <v>0</v>
      </c>
      <c r="P337" s="13">
        <v>0</v>
      </c>
      <c r="Q337" s="13">
        <v>0</v>
      </c>
      <c r="R337" s="14">
        <f t="shared" si="54"/>
        <v>0</v>
      </c>
      <c r="S337" s="13">
        <f t="shared" si="55"/>
        <v>100</v>
      </c>
      <c r="T337" s="13">
        <f t="shared" si="56"/>
        <v>200</v>
      </c>
      <c r="U337" s="13" t="s">
        <v>4181</v>
      </c>
      <c r="V337" s="24" t="s">
        <v>885</v>
      </c>
    </row>
    <row r="338" spans="1:22" ht="30" customHeight="1">
      <c r="A338" s="13">
        <v>5</v>
      </c>
      <c r="B338" s="13">
        <v>4775</v>
      </c>
      <c r="C338" s="64" t="s">
        <v>886</v>
      </c>
      <c r="D338" s="9" t="s">
        <v>887</v>
      </c>
      <c r="E338" s="66" t="s">
        <v>878</v>
      </c>
      <c r="F338" s="13">
        <v>2500</v>
      </c>
      <c r="G338" s="13">
        <v>0</v>
      </c>
      <c r="H338" s="13">
        <v>0</v>
      </c>
      <c r="I338" s="13">
        <v>0</v>
      </c>
      <c r="J338" s="13">
        <v>0</v>
      </c>
      <c r="K338" s="13">
        <v>0</v>
      </c>
      <c r="L338" s="13">
        <v>0</v>
      </c>
      <c r="M338" s="13">
        <v>0</v>
      </c>
      <c r="N338" s="12">
        <f t="shared" si="57"/>
        <v>0</v>
      </c>
      <c r="O338" s="13">
        <v>0</v>
      </c>
      <c r="P338" s="13">
        <v>0</v>
      </c>
      <c r="Q338" s="13">
        <v>0</v>
      </c>
      <c r="R338" s="14">
        <f t="shared" si="54"/>
        <v>0</v>
      </c>
      <c r="S338" s="13">
        <f t="shared" si="55"/>
        <v>100</v>
      </c>
      <c r="T338" s="13">
        <f t="shared" si="56"/>
        <v>200</v>
      </c>
      <c r="U338" s="13" t="s">
        <v>4181</v>
      </c>
      <c r="V338" s="24" t="s">
        <v>888</v>
      </c>
    </row>
    <row r="339" spans="1:22" ht="30" customHeight="1">
      <c r="A339" s="60">
        <v>6</v>
      </c>
      <c r="B339" s="13">
        <v>4776</v>
      </c>
      <c r="C339" s="64" t="s">
        <v>889</v>
      </c>
      <c r="D339" s="9" t="s">
        <v>887</v>
      </c>
      <c r="E339" s="66" t="s">
        <v>878</v>
      </c>
      <c r="F339" s="13">
        <v>2500</v>
      </c>
      <c r="G339" s="13">
        <v>0</v>
      </c>
      <c r="H339" s="13">
        <v>0</v>
      </c>
      <c r="I339" s="13">
        <v>0</v>
      </c>
      <c r="J339" s="13">
        <v>0</v>
      </c>
      <c r="K339" s="13">
        <v>0</v>
      </c>
      <c r="L339" s="13">
        <v>0</v>
      </c>
      <c r="M339" s="13">
        <v>0</v>
      </c>
      <c r="N339" s="12">
        <f t="shared" si="57"/>
        <v>0</v>
      </c>
      <c r="O339" s="13">
        <v>0</v>
      </c>
      <c r="P339" s="13">
        <v>0</v>
      </c>
      <c r="Q339" s="13">
        <v>0</v>
      </c>
      <c r="R339" s="14">
        <f t="shared" si="54"/>
        <v>0</v>
      </c>
      <c r="S339" s="13">
        <f t="shared" si="55"/>
        <v>100</v>
      </c>
      <c r="T339" s="13">
        <f t="shared" si="56"/>
        <v>200</v>
      </c>
      <c r="U339" s="13" t="s">
        <v>4181</v>
      </c>
      <c r="V339" s="24" t="s">
        <v>888</v>
      </c>
    </row>
    <row r="340" spans="1:22" ht="30" customHeight="1">
      <c r="A340" s="13">
        <v>7</v>
      </c>
      <c r="B340" s="13">
        <v>4844</v>
      </c>
      <c r="C340" s="64" t="s">
        <v>890</v>
      </c>
      <c r="D340" s="9" t="s">
        <v>891</v>
      </c>
      <c r="E340" s="66" t="s">
        <v>878</v>
      </c>
      <c r="F340" s="13">
        <v>2100</v>
      </c>
      <c r="G340" s="13">
        <v>0</v>
      </c>
      <c r="H340" s="13">
        <v>0</v>
      </c>
      <c r="I340" s="13">
        <v>0</v>
      </c>
      <c r="J340" s="13">
        <v>0</v>
      </c>
      <c r="K340" s="13">
        <v>0</v>
      </c>
      <c r="L340" s="13">
        <v>0</v>
      </c>
      <c r="M340" s="13">
        <v>0</v>
      </c>
      <c r="N340" s="12">
        <f t="shared" si="57"/>
        <v>0</v>
      </c>
      <c r="O340" s="13">
        <v>0</v>
      </c>
      <c r="P340" s="13">
        <v>0</v>
      </c>
      <c r="Q340" s="13">
        <v>0</v>
      </c>
      <c r="R340" s="14">
        <f t="shared" si="54"/>
        <v>0</v>
      </c>
      <c r="S340" s="13">
        <f t="shared" si="55"/>
        <v>100</v>
      </c>
      <c r="T340" s="13">
        <f t="shared" si="56"/>
        <v>200</v>
      </c>
      <c r="U340" s="13" t="s">
        <v>4181</v>
      </c>
      <c r="V340" s="24" t="s">
        <v>892</v>
      </c>
    </row>
    <row r="341" spans="1:22" ht="30" customHeight="1">
      <c r="A341" s="60">
        <v>8</v>
      </c>
      <c r="B341" s="13">
        <v>4865</v>
      </c>
      <c r="C341" s="9" t="s">
        <v>896</v>
      </c>
      <c r="D341" s="9" t="s">
        <v>45</v>
      </c>
      <c r="E341" s="66" t="s">
        <v>878</v>
      </c>
      <c r="F341" s="13">
        <v>2300</v>
      </c>
      <c r="G341" s="13">
        <v>0</v>
      </c>
      <c r="H341" s="13">
        <v>0</v>
      </c>
      <c r="I341" s="13">
        <v>0</v>
      </c>
      <c r="J341" s="13">
        <v>0</v>
      </c>
      <c r="K341" s="13">
        <v>0</v>
      </c>
      <c r="L341" s="13">
        <v>0</v>
      </c>
      <c r="M341" s="13">
        <v>0</v>
      </c>
      <c r="N341" s="12">
        <f t="shared" si="57"/>
        <v>0</v>
      </c>
      <c r="O341" s="13">
        <v>0</v>
      </c>
      <c r="P341" s="13">
        <v>0</v>
      </c>
      <c r="Q341" s="13">
        <v>0</v>
      </c>
      <c r="R341" s="14">
        <f t="shared" si="54"/>
        <v>0</v>
      </c>
      <c r="S341" s="13">
        <f t="shared" si="55"/>
        <v>100</v>
      </c>
      <c r="T341" s="13">
        <f t="shared" si="56"/>
        <v>200</v>
      </c>
      <c r="U341" s="13" t="s">
        <v>4181</v>
      </c>
      <c r="V341" s="23" t="s">
        <v>897</v>
      </c>
    </row>
    <row r="342" spans="1:22" ht="30" customHeight="1">
      <c r="A342" s="13">
        <v>9</v>
      </c>
      <c r="B342" s="13">
        <v>4866</v>
      </c>
      <c r="C342" s="31" t="s">
        <v>898</v>
      </c>
      <c r="D342" s="9" t="s">
        <v>899</v>
      </c>
      <c r="E342" s="66" t="s">
        <v>878</v>
      </c>
      <c r="F342" s="13">
        <v>2300</v>
      </c>
      <c r="G342" s="13">
        <v>0</v>
      </c>
      <c r="H342" s="13">
        <v>0</v>
      </c>
      <c r="I342" s="13">
        <v>0</v>
      </c>
      <c r="J342" s="13">
        <v>0</v>
      </c>
      <c r="K342" s="13">
        <v>0</v>
      </c>
      <c r="L342" s="13">
        <v>0</v>
      </c>
      <c r="M342" s="13">
        <v>0</v>
      </c>
      <c r="N342" s="12">
        <f t="shared" si="57"/>
        <v>0</v>
      </c>
      <c r="O342" s="13">
        <v>0</v>
      </c>
      <c r="P342" s="13">
        <v>0</v>
      </c>
      <c r="Q342" s="13">
        <v>0</v>
      </c>
      <c r="R342" s="14">
        <f t="shared" si="54"/>
        <v>0</v>
      </c>
      <c r="S342" s="13">
        <f t="shared" si="55"/>
        <v>100</v>
      </c>
      <c r="T342" s="13">
        <f t="shared" si="56"/>
        <v>200</v>
      </c>
      <c r="U342" s="13" t="s">
        <v>4181</v>
      </c>
      <c r="V342" s="23" t="s">
        <v>900</v>
      </c>
    </row>
    <row r="343" spans="1:22" ht="30" customHeight="1">
      <c r="A343" s="60">
        <v>10</v>
      </c>
      <c r="B343" s="13">
        <v>4913</v>
      </c>
      <c r="C343" s="31" t="s">
        <v>901</v>
      </c>
      <c r="D343" s="9" t="s">
        <v>902</v>
      </c>
      <c r="E343" s="66" t="s">
        <v>878</v>
      </c>
      <c r="F343" s="32">
        <v>2400</v>
      </c>
      <c r="G343" s="32">
        <v>0</v>
      </c>
      <c r="H343" s="32">
        <v>0</v>
      </c>
      <c r="I343" s="32">
        <v>0</v>
      </c>
      <c r="J343" s="32">
        <v>0</v>
      </c>
      <c r="K343" s="32">
        <v>0</v>
      </c>
      <c r="L343" s="32">
        <v>0</v>
      </c>
      <c r="M343" s="32">
        <v>0</v>
      </c>
      <c r="N343" s="12">
        <f t="shared" si="57"/>
        <v>0</v>
      </c>
      <c r="O343" s="32">
        <v>0</v>
      </c>
      <c r="P343" s="13">
        <v>0</v>
      </c>
      <c r="Q343" s="13">
        <v>0</v>
      </c>
      <c r="R343" s="14">
        <f t="shared" si="54"/>
        <v>0</v>
      </c>
      <c r="S343" s="13">
        <f t="shared" si="55"/>
        <v>100</v>
      </c>
      <c r="T343" s="13">
        <f t="shared" si="56"/>
        <v>200</v>
      </c>
      <c r="U343" s="13" t="s">
        <v>4181</v>
      </c>
      <c r="V343" s="23" t="s">
        <v>903</v>
      </c>
    </row>
    <row r="344" spans="1:22" ht="30" customHeight="1">
      <c r="A344" s="13">
        <v>11</v>
      </c>
      <c r="B344" s="13">
        <v>4934</v>
      </c>
      <c r="C344" s="9" t="s">
        <v>904</v>
      </c>
      <c r="D344" s="9" t="s">
        <v>556</v>
      </c>
      <c r="E344" s="66" t="s">
        <v>878</v>
      </c>
      <c r="F344" s="13">
        <v>1900</v>
      </c>
      <c r="G344" s="13">
        <v>0</v>
      </c>
      <c r="H344" s="13">
        <v>0</v>
      </c>
      <c r="I344" s="13">
        <v>0</v>
      </c>
      <c r="J344" s="13">
        <v>0</v>
      </c>
      <c r="K344" s="13">
        <v>0</v>
      </c>
      <c r="L344" s="13">
        <v>0</v>
      </c>
      <c r="M344" s="13">
        <v>0</v>
      </c>
      <c r="N344" s="12">
        <f t="shared" si="57"/>
        <v>0</v>
      </c>
      <c r="O344" s="13">
        <v>1900</v>
      </c>
      <c r="P344" s="13">
        <v>0</v>
      </c>
      <c r="Q344" s="13">
        <v>1000</v>
      </c>
      <c r="R344" s="14">
        <f t="shared" si="54"/>
        <v>2900</v>
      </c>
      <c r="S344" s="13">
        <f t="shared" si="55"/>
        <v>3000</v>
      </c>
      <c r="T344" s="13">
        <f t="shared" si="56"/>
        <v>3100</v>
      </c>
      <c r="U344" s="13" t="s">
        <v>4181</v>
      </c>
      <c r="V344" s="23" t="s">
        <v>905</v>
      </c>
    </row>
    <row r="345" spans="1:22" ht="30" customHeight="1">
      <c r="A345" s="60">
        <v>12</v>
      </c>
      <c r="B345" s="13">
        <v>4946</v>
      </c>
      <c r="C345" s="64" t="s">
        <v>906</v>
      </c>
      <c r="D345" s="9" t="s">
        <v>440</v>
      </c>
      <c r="E345" s="66" t="s">
        <v>878</v>
      </c>
      <c r="F345" s="13">
        <v>2500</v>
      </c>
      <c r="G345" s="13">
        <v>0</v>
      </c>
      <c r="H345" s="13">
        <v>0</v>
      </c>
      <c r="I345" s="13">
        <v>0</v>
      </c>
      <c r="J345" s="13">
        <v>0</v>
      </c>
      <c r="K345" s="13">
        <v>0</v>
      </c>
      <c r="L345" s="13">
        <v>0</v>
      </c>
      <c r="M345" s="13">
        <v>0</v>
      </c>
      <c r="N345" s="12">
        <f t="shared" si="57"/>
        <v>0</v>
      </c>
      <c r="O345" s="13">
        <v>0</v>
      </c>
      <c r="P345" s="13">
        <v>0</v>
      </c>
      <c r="Q345" s="13">
        <v>0</v>
      </c>
      <c r="R345" s="14">
        <f t="shared" si="54"/>
        <v>0</v>
      </c>
      <c r="S345" s="13">
        <f t="shared" si="55"/>
        <v>100</v>
      </c>
      <c r="T345" s="13">
        <f t="shared" si="56"/>
        <v>200</v>
      </c>
      <c r="U345" s="13" t="s">
        <v>4181</v>
      </c>
      <c r="V345" s="24" t="s">
        <v>441</v>
      </c>
    </row>
    <row r="346" spans="1:22" ht="30" customHeight="1">
      <c r="A346" s="13">
        <v>13</v>
      </c>
      <c r="B346" s="8">
        <v>4978</v>
      </c>
      <c r="C346" s="68" t="s">
        <v>907</v>
      </c>
      <c r="D346" s="10" t="s">
        <v>908</v>
      </c>
      <c r="E346" s="66" t="s">
        <v>878</v>
      </c>
      <c r="F346" s="8">
        <v>2500</v>
      </c>
      <c r="G346" s="8">
        <v>0</v>
      </c>
      <c r="H346" s="8">
        <v>0</v>
      </c>
      <c r="I346" s="8">
        <v>0</v>
      </c>
      <c r="J346" s="8">
        <v>0</v>
      </c>
      <c r="K346" s="8">
        <v>0</v>
      </c>
      <c r="L346" s="8">
        <v>0</v>
      </c>
      <c r="M346" s="8">
        <v>0</v>
      </c>
      <c r="N346" s="12">
        <f t="shared" si="57"/>
        <v>0</v>
      </c>
      <c r="O346" s="8">
        <v>2500</v>
      </c>
      <c r="P346" s="13">
        <v>0</v>
      </c>
      <c r="Q346" s="13">
        <v>0</v>
      </c>
      <c r="R346" s="14">
        <f t="shared" si="54"/>
        <v>2500</v>
      </c>
      <c r="S346" s="13">
        <f t="shared" si="55"/>
        <v>2600</v>
      </c>
      <c r="T346" s="13">
        <f t="shared" si="56"/>
        <v>2700</v>
      </c>
      <c r="U346" s="13" t="s">
        <v>4181</v>
      </c>
      <c r="V346" s="69" t="s">
        <v>909</v>
      </c>
    </row>
    <row r="347" spans="1:22" ht="30" customHeight="1">
      <c r="A347" s="60">
        <v>14</v>
      </c>
      <c r="B347" s="19">
        <v>4987</v>
      </c>
      <c r="C347" s="21" t="s">
        <v>910</v>
      </c>
      <c r="D347" s="21" t="s">
        <v>911</v>
      </c>
      <c r="E347" s="66" t="s">
        <v>878</v>
      </c>
      <c r="F347" s="13">
        <v>2200</v>
      </c>
      <c r="G347" s="13">
        <v>0</v>
      </c>
      <c r="H347" s="13">
        <v>0</v>
      </c>
      <c r="I347" s="13">
        <v>0</v>
      </c>
      <c r="J347" s="13">
        <v>0</v>
      </c>
      <c r="K347" s="13">
        <v>0</v>
      </c>
      <c r="L347" s="13">
        <v>0</v>
      </c>
      <c r="M347" s="13">
        <v>0</v>
      </c>
      <c r="N347" s="12">
        <f t="shared" si="57"/>
        <v>0</v>
      </c>
      <c r="O347" s="13">
        <v>0</v>
      </c>
      <c r="P347" s="13">
        <v>0</v>
      </c>
      <c r="Q347" s="13">
        <v>0</v>
      </c>
      <c r="R347" s="14">
        <f t="shared" si="54"/>
        <v>0</v>
      </c>
      <c r="S347" s="13">
        <f t="shared" si="55"/>
        <v>100</v>
      </c>
      <c r="T347" s="13">
        <f t="shared" si="56"/>
        <v>200</v>
      </c>
      <c r="U347" s="13" t="s">
        <v>4181</v>
      </c>
      <c r="V347" s="46" t="s">
        <v>226</v>
      </c>
    </row>
    <row r="348" spans="1:22" ht="30" customHeight="1">
      <c r="A348" s="13">
        <v>15</v>
      </c>
      <c r="B348" s="19">
        <v>5025</v>
      </c>
      <c r="C348" s="20" t="s">
        <v>912</v>
      </c>
      <c r="D348" s="21" t="s">
        <v>913</v>
      </c>
      <c r="E348" s="66" t="s">
        <v>878</v>
      </c>
      <c r="F348" s="32">
        <v>2500</v>
      </c>
      <c r="G348" s="32">
        <v>0</v>
      </c>
      <c r="H348" s="32">
        <v>0</v>
      </c>
      <c r="I348" s="32">
        <v>0</v>
      </c>
      <c r="J348" s="32">
        <v>0</v>
      </c>
      <c r="K348" s="32">
        <v>0</v>
      </c>
      <c r="L348" s="32">
        <v>0</v>
      </c>
      <c r="M348" s="32">
        <v>0</v>
      </c>
      <c r="N348" s="12">
        <f t="shared" si="57"/>
        <v>0</v>
      </c>
      <c r="O348" s="32">
        <v>0</v>
      </c>
      <c r="P348" s="13">
        <v>0</v>
      </c>
      <c r="Q348" s="13">
        <v>0</v>
      </c>
      <c r="R348" s="14">
        <f t="shared" si="54"/>
        <v>0</v>
      </c>
      <c r="S348" s="13">
        <f t="shared" si="55"/>
        <v>100</v>
      </c>
      <c r="T348" s="13">
        <f t="shared" si="56"/>
        <v>200</v>
      </c>
      <c r="U348" s="13" t="s">
        <v>4181</v>
      </c>
      <c r="V348" s="46" t="s">
        <v>914</v>
      </c>
    </row>
    <row r="349" spans="1:22" ht="30" customHeight="1">
      <c r="A349" s="60">
        <v>16</v>
      </c>
      <c r="B349" s="19">
        <v>6006</v>
      </c>
      <c r="C349" s="21" t="s">
        <v>915</v>
      </c>
      <c r="D349" s="21" t="s">
        <v>916</v>
      </c>
      <c r="E349" s="66" t="s">
        <v>878</v>
      </c>
      <c r="F349" s="13">
        <v>2500</v>
      </c>
      <c r="G349" s="13">
        <v>0</v>
      </c>
      <c r="H349" s="13">
        <v>0</v>
      </c>
      <c r="I349" s="13">
        <v>0</v>
      </c>
      <c r="J349" s="13">
        <v>0</v>
      </c>
      <c r="K349" s="13">
        <v>0</v>
      </c>
      <c r="L349" s="13">
        <v>0</v>
      </c>
      <c r="M349" s="13">
        <v>0</v>
      </c>
      <c r="N349" s="12">
        <f t="shared" si="57"/>
        <v>0</v>
      </c>
      <c r="O349" s="13">
        <v>0</v>
      </c>
      <c r="P349" s="13">
        <v>0</v>
      </c>
      <c r="Q349" s="13">
        <v>0</v>
      </c>
      <c r="R349" s="14">
        <f t="shared" si="54"/>
        <v>0</v>
      </c>
      <c r="S349" s="13">
        <f t="shared" si="55"/>
        <v>100</v>
      </c>
      <c r="T349" s="13">
        <f t="shared" si="56"/>
        <v>200</v>
      </c>
      <c r="U349" s="13" t="s">
        <v>4181</v>
      </c>
      <c r="V349" s="23" t="s">
        <v>917</v>
      </c>
    </row>
    <row r="350" spans="1:22" ht="30" customHeight="1">
      <c r="A350" s="13">
        <v>17</v>
      </c>
      <c r="B350" s="13">
        <v>6029</v>
      </c>
      <c r="C350" s="64" t="s">
        <v>583</v>
      </c>
      <c r="D350" s="9" t="s">
        <v>918</v>
      </c>
      <c r="E350" s="66" t="s">
        <v>878</v>
      </c>
      <c r="F350" s="13">
        <v>1550</v>
      </c>
      <c r="G350" s="13">
        <v>0</v>
      </c>
      <c r="H350" s="13">
        <v>0</v>
      </c>
      <c r="I350" s="13">
        <v>0</v>
      </c>
      <c r="J350" s="13">
        <v>0</v>
      </c>
      <c r="K350" s="13">
        <v>0</v>
      </c>
      <c r="L350" s="13">
        <v>0</v>
      </c>
      <c r="M350" s="13">
        <v>0</v>
      </c>
      <c r="N350" s="12">
        <f t="shared" si="57"/>
        <v>0</v>
      </c>
      <c r="O350" s="13">
        <v>0</v>
      </c>
      <c r="P350" s="13">
        <v>0</v>
      </c>
      <c r="Q350" s="13">
        <v>0</v>
      </c>
      <c r="R350" s="14">
        <f t="shared" si="54"/>
        <v>0</v>
      </c>
      <c r="S350" s="13">
        <f t="shared" si="55"/>
        <v>100</v>
      </c>
      <c r="T350" s="13">
        <f t="shared" si="56"/>
        <v>200</v>
      </c>
      <c r="U350" s="13" t="s">
        <v>4181</v>
      </c>
      <c r="V350" s="24" t="s">
        <v>919</v>
      </c>
    </row>
    <row r="351" spans="1:22" ht="30" customHeight="1">
      <c r="A351" s="60">
        <v>18</v>
      </c>
      <c r="B351" s="19">
        <v>6031</v>
      </c>
      <c r="C351" s="43" t="s">
        <v>556</v>
      </c>
      <c r="D351" s="21" t="s">
        <v>920</v>
      </c>
      <c r="E351" s="66" t="s">
        <v>878</v>
      </c>
      <c r="F351" s="13">
        <v>0</v>
      </c>
      <c r="G351" s="13">
        <v>0</v>
      </c>
      <c r="H351" s="13">
        <v>0</v>
      </c>
      <c r="I351" s="13">
        <v>0</v>
      </c>
      <c r="J351" s="13">
        <v>0</v>
      </c>
      <c r="K351" s="13">
        <v>0</v>
      </c>
      <c r="L351" s="13">
        <v>0</v>
      </c>
      <c r="M351" s="13">
        <v>0</v>
      </c>
      <c r="N351" s="12">
        <f t="shared" si="57"/>
        <v>0</v>
      </c>
      <c r="O351" s="13">
        <v>0</v>
      </c>
      <c r="P351" s="13">
        <v>0</v>
      </c>
      <c r="Q351" s="13">
        <v>1000</v>
      </c>
      <c r="R351" s="14">
        <f t="shared" si="54"/>
        <v>1000</v>
      </c>
      <c r="S351" s="13">
        <f t="shared" si="55"/>
        <v>1100</v>
      </c>
      <c r="T351" s="13">
        <f t="shared" si="56"/>
        <v>1200</v>
      </c>
      <c r="U351" s="13" t="s">
        <v>4181</v>
      </c>
      <c r="V351" s="24" t="s">
        <v>921</v>
      </c>
    </row>
    <row r="352" spans="1:22" ht="30" customHeight="1">
      <c r="A352" s="13">
        <v>19</v>
      </c>
      <c r="B352" s="19">
        <v>6045</v>
      </c>
      <c r="C352" s="21" t="s">
        <v>922</v>
      </c>
      <c r="D352" s="21" t="s">
        <v>923</v>
      </c>
      <c r="E352" s="66" t="s">
        <v>878</v>
      </c>
      <c r="F352" s="13">
        <v>2200</v>
      </c>
      <c r="G352" s="13">
        <v>0</v>
      </c>
      <c r="H352" s="13">
        <v>0</v>
      </c>
      <c r="I352" s="13">
        <v>0</v>
      </c>
      <c r="J352" s="13">
        <v>0</v>
      </c>
      <c r="K352" s="13">
        <v>0</v>
      </c>
      <c r="L352" s="13">
        <v>0</v>
      </c>
      <c r="M352" s="13">
        <v>0</v>
      </c>
      <c r="N352" s="12">
        <f t="shared" si="57"/>
        <v>0</v>
      </c>
      <c r="O352" s="13">
        <v>0</v>
      </c>
      <c r="P352" s="13">
        <v>0</v>
      </c>
      <c r="Q352" s="13">
        <v>0</v>
      </c>
      <c r="R352" s="14">
        <f t="shared" si="54"/>
        <v>0</v>
      </c>
      <c r="S352" s="13">
        <f t="shared" si="55"/>
        <v>100</v>
      </c>
      <c r="T352" s="13">
        <f t="shared" si="56"/>
        <v>200</v>
      </c>
      <c r="U352" s="13" t="s">
        <v>4181</v>
      </c>
      <c r="V352" s="24" t="s">
        <v>726</v>
      </c>
    </row>
    <row r="353" spans="1:23" ht="30" customHeight="1">
      <c r="A353" s="60">
        <v>20</v>
      </c>
      <c r="B353" s="19">
        <v>6057</v>
      </c>
      <c r="C353" s="21" t="s">
        <v>924</v>
      </c>
      <c r="D353" s="21" t="s">
        <v>92</v>
      </c>
      <c r="E353" s="66" t="s">
        <v>878</v>
      </c>
      <c r="F353" s="13">
        <v>1350</v>
      </c>
      <c r="G353" s="13">
        <v>0</v>
      </c>
      <c r="H353" s="13">
        <v>0</v>
      </c>
      <c r="I353" s="13">
        <v>0</v>
      </c>
      <c r="J353" s="13">
        <v>0</v>
      </c>
      <c r="K353" s="13">
        <v>0</v>
      </c>
      <c r="L353" s="13">
        <v>0</v>
      </c>
      <c r="M353" s="13">
        <v>0</v>
      </c>
      <c r="N353" s="12">
        <f t="shared" si="57"/>
        <v>0</v>
      </c>
      <c r="O353" s="13">
        <v>0</v>
      </c>
      <c r="P353" s="13">
        <v>0</v>
      </c>
      <c r="Q353" s="13">
        <v>0</v>
      </c>
      <c r="R353" s="14">
        <f t="shared" si="54"/>
        <v>0</v>
      </c>
      <c r="S353" s="13">
        <f t="shared" si="55"/>
        <v>100</v>
      </c>
      <c r="T353" s="13">
        <f t="shared" si="56"/>
        <v>200</v>
      </c>
      <c r="U353" s="13" t="s">
        <v>4181</v>
      </c>
      <c r="V353" s="24" t="s">
        <v>383</v>
      </c>
    </row>
    <row r="354" spans="1:23" ht="30" customHeight="1">
      <c r="A354" s="13">
        <v>21</v>
      </c>
      <c r="B354" s="19">
        <v>6073</v>
      </c>
      <c r="C354" s="21" t="s">
        <v>925</v>
      </c>
      <c r="D354" s="21" t="s">
        <v>434</v>
      </c>
      <c r="E354" s="66" t="s">
        <v>878</v>
      </c>
      <c r="F354" s="13">
        <v>2400</v>
      </c>
      <c r="G354" s="13">
        <v>0</v>
      </c>
      <c r="H354" s="13">
        <v>0</v>
      </c>
      <c r="I354" s="13">
        <v>0</v>
      </c>
      <c r="J354" s="13">
        <v>0</v>
      </c>
      <c r="K354" s="13">
        <v>0</v>
      </c>
      <c r="L354" s="13">
        <v>0</v>
      </c>
      <c r="M354" s="13">
        <v>0</v>
      </c>
      <c r="N354" s="12">
        <f t="shared" si="57"/>
        <v>0</v>
      </c>
      <c r="O354" s="13">
        <v>0</v>
      </c>
      <c r="P354" s="13">
        <v>0</v>
      </c>
      <c r="Q354" s="13">
        <v>0</v>
      </c>
      <c r="R354" s="14">
        <f t="shared" si="54"/>
        <v>0</v>
      </c>
      <c r="S354" s="13">
        <f t="shared" si="55"/>
        <v>100</v>
      </c>
      <c r="T354" s="13">
        <f t="shared" si="56"/>
        <v>200</v>
      </c>
      <c r="U354" s="13" t="s">
        <v>4181</v>
      </c>
      <c r="V354" s="24" t="s">
        <v>926</v>
      </c>
    </row>
    <row r="355" spans="1:23" ht="30" customHeight="1">
      <c r="A355" s="60">
        <v>22</v>
      </c>
      <c r="B355" s="19">
        <v>6077</v>
      </c>
      <c r="C355" s="21" t="s">
        <v>927</v>
      </c>
      <c r="D355" s="21" t="s">
        <v>92</v>
      </c>
      <c r="E355" s="66" t="s">
        <v>878</v>
      </c>
      <c r="F355" s="13">
        <v>2300</v>
      </c>
      <c r="G355" s="13">
        <v>0</v>
      </c>
      <c r="H355" s="13">
        <v>0</v>
      </c>
      <c r="I355" s="13">
        <v>0</v>
      </c>
      <c r="J355" s="13">
        <v>0</v>
      </c>
      <c r="K355" s="13">
        <v>0</v>
      </c>
      <c r="L355" s="13">
        <v>0</v>
      </c>
      <c r="M355" s="13">
        <v>0</v>
      </c>
      <c r="N355" s="12">
        <f t="shared" si="57"/>
        <v>0</v>
      </c>
      <c r="O355" s="13">
        <v>0</v>
      </c>
      <c r="P355" s="13">
        <v>0</v>
      </c>
      <c r="Q355" s="13">
        <v>0</v>
      </c>
      <c r="R355" s="14">
        <f t="shared" si="54"/>
        <v>0</v>
      </c>
      <c r="S355" s="13">
        <f t="shared" si="55"/>
        <v>100</v>
      </c>
      <c r="T355" s="13">
        <f t="shared" si="56"/>
        <v>200</v>
      </c>
      <c r="U355" s="13" t="s">
        <v>4181</v>
      </c>
      <c r="V355" s="23" t="s">
        <v>383</v>
      </c>
    </row>
    <row r="356" spans="1:23" ht="30" customHeight="1">
      <c r="A356" s="13">
        <v>23</v>
      </c>
      <c r="B356" s="13">
        <v>6097</v>
      </c>
      <c r="C356" s="9" t="s">
        <v>928</v>
      </c>
      <c r="D356" s="9" t="s">
        <v>298</v>
      </c>
      <c r="E356" s="66" t="s">
        <v>878</v>
      </c>
      <c r="F356" s="13">
        <v>2500</v>
      </c>
      <c r="G356" s="13">
        <v>0</v>
      </c>
      <c r="H356" s="13">
        <v>0</v>
      </c>
      <c r="I356" s="13">
        <v>0</v>
      </c>
      <c r="J356" s="13">
        <v>0</v>
      </c>
      <c r="K356" s="13">
        <v>0</v>
      </c>
      <c r="L356" s="13">
        <v>0</v>
      </c>
      <c r="M356" s="13">
        <v>0</v>
      </c>
      <c r="N356" s="12">
        <f t="shared" si="57"/>
        <v>0</v>
      </c>
      <c r="O356" s="13">
        <v>0</v>
      </c>
      <c r="P356" s="13">
        <v>0</v>
      </c>
      <c r="Q356" s="13">
        <v>0</v>
      </c>
      <c r="R356" s="14">
        <f t="shared" si="54"/>
        <v>0</v>
      </c>
      <c r="S356" s="13">
        <f t="shared" si="55"/>
        <v>100</v>
      </c>
      <c r="T356" s="13">
        <f t="shared" si="56"/>
        <v>200</v>
      </c>
      <c r="U356" s="13" t="s">
        <v>4181</v>
      </c>
      <c r="V356" s="23" t="s">
        <v>299</v>
      </c>
      <c r="W356" t="s">
        <v>929</v>
      </c>
    </row>
    <row r="357" spans="1:23" ht="30" customHeight="1">
      <c r="A357" s="60">
        <v>24</v>
      </c>
      <c r="B357" s="13">
        <v>6098</v>
      </c>
      <c r="C357" s="9" t="s">
        <v>410</v>
      </c>
      <c r="D357" s="9" t="s">
        <v>930</v>
      </c>
      <c r="E357" s="66" t="s">
        <v>878</v>
      </c>
      <c r="F357" s="13">
        <v>2500</v>
      </c>
      <c r="G357" s="13">
        <v>0</v>
      </c>
      <c r="H357" s="13">
        <v>0</v>
      </c>
      <c r="I357" s="13">
        <v>0</v>
      </c>
      <c r="J357" s="13">
        <v>0</v>
      </c>
      <c r="K357" s="13">
        <v>0</v>
      </c>
      <c r="L357" s="13">
        <v>0</v>
      </c>
      <c r="M357" s="13">
        <v>0</v>
      </c>
      <c r="N357" s="12">
        <f t="shared" si="57"/>
        <v>0</v>
      </c>
      <c r="O357" s="13">
        <v>0</v>
      </c>
      <c r="P357" s="13">
        <v>0</v>
      </c>
      <c r="Q357" s="13">
        <v>0</v>
      </c>
      <c r="R357" s="14">
        <f t="shared" si="54"/>
        <v>0</v>
      </c>
      <c r="S357" s="13">
        <f t="shared" si="55"/>
        <v>100</v>
      </c>
      <c r="T357" s="13">
        <f t="shared" si="56"/>
        <v>200</v>
      </c>
      <c r="U357" s="13" t="s">
        <v>4181</v>
      </c>
      <c r="V357" s="23" t="s">
        <v>931</v>
      </c>
    </row>
    <row r="358" spans="1:23" ht="30" customHeight="1">
      <c r="A358" s="13">
        <v>25</v>
      </c>
      <c r="B358" s="19">
        <v>6150</v>
      </c>
      <c r="C358" s="21" t="s">
        <v>932</v>
      </c>
      <c r="D358" s="21" t="s">
        <v>933</v>
      </c>
      <c r="E358" s="66" t="s">
        <v>878</v>
      </c>
      <c r="F358" s="13">
        <v>2500</v>
      </c>
      <c r="G358" s="13">
        <v>0</v>
      </c>
      <c r="H358" s="13">
        <v>0</v>
      </c>
      <c r="I358" s="13">
        <v>0</v>
      </c>
      <c r="J358" s="13">
        <v>0</v>
      </c>
      <c r="K358" s="13">
        <v>0</v>
      </c>
      <c r="L358" s="13">
        <v>0</v>
      </c>
      <c r="M358" s="13">
        <v>0</v>
      </c>
      <c r="N358" s="12">
        <f t="shared" si="57"/>
        <v>0</v>
      </c>
      <c r="O358" s="13">
        <v>2500</v>
      </c>
      <c r="P358" s="13">
        <v>0</v>
      </c>
      <c r="Q358" s="13">
        <v>2000</v>
      </c>
      <c r="R358" s="14">
        <f t="shared" si="54"/>
        <v>4500</v>
      </c>
      <c r="S358" s="13">
        <f t="shared" si="55"/>
        <v>4600</v>
      </c>
      <c r="T358" s="13">
        <f t="shared" si="56"/>
        <v>4700</v>
      </c>
      <c r="U358" s="13" t="s">
        <v>4181</v>
      </c>
      <c r="V358" s="46" t="s">
        <v>934</v>
      </c>
    </row>
    <row r="359" spans="1:23" ht="30" customHeight="1">
      <c r="A359" s="60">
        <v>26</v>
      </c>
      <c r="B359" s="19">
        <v>6151</v>
      </c>
      <c r="C359" s="21" t="s">
        <v>935</v>
      </c>
      <c r="D359" s="21" t="s">
        <v>933</v>
      </c>
      <c r="E359" s="66" t="s">
        <v>878</v>
      </c>
      <c r="F359" s="13">
        <v>1600</v>
      </c>
      <c r="G359" s="13">
        <v>0</v>
      </c>
      <c r="H359" s="13">
        <v>0</v>
      </c>
      <c r="I359" s="13">
        <v>0</v>
      </c>
      <c r="J359" s="13">
        <v>0</v>
      </c>
      <c r="K359" s="13">
        <v>0</v>
      </c>
      <c r="L359" s="13">
        <v>0</v>
      </c>
      <c r="M359" s="13">
        <v>0</v>
      </c>
      <c r="N359" s="12">
        <f t="shared" si="57"/>
        <v>0</v>
      </c>
      <c r="O359" s="13">
        <v>1600</v>
      </c>
      <c r="P359" s="13">
        <v>0</v>
      </c>
      <c r="Q359" s="13">
        <v>1000</v>
      </c>
      <c r="R359" s="14">
        <f t="shared" si="54"/>
        <v>2600</v>
      </c>
      <c r="S359" s="13">
        <f t="shared" si="55"/>
        <v>2700</v>
      </c>
      <c r="T359" s="13">
        <f t="shared" si="56"/>
        <v>2800</v>
      </c>
      <c r="U359" s="13" t="s">
        <v>4181</v>
      </c>
      <c r="V359" s="45" t="s">
        <v>934</v>
      </c>
    </row>
    <row r="360" spans="1:23" ht="30" customHeight="1">
      <c r="A360" s="13">
        <v>27</v>
      </c>
      <c r="B360" s="13">
        <v>6193</v>
      </c>
      <c r="C360" s="9" t="s">
        <v>936</v>
      </c>
      <c r="D360" s="9" t="s">
        <v>937</v>
      </c>
      <c r="E360" s="66" t="s">
        <v>878</v>
      </c>
      <c r="F360" s="13">
        <v>1900</v>
      </c>
      <c r="G360" s="13">
        <v>0</v>
      </c>
      <c r="H360" s="13">
        <v>0</v>
      </c>
      <c r="I360" s="13">
        <v>0</v>
      </c>
      <c r="J360" s="13">
        <v>0</v>
      </c>
      <c r="K360" s="13">
        <v>0</v>
      </c>
      <c r="L360" s="13">
        <v>0</v>
      </c>
      <c r="M360" s="13">
        <v>0</v>
      </c>
      <c r="N360" s="12">
        <f t="shared" si="57"/>
        <v>0</v>
      </c>
      <c r="O360" s="13">
        <v>1900</v>
      </c>
      <c r="P360" s="13">
        <v>0</v>
      </c>
      <c r="Q360" s="13">
        <v>0</v>
      </c>
      <c r="R360" s="14">
        <f t="shared" si="54"/>
        <v>1900</v>
      </c>
      <c r="S360" s="13">
        <f t="shared" si="55"/>
        <v>2000</v>
      </c>
      <c r="T360" s="13">
        <f t="shared" si="56"/>
        <v>2100</v>
      </c>
      <c r="U360" s="13" t="s">
        <v>4181</v>
      </c>
      <c r="V360" s="15" t="s">
        <v>938</v>
      </c>
    </row>
    <row r="361" spans="1:23" ht="30" customHeight="1">
      <c r="A361" s="60">
        <v>28</v>
      </c>
      <c r="B361" s="13">
        <v>6286</v>
      </c>
      <c r="C361" s="9" t="s">
        <v>939</v>
      </c>
      <c r="D361" s="9" t="s">
        <v>207</v>
      </c>
      <c r="E361" s="66" t="s">
        <v>878</v>
      </c>
      <c r="F361" s="13">
        <v>2400</v>
      </c>
      <c r="G361" s="13">
        <v>0</v>
      </c>
      <c r="H361" s="13">
        <v>0</v>
      </c>
      <c r="I361" s="13">
        <v>0</v>
      </c>
      <c r="J361" s="13">
        <v>0</v>
      </c>
      <c r="K361" s="13">
        <v>0</v>
      </c>
      <c r="L361" s="13">
        <v>0</v>
      </c>
      <c r="M361" s="13">
        <v>0</v>
      </c>
      <c r="N361" s="12">
        <f t="shared" si="57"/>
        <v>0</v>
      </c>
      <c r="O361" s="13">
        <v>2400</v>
      </c>
      <c r="P361" s="13">
        <v>0</v>
      </c>
      <c r="Q361" s="13">
        <v>0</v>
      </c>
      <c r="R361" s="14">
        <f t="shared" si="54"/>
        <v>2400</v>
      </c>
      <c r="S361" s="13">
        <f t="shared" si="55"/>
        <v>2500</v>
      </c>
      <c r="T361" s="13">
        <f t="shared" si="56"/>
        <v>2600</v>
      </c>
      <c r="U361" s="13" t="s">
        <v>4181</v>
      </c>
      <c r="V361" s="15" t="s">
        <v>940</v>
      </c>
    </row>
    <row r="362" spans="1:23" ht="30" customHeight="1">
      <c r="A362" s="13">
        <v>29</v>
      </c>
      <c r="B362" s="19">
        <v>6377</v>
      </c>
      <c r="C362" s="21" t="s">
        <v>941</v>
      </c>
      <c r="D362" s="50" t="s">
        <v>942</v>
      </c>
      <c r="E362" s="66" t="s">
        <v>878</v>
      </c>
      <c r="F362" s="12">
        <v>0</v>
      </c>
      <c r="G362" s="12">
        <v>0</v>
      </c>
      <c r="H362" s="12">
        <v>0</v>
      </c>
      <c r="I362" s="12">
        <v>0</v>
      </c>
      <c r="J362" s="12">
        <v>0</v>
      </c>
      <c r="K362" s="12">
        <v>0</v>
      </c>
      <c r="L362" s="12">
        <v>0</v>
      </c>
      <c r="M362" s="12">
        <v>0</v>
      </c>
      <c r="N362" s="12">
        <f t="shared" si="57"/>
        <v>0</v>
      </c>
      <c r="O362" s="12">
        <v>0</v>
      </c>
      <c r="P362" s="13">
        <v>0</v>
      </c>
      <c r="Q362" s="13">
        <v>0</v>
      </c>
      <c r="R362" s="14">
        <f t="shared" si="54"/>
        <v>0</v>
      </c>
      <c r="S362" s="13">
        <f t="shared" si="55"/>
        <v>100</v>
      </c>
      <c r="T362" s="13">
        <f t="shared" si="56"/>
        <v>200</v>
      </c>
      <c r="U362" s="13" t="s">
        <v>4181</v>
      </c>
      <c r="V362" s="70" t="s">
        <v>4120</v>
      </c>
    </row>
    <row r="363" spans="1:23" ht="30" customHeight="1">
      <c r="A363" s="60">
        <v>30</v>
      </c>
      <c r="B363" s="19">
        <v>6378</v>
      </c>
      <c r="C363" s="21" t="s">
        <v>944</v>
      </c>
      <c r="D363" s="50" t="s">
        <v>537</v>
      </c>
      <c r="E363" s="66" t="s">
        <v>878</v>
      </c>
      <c r="F363" s="12">
        <v>1400</v>
      </c>
      <c r="G363" s="12">
        <v>0</v>
      </c>
      <c r="H363" s="12">
        <v>0</v>
      </c>
      <c r="I363" s="12">
        <v>0</v>
      </c>
      <c r="J363" s="12">
        <v>0</v>
      </c>
      <c r="K363" s="12">
        <v>0</v>
      </c>
      <c r="L363" s="12">
        <v>0</v>
      </c>
      <c r="M363" s="12">
        <v>0</v>
      </c>
      <c r="N363" s="12">
        <f t="shared" si="57"/>
        <v>0</v>
      </c>
      <c r="O363" s="12">
        <v>0</v>
      </c>
      <c r="P363" s="13">
        <v>0</v>
      </c>
      <c r="Q363" s="13">
        <v>0</v>
      </c>
      <c r="R363" s="14">
        <f t="shared" si="54"/>
        <v>0</v>
      </c>
      <c r="S363" s="13">
        <f t="shared" si="55"/>
        <v>100</v>
      </c>
      <c r="T363" s="13">
        <f t="shared" si="56"/>
        <v>200</v>
      </c>
      <c r="U363" s="13" t="s">
        <v>4181</v>
      </c>
      <c r="V363" s="70" t="s">
        <v>945</v>
      </c>
    </row>
    <row r="364" spans="1:23" ht="30" customHeight="1">
      <c r="A364" s="13">
        <v>31</v>
      </c>
      <c r="B364" s="13">
        <v>6416</v>
      </c>
      <c r="C364" s="9" t="s">
        <v>946</v>
      </c>
      <c r="D364" s="57" t="s">
        <v>190</v>
      </c>
      <c r="E364" s="66" t="s">
        <v>878</v>
      </c>
      <c r="F364" s="12">
        <v>2500</v>
      </c>
      <c r="G364" s="12">
        <v>0</v>
      </c>
      <c r="H364" s="12">
        <v>0</v>
      </c>
      <c r="I364" s="12">
        <v>0</v>
      </c>
      <c r="J364" s="12">
        <v>0</v>
      </c>
      <c r="K364" s="12">
        <v>0</v>
      </c>
      <c r="L364" s="12">
        <v>0</v>
      </c>
      <c r="M364" s="12">
        <v>0</v>
      </c>
      <c r="N364" s="12">
        <f t="shared" si="57"/>
        <v>0</v>
      </c>
      <c r="O364" s="12">
        <v>0</v>
      </c>
      <c r="P364" s="13">
        <v>0</v>
      </c>
      <c r="Q364" s="13">
        <v>0</v>
      </c>
      <c r="R364" s="14">
        <f t="shared" si="54"/>
        <v>0</v>
      </c>
      <c r="S364" s="13">
        <f t="shared" si="55"/>
        <v>100</v>
      </c>
      <c r="T364" s="13">
        <f t="shared" si="56"/>
        <v>200</v>
      </c>
      <c r="U364" s="13" t="s">
        <v>4181</v>
      </c>
      <c r="V364" s="51" t="s">
        <v>758</v>
      </c>
    </row>
    <row r="365" spans="1:23" ht="30" customHeight="1">
      <c r="A365" s="60">
        <v>32</v>
      </c>
      <c r="B365" s="13">
        <v>6529</v>
      </c>
      <c r="C365" s="9" t="s">
        <v>947</v>
      </c>
      <c r="D365" s="9" t="s">
        <v>572</v>
      </c>
      <c r="E365" s="66" t="s">
        <v>878</v>
      </c>
      <c r="F365" s="13">
        <v>2500</v>
      </c>
      <c r="G365" s="13">
        <v>0</v>
      </c>
      <c r="H365" s="13">
        <v>0</v>
      </c>
      <c r="I365" s="13">
        <v>0</v>
      </c>
      <c r="J365" s="13">
        <v>0</v>
      </c>
      <c r="K365" s="13">
        <v>0</v>
      </c>
      <c r="L365" s="13">
        <v>0</v>
      </c>
      <c r="M365" s="13">
        <v>0</v>
      </c>
      <c r="N365" s="12">
        <f t="shared" si="57"/>
        <v>0</v>
      </c>
      <c r="O365" s="13">
        <v>0</v>
      </c>
      <c r="P365" s="13">
        <v>0</v>
      </c>
      <c r="Q365" s="13">
        <v>0</v>
      </c>
      <c r="R365" s="14">
        <f t="shared" si="54"/>
        <v>0</v>
      </c>
      <c r="S365" s="13">
        <f t="shared" si="55"/>
        <v>100</v>
      </c>
      <c r="T365" s="13">
        <f t="shared" si="56"/>
        <v>200</v>
      </c>
      <c r="U365" s="13" t="s">
        <v>4181</v>
      </c>
      <c r="V365" s="23" t="s">
        <v>948</v>
      </c>
      <c r="W365" t="s">
        <v>257</v>
      </c>
    </row>
    <row r="366" spans="1:23" ht="30" customHeight="1">
      <c r="A366" s="13">
        <v>33</v>
      </c>
      <c r="B366" s="13">
        <v>6592</v>
      </c>
      <c r="C366" s="9" t="s">
        <v>949</v>
      </c>
      <c r="D366" s="9" t="s">
        <v>950</v>
      </c>
      <c r="E366" s="66" t="s">
        <v>878</v>
      </c>
      <c r="F366" s="13">
        <v>2500</v>
      </c>
      <c r="G366" s="13">
        <v>0</v>
      </c>
      <c r="H366" s="13">
        <v>0</v>
      </c>
      <c r="I366" s="13">
        <v>0</v>
      </c>
      <c r="J366" s="13">
        <v>0</v>
      </c>
      <c r="K366" s="13">
        <v>0</v>
      </c>
      <c r="L366" s="13">
        <v>2500</v>
      </c>
      <c r="M366" s="13">
        <v>2500</v>
      </c>
      <c r="N366" s="12">
        <f t="shared" si="57"/>
        <v>5000</v>
      </c>
      <c r="O366" s="13">
        <v>2500</v>
      </c>
      <c r="P366" s="13">
        <v>0</v>
      </c>
      <c r="Q366" s="13">
        <v>0</v>
      </c>
      <c r="R366" s="14">
        <f t="shared" si="54"/>
        <v>7500</v>
      </c>
      <c r="S366" s="13">
        <f t="shared" si="55"/>
        <v>7600</v>
      </c>
      <c r="T366" s="13">
        <f t="shared" si="56"/>
        <v>7700</v>
      </c>
      <c r="U366" s="13" t="s">
        <v>4181</v>
      </c>
      <c r="V366" s="23" t="s">
        <v>951</v>
      </c>
    </row>
    <row r="367" spans="1:23" ht="30" customHeight="1">
      <c r="A367" s="60">
        <v>34</v>
      </c>
      <c r="B367" s="13">
        <v>6635</v>
      </c>
      <c r="C367" s="9" t="s">
        <v>952</v>
      </c>
      <c r="D367" s="57" t="s">
        <v>419</v>
      </c>
      <c r="E367" s="66" t="s">
        <v>878</v>
      </c>
      <c r="F367" s="12">
        <v>2000</v>
      </c>
      <c r="G367" s="12">
        <v>0</v>
      </c>
      <c r="H367" s="12">
        <v>0</v>
      </c>
      <c r="I367" s="12">
        <v>0</v>
      </c>
      <c r="J367" s="12">
        <v>0</v>
      </c>
      <c r="K367" s="12">
        <v>0</v>
      </c>
      <c r="L367" s="12">
        <v>0</v>
      </c>
      <c r="M367" s="12">
        <v>0</v>
      </c>
      <c r="N367" s="12">
        <f t="shared" si="57"/>
        <v>0</v>
      </c>
      <c r="O367" s="12">
        <v>0</v>
      </c>
      <c r="P367" s="13">
        <v>0</v>
      </c>
      <c r="Q367" s="13">
        <v>0</v>
      </c>
      <c r="R367" s="14">
        <f t="shared" si="54"/>
        <v>0</v>
      </c>
      <c r="S367" s="13">
        <f t="shared" si="55"/>
        <v>100</v>
      </c>
      <c r="T367" s="13">
        <f t="shared" si="56"/>
        <v>200</v>
      </c>
      <c r="U367" s="13" t="s">
        <v>4181</v>
      </c>
      <c r="V367" s="51" t="s">
        <v>953</v>
      </c>
    </row>
    <row r="368" spans="1:23" ht="30" customHeight="1">
      <c r="A368" s="13">
        <v>35</v>
      </c>
      <c r="B368" s="13">
        <v>6750</v>
      </c>
      <c r="C368" s="9" t="s">
        <v>954</v>
      </c>
      <c r="D368" s="57" t="s">
        <v>359</v>
      </c>
      <c r="E368" s="66" t="s">
        <v>878</v>
      </c>
      <c r="F368" s="12">
        <v>2500</v>
      </c>
      <c r="G368" s="12">
        <v>0</v>
      </c>
      <c r="H368" s="12">
        <v>0</v>
      </c>
      <c r="I368" s="12">
        <v>0</v>
      </c>
      <c r="J368" s="12">
        <v>0</v>
      </c>
      <c r="K368" s="12">
        <v>0</v>
      </c>
      <c r="L368" s="12">
        <v>0</v>
      </c>
      <c r="M368" s="12">
        <v>0</v>
      </c>
      <c r="N368" s="12">
        <f t="shared" si="57"/>
        <v>0</v>
      </c>
      <c r="O368" s="12">
        <v>2500</v>
      </c>
      <c r="P368" s="13">
        <v>0</v>
      </c>
      <c r="Q368" s="13">
        <v>0</v>
      </c>
      <c r="R368" s="14">
        <f t="shared" si="54"/>
        <v>2500</v>
      </c>
      <c r="S368" s="13">
        <f t="shared" si="55"/>
        <v>2600</v>
      </c>
      <c r="T368" s="13">
        <f t="shared" si="56"/>
        <v>2700</v>
      </c>
      <c r="U368" s="13" t="s">
        <v>4181</v>
      </c>
      <c r="V368" s="51" t="s">
        <v>955</v>
      </c>
    </row>
    <row r="369" spans="1:23" ht="30" customHeight="1">
      <c r="A369" s="60">
        <v>36</v>
      </c>
      <c r="B369" s="13">
        <v>6781</v>
      </c>
      <c r="C369" s="9" t="s">
        <v>956</v>
      </c>
      <c r="D369" s="57" t="s">
        <v>957</v>
      </c>
      <c r="E369" s="66" t="s">
        <v>878</v>
      </c>
      <c r="F369" s="12">
        <v>2500</v>
      </c>
      <c r="G369" s="12">
        <v>0</v>
      </c>
      <c r="H369" s="12">
        <v>0</v>
      </c>
      <c r="I369" s="12">
        <v>0</v>
      </c>
      <c r="J369" s="12">
        <v>0</v>
      </c>
      <c r="K369" s="12">
        <v>0</v>
      </c>
      <c r="L369" s="12">
        <v>0</v>
      </c>
      <c r="M369" s="12">
        <v>0</v>
      </c>
      <c r="N369" s="12">
        <f t="shared" si="57"/>
        <v>0</v>
      </c>
      <c r="O369" s="12">
        <v>0</v>
      </c>
      <c r="P369" s="13">
        <v>0</v>
      </c>
      <c r="Q369" s="13">
        <v>0</v>
      </c>
      <c r="R369" s="14">
        <f t="shared" si="54"/>
        <v>0</v>
      </c>
      <c r="S369" s="13">
        <f t="shared" si="55"/>
        <v>100</v>
      </c>
      <c r="T369" s="13">
        <f t="shared" si="56"/>
        <v>200</v>
      </c>
      <c r="U369" s="13" t="s">
        <v>4181</v>
      </c>
      <c r="V369" s="51" t="s">
        <v>958</v>
      </c>
    </row>
    <row r="370" spans="1:23" ht="30" customHeight="1">
      <c r="A370" s="62">
        <v>1</v>
      </c>
      <c r="B370" s="13">
        <v>4464</v>
      </c>
      <c r="C370" s="63" t="s">
        <v>962</v>
      </c>
      <c r="D370" s="63" t="s">
        <v>963</v>
      </c>
      <c r="E370" s="71" t="s">
        <v>964</v>
      </c>
      <c r="F370" s="60">
        <v>2500</v>
      </c>
      <c r="G370" s="60">
        <v>0</v>
      </c>
      <c r="H370" s="60">
        <v>0</v>
      </c>
      <c r="I370" s="60">
        <v>0</v>
      </c>
      <c r="J370" s="60">
        <v>0</v>
      </c>
      <c r="K370" s="60">
        <v>0</v>
      </c>
      <c r="L370" s="60">
        <v>0</v>
      </c>
      <c r="M370" s="60">
        <v>0</v>
      </c>
      <c r="N370" s="12">
        <f t="shared" si="57"/>
        <v>0</v>
      </c>
      <c r="O370" s="60">
        <v>2500</v>
      </c>
      <c r="P370" s="13">
        <v>0</v>
      </c>
      <c r="Q370" s="13">
        <v>0</v>
      </c>
      <c r="R370" s="14">
        <f t="shared" si="54"/>
        <v>2500</v>
      </c>
      <c r="S370" s="13">
        <f t="shared" si="55"/>
        <v>2600</v>
      </c>
      <c r="T370" s="13">
        <f t="shared" si="56"/>
        <v>2700</v>
      </c>
      <c r="U370" s="13" t="s">
        <v>4181</v>
      </c>
      <c r="V370" s="51" t="s">
        <v>965</v>
      </c>
    </row>
    <row r="371" spans="1:23" ht="30" customHeight="1">
      <c r="A371" s="62">
        <v>2</v>
      </c>
      <c r="B371" s="13">
        <v>4508</v>
      </c>
      <c r="C371" s="9" t="s">
        <v>57</v>
      </c>
      <c r="D371" s="9" t="s">
        <v>966</v>
      </c>
      <c r="E371" s="71" t="s">
        <v>964</v>
      </c>
      <c r="F371" s="13">
        <v>0</v>
      </c>
      <c r="G371" s="13">
        <v>0</v>
      </c>
      <c r="H371" s="13">
        <v>0</v>
      </c>
      <c r="I371" s="13">
        <v>0</v>
      </c>
      <c r="J371" s="13">
        <v>0</v>
      </c>
      <c r="K371" s="13">
        <v>0</v>
      </c>
      <c r="L371" s="13">
        <v>0</v>
      </c>
      <c r="M371" s="13">
        <v>0</v>
      </c>
      <c r="N371" s="12">
        <f t="shared" si="57"/>
        <v>0</v>
      </c>
      <c r="O371" s="13">
        <v>0</v>
      </c>
      <c r="P371" s="13">
        <v>0</v>
      </c>
      <c r="Q371" s="13">
        <v>0</v>
      </c>
      <c r="R371" s="14">
        <f t="shared" si="54"/>
        <v>0</v>
      </c>
      <c r="S371" s="13">
        <f t="shared" si="55"/>
        <v>100</v>
      </c>
      <c r="T371" s="13">
        <f t="shared" si="56"/>
        <v>200</v>
      </c>
      <c r="U371" s="13" t="s">
        <v>4181</v>
      </c>
      <c r="V371" s="72" t="s">
        <v>967</v>
      </c>
      <c r="W371" t="s">
        <v>968</v>
      </c>
    </row>
    <row r="372" spans="1:23" ht="30" customHeight="1">
      <c r="A372" s="62">
        <v>3</v>
      </c>
      <c r="B372" s="13">
        <v>4570</v>
      </c>
      <c r="C372" s="9" t="s">
        <v>969</v>
      </c>
      <c r="D372" s="9" t="s">
        <v>970</v>
      </c>
      <c r="E372" s="71" t="s">
        <v>964</v>
      </c>
      <c r="F372" s="13">
        <v>400</v>
      </c>
      <c r="G372" s="13">
        <v>0</v>
      </c>
      <c r="H372" s="13">
        <v>0</v>
      </c>
      <c r="I372" s="13">
        <v>0</v>
      </c>
      <c r="J372" s="13">
        <v>0</v>
      </c>
      <c r="K372" s="13">
        <v>0</v>
      </c>
      <c r="L372" s="13">
        <v>0</v>
      </c>
      <c r="M372" s="13">
        <v>0</v>
      </c>
      <c r="N372" s="12">
        <f t="shared" si="57"/>
        <v>0</v>
      </c>
      <c r="O372" s="13">
        <v>400</v>
      </c>
      <c r="P372" s="13">
        <v>0</v>
      </c>
      <c r="Q372" s="13">
        <v>0</v>
      </c>
      <c r="R372" s="14">
        <f t="shared" si="54"/>
        <v>400</v>
      </c>
      <c r="S372" s="13">
        <f t="shared" si="55"/>
        <v>500</v>
      </c>
      <c r="T372" s="13">
        <f t="shared" si="56"/>
        <v>600</v>
      </c>
      <c r="U372" s="13" t="s">
        <v>4181</v>
      </c>
      <c r="V372" s="72" t="s">
        <v>971</v>
      </c>
    </row>
    <row r="373" spans="1:23" ht="30" customHeight="1">
      <c r="A373" s="62">
        <v>4</v>
      </c>
      <c r="B373" s="13">
        <v>4587</v>
      </c>
      <c r="C373" s="63" t="s">
        <v>972</v>
      </c>
      <c r="D373" s="63" t="s">
        <v>973</v>
      </c>
      <c r="E373" s="71" t="s">
        <v>964</v>
      </c>
      <c r="F373" s="60">
        <v>2500</v>
      </c>
      <c r="G373" s="60">
        <v>0</v>
      </c>
      <c r="H373" s="60">
        <v>0</v>
      </c>
      <c r="I373" s="60">
        <v>0</v>
      </c>
      <c r="J373" s="60">
        <v>100</v>
      </c>
      <c r="K373" s="60">
        <v>2500</v>
      </c>
      <c r="L373" s="60">
        <v>2500</v>
      </c>
      <c r="M373" s="60">
        <v>2500</v>
      </c>
      <c r="N373" s="12">
        <f t="shared" si="57"/>
        <v>7600</v>
      </c>
      <c r="O373" s="60">
        <v>2500</v>
      </c>
      <c r="P373" s="13">
        <v>0</v>
      </c>
      <c r="Q373" s="13">
        <v>0</v>
      </c>
      <c r="R373" s="14">
        <f t="shared" si="54"/>
        <v>10100</v>
      </c>
      <c r="S373" s="13">
        <f t="shared" si="55"/>
        <v>10200</v>
      </c>
      <c r="T373" s="13">
        <f t="shared" si="56"/>
        <v>10300</v>
      </c>
      <c r="U373" s="13" t="s">
        <v>4181</v>
      </c>
      <c r="V373" s="51" t="s">
        <v>974</v>
      </c>
    </row>
    <row r="374" spans="1:23" ht="30" customHeight="1">
      <c r="A374" s="62">
        <v>5</v>
      </c>
      <c r="B374" s="13">
        <v>4627</v>
      </c>
      <c r="C374" s="9" t="s">
        <v>975</v>
      </c>
      <c r="D374" s="9" t="s">
        <v>113</v>
      </c>
      <c r="E374" s="71" t="s">
        <v>964</v>
      </c>
      <c r="F374" s="13">
        <v>2500</v>
      </c>
      <c r="G374" s="13">
        <v>0</v>
      </c>
      <c r="H374" s="13">
        <v>0</v>
      </c>
      <c r="I374" s="13">
        <v>0</v>
      </c>
      <c r="J374" s="13">
        <v>0</v>
      </c>
      <c r="K374" s="13">
        <v>0</v>
      </c>
      <c r="L374" s="13">
        <v>0</v>
      </c>
      <c r="M374" s="13">
        <v>0</v>
      </c>
      <c r="N374" s="12">
        <f t="shared" si="57"/>
        <v>0</v>
      </c>
      <c r="O374" s="13">
        <v>0</v>
      </c>
      <c r="P374" s="13">
        <v>0</v>
      </c>
      <c r="Q374" s="13">
        <v>0</v>
      </c>
      <c r="R374" s="14">
        <f t="shared" si="54"/>
        <v>0</v>
      </c>
      <c r="S374" s="13">
        <f t="shared" si="55"/>
        <v>100</v>
      </c>
      <c r="T374" s="13">
        <f t="shared" si="56"/>
        <v>200</v>
      </c>
      <c r="U374" s="13" t="s">
        <v>4181</v>
      </c>
      <c r="V374" s="23" t="s">
        <v>976</v>
      </c>
    </row>
    <row r="375" spans="1:23" ht="30" customHeight="1">
      <c r="A375" s="62">
        <v>6</v>
      </c>
      <c r="B375" s="13">
        <v>4631</v>
      </c>
      <c r="C375" s="9" t="s">
        <v>689</v>
      </c>
      <c r="D375" s="9" t="s">
        <v>977</v>
      </c>
      <c r="E375" s="71" t="s">
        <v>964</v>
      </c>
      <c r="F375" s="13">
        <v>2500</v>
      </c>
      <c r="G375" s="13">
        <v>0</v>
      </c>
      <c r="H375" s="13">
        <v>0</v>
      </c>
      <c r="I375" s="13">
        <v>0</v>
      </c>
      <c r="J375" s="13">
        <v>0</v>
      </c>
      <c r="K375" s="13">
        <v>0</v>
      </c>
      <c r="L375" s="13">
        <v>0</v>
      </c>
      <c r="M375" s="13">
        <v>0</v>
      </c>
      <c r="N375" s="12">
        <f t="shared" si="57"/>
        <v>0</v>
      </c>
      <c r="O375" s="13">
        <v>0</v>
      </c>
      <c r="P375" s="13">
        <v>0</v>
      </c>
      <c r="Q375" s="13">
        <v>0</v>
      </c>
      <c r="R375" s="14">
        <f t="shared" si="54"/>
        <v>0</v>
      </c>
      <c r="S375" s="13">
        <f t="shared" si="55"/>
        <v>100</v>
      </c>
      <c r="T375" s="13">
        <f t="shared" si="56"/>
        <v>200</v>
      </c>
      <c r="U375" s="13" t="s">
        <v>4181</v>
      </c>
      <c r="V375" s="72" t="s">
        <v>978</v>
      </c>
    </row>
    <row r="376" spans="1:23" ht="30" customHeight="1">
      <c r="A376" s="62">
        <v>7</v>
      </c>
      <c r="B376" s="13">
        <v>4681</v>
      </c>
      <c r="C376" s="63" t="s">
        <v>979</v>
      </c>
      <c r="D376" s="63" t="s">
        <v>550</v>
      </c>
      <c r="E376" s="71" t="s">
        <v>964</v>
      </c>
      <c r="F376" s="60">
        <v>1400</v>
      </c>
      <c r="G376" s="60">
        <v>0</v>
      </c>
      <c r="H376" s="60">
        <v>0</v>
      </c>
      <c r="I376" s="60">
        <v>0</v>
      </c>
      <c r="J376" s="60">
        <v>0</v>
      </c>
      <c r="K376" s="60">
        <v>0</v>
      </c>
      <c r="L376" s="60">
        <v>0</v>
      </c>
      <c r="M376" s="60">
        <v>0</v>
      </c>
      <c r="N376" s="12">
        <f t="shared" si="57"/>
        <v>0</v>
      </c>
      <c r="O376" s="60">
        <v>0</v>
      </c>
      <c r="P376" s="13">
        <v>0</v>
      </c>
      <c r="Q376" s="13">
        <v>0</v>
      </c>
      <c r="R376" s="14">
        <f t="shared" si="54"/>
        <v>0</v>
      </c>
      <c r="S376" s="13">
        <f t="shared" si="55"/>
        <v>100</v>
      </c>
      <c r="T376" s="13">
        <f t="shared" si="56"/>
        <v>200</v>
      </c>
      <c r="U376" s="13" t="s">
        <v>4181</v>
      </c>
      <c r="V376" s="51" t="s">
        <v>551</v>
      </c>
    </row>
    <row r="377" spans="1:23" ht="30" customHeight="1">
      <c r="A377" s="62">
        <v>8</v>
      </c>
      <c r="B377" s="13">
        <v>4705</v>
      </c>
      <c r="C377" s="9" t="s">
        <v>980</v>
      </c>
      <c r="D377" s="9" t="s">
        <v>981</v>
      </c>
      <c r="E377" s="71" t="s">
        <v>964</v>
      </c>
      <c r="F377" s="13">
        <v>2500</v>
      </c>
      <c r="G377" s="13">
        <v>0</v>
      </c>
      <c r="H377" s="13">
        <v>0</v>
      </c>
      <c r="I377" s="13">
        <v>0</v>
      </c>
      <c r="J377" s="13">
        <v>0</v>
      </c>
      <c r="K377" s="13">
        <v>0</v>
      </c>
      <c r="L377" s="13">
        <v>0</v>
      </c>
      <c r="M377" s="13">
        <v>0</v>
      </c>
      <c r="N377" s="12">
        <f t="shared" si="57"/>
        <v>0</v>
      </c>
      <c r="O377" s="13">
        <v>0</v>
      </c>
      <c r="P377" s="13">
        <v>0</v>
      </c>
      <c r="Q377" s="13">
        <v>0</v>
      </c>
      <c r="R377" s="14">
        <f t="shared" si="54"/>
        <v>0</v>
      </c>
      <c r="S377" s="13">
        <f t="shared" si="55"/>
        <v>100</v>
      </c>
      <c r="T377" s="13">
        <f t="shared" si="56"/>
        <v>200</v>
      </c>
      <c r="U377" s="13" t="s">
        <v>4181</v>
      </c>
      <c r="V377" s="72" t="s">
        <v>4098</v>
      </c>
    </row>
    <row r="378" spans="1:23" ht="30" customHeight="1">
      <c r="A378" s="62">
        <v>9</v>
      </c>
      <c r="B378" s="13">
        <v>4829</v>
      </c>
      <c r="C378" s="9" t="s">
        <v>924</v>
      </c>
      <c r="D378" s="9" t="s">
        <v>982</v>
      </c>
      <c r="E378" s="71" t="s">
        <v>964</v>
      </c>
      <c r="F378" s="13">
        <v>2500</v>
      </c>
      <c r="G378" s="13">
        <v>0</v>
      </c>
      <c r="H378" s="13">
        <v>0</v>
      </c>
      <c r="I378" s="13">
        <v>0</v>
      </c>
      <c r="J378" s="13">
        <v>0</v>
      </c>
      <c r="K378" s="13">
        <v>0</v>
      </c>
      <c r="L378" s="13">
        <v>0</v>
      </c>
      <c r="M378" s="13">
        <v>0</v>
      </c>
      <c r="N378" s="12">
        <f t="shared" si="57"/>
        <v>0</v>
      </c>
      <c r="O378" s="13">
        <v>0</v>
      </c>
      <c r="P378" s="13">
        <v>0</v>
      </c>
      <c r="Q378" s="13">
        <v>0</v>
      </c>
      <c r="R378" s="14">
        <f t="shared" si="54"/>
        <v>0</v>
      </c>
      <c r="S378" s="13">
        <f t="shared" si="55"/>
        <v>100</v>
      </c>
      <c r="T378" s="13">
        <f t="shared" si="56"/>
        <v>200</v>
      </c>
      <c r="U378" s="13" t="s">
        <v>4181</v>
      </c>
      <c r="V378" s="72" t="s">
        <v>983</v>
      </c>
    </row>
    <row r="379" spans="1:23" ht="30" customHeight="1">
      <c r="A379" s="62">
        <v>10</v>
      </c>
      <c r="B379" s="13">
        <v>4857</v>
      </c>
      <c r="C379" s="9" t="s">
        <v>984</v>
      </c>
      <c r="D379" s="9" t="s">
        <v>985</v>
      </c>
      <c r="E379" s="71" t="s">
        <v>964</v>
      </c>
      <c r="F379" s="13">
        <v>2300</v>
      </c>
      <c r="G379" s="13">
        <v>0</v>
      </c>
      <c r="H379" s="13">
        <v>0</v>
      </c>
      <c r="I379" s="13">
        <v>0</v>
      </c>
      <c r="J379" s="13">
        <v>0</v>
      </c>
      <c r="K379" s="13">
        <v>0</v>
      </c>
      <c r="L379" s="13">
        <v>0</v>
      </c>
      <c r="M379" s="13">
        <v>0</v>
      </c>
      <c r="N379" s="12">
        <f t="shared" si="57"/>
        <v>0</v>
      </c>
      <c r="O379" s="13">
        <v>0</v>
      </c>
      <c r="P379" s="13">
        <v>0</v>
      </c>
      <c r="Q379" s="13">
        <v>0</v>
      </c>
      <c r="R379" s="14">
        <f t="shared" si="54"/>
        <v>0</v>
      </c>
      <c r="S379" s="13">
        <f t="shared" si="55"/>
        <v>100</v>
      </c>
      <c r="T379" s="13">
        <f t="shared" si="56"/>
        <v>200</v>
      </c>
      <c r="U379" s="13" t="s">
        <v>4181</v>
      </c>
      <c r="V379" s="15" t="s">
        <v>986</v>
      </c>
    </row>
    <row r="380" spans="1:23" ht="30" customHeight="1">
      <c r="A380" s="62">
        <v>11</v>
      </c>
      <c r="B380" s="13">
        <v>4937</v>
      </c>
      <c r="C380" s="9" t="s">
        <v>640</v>
      </c>
      <c r="D380" s="9" t="s">
        <v>987</v>
      </c>
      <c r="E380" s="71" t="s">
        <v>964</v>
      </c>
      <c r="F380" s="13">
        <v>2500</v>
      </c>
      <c r="G380" s="13">
        <v>0</v>
      </c>
      <c r="H380" s="13">
        <v>0</v>
      </c>
      <c r="I380" s="13">
        <v>0</v>
      </c>
      <c r="J380" s="13">
        <v>0</v>
      </c>
      <c r="K380" s="13">
        <v>0</v>
      </c>
      <c r="L380" s="13">
        <v>0</v>
      </c>
      <c r="M380" s="13">
        <v>0</v>
      </c>
      <c r="N380" s="12">
        <f t="shared" si="57"/>
        <v>0</v>
      </c>
      <c r="O380" s="13">
        <v>0</v>
      </c>
      <c r="P380" s="13">
        <v>0</v>
      </c>
      <c r="Q380" s="13">
        <v>0</v>
      </c>
      <c r="R380" s="14">
        <f t="shared" si="54"/>
        <v>0</v>
      </c>
      <c r="S380" s="13">
        <f t="shared" si="55"/>
        <v>100</v>
      </c>
      <c r="T380" s="13">
        <f t="shared" si="56"/>
        <v>200</v>
      </c>
      <c r="U380" s="13" t="s">
        <v>4181</v>
      </c>
      <c r="V380" s="15" t="s">
        <v>988</v>
      </c>
    </row>
    <row r="381" spans="1:23" ht="30" customHeight="1">
      <c r="A381" s="62">
        <v>12</v>
      </c>
      <c r="B381" s="13">
        <v>4999</v>
      </c>
      <c r="C381" s="9" t="s">
        <v>989</v>
      </c>
      <c r="D381" s="9" t="s">
        <v>456</v>
      </c>
      <c r="E381" s="71" t="s">
        <v>964</v>
      </c>
      <c r="F381" s="13">
        <v>1600</v>
      </c>
      <c r="G381" s="13">
        <v>0</v>
      </c>
      <c r="H381" s="13">
        <v>0</v>
      </c>
      <c r="I381" s="13">
        <v>0</v>
      </c>
      <c r="J381" s="13">
        <v>0</v>
      </c>
      <c r="K381" s="13">
        <v>0</v>
      </c>
      <c r="L381" s="13">
        <v>0</v>
      </c>
      <c r="M381" s="13">
        <v>200</v>
      </c>
      <c r="N381" s="12">
        <f t="shared" si="57"/>
        <v>200</v>
      </c>
      <c r="O381" s="13">
        <v>1600</v>
      </c>
      <c r="P381" s="13">
        <v>0</v>
      </c>
      <c r="Q381" s="13">
        <v>0</v>
      </c>
      <c r="R381" s="14">
        <f t="shared" si="54"/>
        <v>1800</v>
      </c>
      <c r="S381" s="13">
        <f t="shared" si="55"/>
        <v>1900</v>
      </c>
      <c r="T381" s="13">
        <f t="shared" si="56"/>
        <v>2000</v>
      </c>
      <c r="U381" s="13" t="s">
        <v>4181</v>
      </c>
      <c r="V381" s="15" t="s">
        <v>457</v>
      </c>
    </row>
    <row r="382" spans="1:23" ht="30" customHeight="1">
      <c r="A382" s="62">
        <v>13</v>
      </c>
      <c r="B382" s="13">
        <v>6009</v>
      </c>
      <c r="C382" s="9" t="s">
        <v>990</v>
      </c>
      <c r="D382" s="9" t="s">
        <v>991</v>
      </c>
      <c r="E382" s="71" t="s">
        <v>964</v>
      </c>
      <c r="F382" s="13">
        <v>1500</v>
      </c>
      <c r="G382" s="13">
        <v>0</v>
      </c>
      <c r="H382" s="13">
        <v>0</v>
      </c>
      <c r="I382" s="13">
        <v>0</v>
      </c>
      <c r="J382" s="13">
        <v>0</v>
      </c>
      <c r="K382" s="13">
        <v>0</v>
      </c>
      <c r="L382" s="13">
        <v>0</v>
      </c>
      <c r="M382" s="13">
        <v>0</v>
      </c>
      <c r="N382" s="12">
        <f t="shared" si="57"/>
        <v>0</v>
      </c>
      <c r="O382" s="13">
        <v>0</v>
      </c>
      <c r="P382" s="13">
        <v>0</v>
      </c>
      <c r="Q382" s="13">
        <v>0</v>
      </c>
      <c r="R382" s="14">
        <f t="shared" si="54"/>
        <v>0</v>
      </c>
      <c r="S382" s="13">
        <f t="shared" si="55"/>
        <v>100</v>
      </c>
      <c r="T382" s="13">
        <f t="shared" si="56"/>
        <v>200</v>
      </c>
      <c r="U382" s="13" t="s">
        <v>4181</v>
      </c>
      <c r="V382" s="72" t="s">
        <v>992</v>
      </c>
    </row>
    <row r="383" spans="1:23" ht="30" customHeight="1">
      <c r="A383" s="62">
        <v>14</v>
      </c>
      <c r="B383" s="13">
        <v>6028</v>
      </c>
      <c r="C383" s="9" t="s">
        <v>410</v>
      </c>
      <c r="D383" s="9" t="s">
        <v>993</v>
      </c>
      <c r="E383" s="71" t="s">
        <v>964</v>
      </c>
      <c r="F383" s="13">
        <v>2500</v>
      </c>
      <c r="G383" s="13">
        <v>0</v>
      </c>
      <c r="H383" s="13">
        <v>0</v>
      </c>
      <c r="I383" s="13">
        <v>0</v>
      </c>
      <c r="J383" s="13">
        <v>0</v>
      </c>
      <c r="K383" s="13">
        <v>0</v>
      </c>
      <c r="L383" s="13">
        <v>0</v>
      </c>
      <c r="M383" s="13">
        <v>0</v>
      </c>
      <c r="N383" s="12">
        <f t="shared" si="57"/>
        <v>0</v>
      </c>
      <c r="O383" s="13">
        <v>0</v>
      </c>
      <c r="P383" s="13">
        <v>0</v>
      </c>
      <c r="Q383" s="13">
        <v>0</v>
      </c>
      <c r="R383" s="14">
        <f t="shared" si="54"/>
        <v>0</v>
      </c>
      <c r="S383" s="13">
        <f t="shared" si="55"/>
        <v>100</v>
      </c>
      <c r="T383" s="13">
        <f t="shared" si="56"/>
        <v>200</v>
      </c>
      <c r="U383" s="13" t="s">
        <v>4181</v>
      </c>
      <c r="V383" s="72" t="s">
        <v>994</v>
      </c>
    </row>
    <row r="384" spans="1:23" ht="30" customHeight="1">
      <c r="A384" s="62">
        <v>15</v>
      </c>
      <c r="B384" s="13">
        <v>6046</v>
      </c>
      <c r="C384" s="9" t="s">
        <v>995</v>
      </c>
      <c r="D384" s="9" t="s">
        <v>996</v>
      </c>
      <c r="E384" s="71" t="s">
        <v>964</v>
      </c>
      <c r="F384" s="13">
        <v>2100</v>
      </c>
      <c r="G384" s="13">
        <v>0</v>
      </c>
      <c r="H384" s="13">
        <v>0</v>
      </c>
      <c r="I384" s="13">
        <v>0</v>
      </c>
      <c r="J384" s="13">
        <v>0</v>
      </c>
      <c r="K384" s="13">
        <v>0</v>
      </c>
      <c r="L384" s="13">
        <v>0</v>
      </c>
      <c r="M384" s="13">
        <v>0</v>
      </c>
      <c r="N384" s="12">
        <f t="shared" si="57"/>
        <v>0</v>
      </c>
      <c r="O384" s="13">
        <v>2100</v>
      </c>
      <c r="P384" s="13">
        <v>0</v>
      </c>
      <c r="Q384" s="13">
        <v>0</v>
      </c>
      <c r="R384" s="14">
        <f t="shared" si="54"/>
        <v>2100</v>
      </c>
      <c r="S384" s="13">
        <f t="shared" si="55"/>
        <v>2200</v>
      </c>
      <c r="T384" s="13">
        <f t="shared" si="56"/>
        <v>2300</v>
      </c>
      <c r="U384" s="13" t="s">
        <v>4181</v>
      </c>
      <c r="V384" s="15" t="s">
        <v>997</v>
      </c>
    </row>
    <row r="385" spans="1:23" ht="30" customHeight="1">
      <c r="A385" s="62">
        <v>16</v>
      </c>
      <c r="B385" s="13">
        <v>6195</v>
      </c>
      <c r="C385" s="9" t="s">
        <v>1000</v>
      </c>
      <c r="D385" s="9" t="s">
        <v>1001</v>
      </c>
      <c r="E385" s="71" t="s">
        <v>964</v>
      </c>
      <c r="F385" s="13">
        <v>2500</v>
      </c>
      <c r="G385" s="13">
        <v>0</v>
      </c>
      <c r="H385" s="13">
        <v>0</v>
      </c>
      <c r="I385" s="13">
        <v>0</v>
      </c>
      <c r="J385" s="13">
        <v>0</v>
      </c>
      <c r="K385" s="13">
        <v>0</v>
      </c>
      <c r="L385" s="13">
        <v>0</v>
      </c>
      <c r="M385" s="13">
        <v>0</v>
      </c>
      <c r="N385" s="12">
        <f t="shared" si="57"/>
        <v>0</v>
      </c>
      <c r="O385" s="13">
        <v>0</v>
      </c>
      <c r="P385" s="13">
        <v>0</v>
      </c>
      <c r="Q385" s="13">
        <v>0</v>
      </c>
      <c r="R385" s="14">
        <f t="shared" si="54"/>
        <v>0</v>
      </c>
      <c r="S385" s="13">
        <f t="shared" si="55"/>
        <v>100</v>
      </c>
      <c r="T385" s="13">
        <f t="shared" si="56"/>
        <v>200</v>
      </c>
      <c r="U385" s="13" t="s">
        <v>4181</v>
      </c>
      <c r="V385" s="15" t="s">
        <v>1002</v>
      </c>
    </row>
    <row r="386" spans="1:23" ht="30" customHeight="1">
      <c r="A386" s="62">
        <v>17</v>
      </c>
      <c r="B386" s="13">
        <v>6234</v>
      </c>
      <c r="C386" s="9" t="s">
        <v>1003</v>
      </c>
      <c r="D386" s="9" t="s">
        <v>935</v>
      </c>
      <c r="E386" s="71" t="s">
        <v>964</v>
      </c>
      <c r="F386" s="13">
        <v>2500</v>
      </c>
      <c r="G386" s="13">
        <v>0</v>
      </c>
      <c r="H386" s="13">
        <v>0</v>
      </c>
      <c r="I386" s="13">
        <v>0</v>
      </c>
      <c r="J386" s="13">
        <v>0</v>
      </c>
      <c r="K386" s="13">
        <v>0</v>
      </c>
      <c r="L386" s="13">
        <v>0</v>
      </c>
      <c r="M386" s="13">
        <v>0</v>
      </c>
      <c r="N386" s="12">
        <f t="shared" si="57"/>
        <v>0</v>
      </c>
      <c r="O386" s="13">
        <v>0</v>
      </c>
      <c r="P386" s="13">
        <v>0</v>
      </c>
      <c r="Q386" s="13">
        <v>0</v>
      </c>
      <c r="R386" s="14">
        <f t="shared" si="54"/>
        <v>0</v>
      </c>
      <c r="S386" s="13">
        <f t="shared" si="55"/>
        <v>100</v>
      </c>
      <c r="T386" s="13">
        <f t="shared" si="56"/>
        <v>200</v>
      </c>
      <c r="U386" s="13" t="s">
        <v>4181</v>
      </c>
      <c r="V386" s="15" t="s">
        <v>1004</v>
      </c>
      <c r="W386" t="s">
        <v>1005</v>
      </c>
    </row>
    <row r="387" spans="1:23" ht="30" customHeight="1">
      <c r="A387" s="62">
        <v>18</v>
      </c>
      <c r="B387" s="13">
        <v>6272</v>
      </c>
      <c r="C387" s="9" t="s">
        <v>1009</v>
      </c>
      <c r="D387" s="9" t="s">
        <v>627</v>
      </c>
      <c r="E387" s="71" t="s">
        <v>964</v>
      </c>
      <c r="F387" s="13">
        <v>2500</v>
      </c>
      <c r="G387" s="13">
        <v>0</v>
      </c>
      <c r="H387" s="13">
        <v>0</v>
      </c>
      <c r="I387" s="13">
        <v>0</v>
      </c>
      <c r="J387" s="13">
        <v>0</v>
      </c>
      <c r="K387" s="13">
        <v>0</v>
      </c>
      <c r="L387" s="13">
        <v>0</v>
      </c>
      <c r="M387" s="13">
        <v>0</v>
      </c>
      <c r="N387" s="12">
        <f t="shared" si="57"/>
        <v>0</v>
      </c>
      <c r="O387" s="13">
        <v>2500</v>
      </c>
      <c r="P387" s="13">
        <v>0</v>
      </c>
      <c r="Q387" s="13">
        <v>0</v>
      </c>
      <c r="R387" s="14">
        <f t="shared" si="54"/>
        <v>2500</v>
      </c>
      <c r="S387" s="13">
        <f t="shared" si="55"/>
        <v>2600</v>
      </c>
      <c r="T387" s="13">
        <f t="shared" si="56"/>
        <v>2700</v>
      </c>
      <c r="U387" s="13" t="s">
        <v>4181</v>
      </c>
      <c r="V387" s="15" t="s">
        <v>503</v>
      </c>
    </row>
    <row r="388" spans="1:23" ht="30" customHeight="1">
      <c r="A388" s="62">
        <v>19</v>
      </c>
      <c r="B388" s="13">
        <v>6326</v>
      </c>
      <c r="C388" s="9" t="s">
        <v>1010</v>
      </c>
      <c r="D388" s="9" t="s">
        <v>92</v>
      </c>
      <c r="E388" s="71" t="s">
        <v>964</v>
      </c>
      <c r="F388" s="13">
        <v>2500</v>
      </c>
      <c r="G388" s="13">
        <v>0</v>
      </c>
      <c r="H388" s="13">
        <v>0</v>
      </c>
      <c r="I388" s="13">
        <v>0</v>
      </c>
      <c r="J388" s="13">
        <v>0</v>
      </c>
      <c r="K388" s="13">
        <v>0</v>
      </c>
      <c r="L388" s="13">
        <v>0</v>
      </c>
      <c r="M388" s="13">
        <v>0</v>
      </c>
      <c r="N388" s="12">
        <f t="shared" si="57"/>
        <v>0</v>
      </c>
      <c r="O388" s="13">
        <v>0</v>
      </c>
      <c r="P388" s="13">
        <v>0</v>
      </c>
      <c r="Q388" s="13">
        <v>0</v>
      </c>
      <c r="R388" s="14">
        <f t="shared" si="54"/>
        <v>0</v>
      </c>
      <c r="S388" s="13">
        <f t="shared" si="55"/>
        <v>100</v>
      </c>
      <c r="T388" s="13">
        <f t="shared" si="56"/>
        <v>200</v>
      </c>
      <c r="U388" s="13" t="s">
        <v>4181</v>
      </c>
      <c r="V388" s="15" t="s">
        <v>1011</v>
      </c>
      <c r="W388" t="s">
        <v>1012</v>
      </c>
    </row>
    <row r="389" spans="1:23" ht="30" customHeight="1">
      <c r="A389" s="62">
        <v>20</v>
      </c>
      <c r="B389" s="13">
        <v>6381</v>
      </c>
      <c r="C389" s="9" t="s">
        <v>1013</v>
      </c>
      <c r="D389" s="9" t="s">
        <v>1014</v>
      </c>
      <c r="E389" s="71" t="s">
        <v>964</v>
      </c>
      <c r="F389" s="13">
        <v>1400</v>
      </c>
      <c r="G389" s="13">
        <v>0</v>
      </c>
      <c r="H389" s="13">
        <v>0</v>
      </c>
      <c r="I389" s="13">
        <v>0</v>
      </c>
      <c r="J389" s="13">
        <v>0</v>
      </c>
      <c r="K389" s="13">
        <v>0</v>
      </c>
      <c r="L389" s="13">
        <v>0</v>
      </c>
      <c r="M389" s="13">
        <v>0</v>
      </c>
      <c r="N389" s="12">
        <f t="shared" si="57"/>
        <v>0</v>
      </c>
      <c r="O389" s="13">
        <v>0</v>
      </c>
      <c r="P389" s="13">
        <v>0</v>
      </c>
      <c r="Q389" s="13">
        <v>0</v>
      </c>
      <c r="R389" s="14">
        <f t="shared" ref="R389:R452" si="60">(SUM(N389:Q389))</f>
        <v>0</v>
      </c>
      <c r="S389" s="13">
        <f t="shared" si="55"/>
        <v>100</v>
      </c>
      <c r="T389" s="13">
        <f t="shared" si="56"/>
        <v>200</v>
      </c>
      <c r="U389" s="13" t="s">
        <v>4181</v>
      </c>
      <c r="V389" s="15" t="s">
        <v>1015</v>
      </c>
    </row>
    <row r="390" spans="1:23" ht="30" customHeight="1">
      <c r="A390" s="62">
        <v>21</v>
      </c>
      <c r="B390" s="13">
        <v>6430</v>
      </c>
      <c r="C390" s="9" t="s">
        <v>1016</v>
      </c>
      <c r="D390" s="57" t="s">
        <v>542</v>
      </c>
      <c r="E390" s="71" t="s">
        <v>964</v>
      </c>
      <c r="F390" s="12">
        <v>2500</v>
      </c>
      <c r="G390" s="12">
        <v>0</v>
      </c>
      <c r="H390" s="12">
        <v>0</v>
      </c>
      <c r="I390" s="12">
        <v>0</v>
      </c>
      <c r="J390" s="12">
        <v>0</v>
      </c>
      <c r="K390" s="12">
        <v>0</v>
      </c>
      <c r="L390" s="12">
        <v>0</v>
      </c>
      <c r="M390" s="12">
        <v>0</v>
      </c>
      <c r="N390" s="12">
        <f t="shared" ref="N390:N453" si="61">(SUM(G390:M390))</f>
        <v>0</v>
      </c>
      <c r="O390" s="12">
        <v>0</v>
      </c>
      <c r="P390" s="13">
        <v>0</v>
      </c>
      <c r="Q390" s="13">
        <v>0</v>
      </c>
      <c r="R390" s="14">
        <f t="shared" si="60"/>
        <v>0</v>
      </c>
      <c r="S390" s="13">
        <f t="shared" ref="S390:S421" si="62">R390+100</f>
        <v>100</v>
      </c>
      <c r="T390" s="13">
        <f t="shared" ref="T390:T421" si="63">R390+200</f>
        <v>200</v>
      </c>
      <c r="U390" s="13" t="s">
        <v>4181</v>
      </c>
      <c r="V390" s="51" t="s">
        <v>543</v>
      </c>
    </row>
    <row r="391" spans="1:23" ht="30" customHeight="1">
      <c r="A391" s="62">
        <v>22</v>
      </c>
      <c r="B391" s="13">
        <v>6525</v>
      </c>
      <c r="C391" s="9" t="s">
        <v>1017</v>
      </c>
      <c r="D391" s="57" t="s">
        <v>631</v>
      </c>
      <c r="E391" s="71" t="s">
        <v>964</v>
      </c>
      <c r="F391" s="12">
        <v>1400</v>
      </c>
      <c r="G391" s="12">
        <v>0</v>
      </c>
      <c r="H391" s="12">
        <v>0</v>
      </c>
      <c r="I391" s="12">
        <v>0</v>
      </c>
      <c r="J391" s="12">
        <v>0</v>
      </c>
      <c r="K391" s="12">
        <v>0</v>
      </c>
      <c r="L391" s="12">
        <v>0</v>
      </c>
      <c r="M391" s="12">
        <v>0</v>
      </c>
      <c r="N391" s="12">
        <f t="shared" si="61"/>
        <v>0</v>
      </c>
      <c r="O391" s="12">
        <v>0</v>
      </c>
      <c r="P391" s="13">
        <v>0</v>
      </c>
      <c r="Q391" s="13">
        <v>0</v>
      </c>
      <c r="R391" s="14">
        <f t="shared" si="60"/>
        <v>0</v>
      </c>
      <c r="S391" s="13">
        <f t="shared" si="62"/>
        <v>100</v>
      </c>
      <c r="T391" s="13">
        <f t="shared" si="63"/>
        <v>200</v>
      </c>
      <c r="U391" s="13" t="s">
        <v>4181</v>
      </c>
      <c r="V391" s="51" t="s">
        <v>632</v>
      </c>
      <c r="W391" t="s">
        <v>257</v>
      </c>
    </row>
    <row r="392" spans="1:23" ht="30" customHeight="1">
      <c r="A392" s="62">
        <v>23</v>
      </c>
      <c r="B392" s="13">
        <v>6535</v>
      </c>
      <c r="C392" s="9" t="s">
        <v>1018</v>
      </c>
      <c r="D392" s="57" t="s">
        <v>165</v>
      </c>
      <c r="E392" s="71" t="s">
        <v>964</v>
      </c>
      <c r="F392" s="12">
        <v>2500</v>
      </c>
      <c r="G392" s="12">
        <v>0</v>
      </c>
      <c r="H392" s="12">
        <v>0</v>
      </c>
      <c r="I392" s="12">
        <v>0</v>
      </c>
      <c r="J392" s="12">
        <v>0</v>
      </c>
      <c r="K392" s="12">
        <v>0</v>
      </c>
      <c r="L392" s="12">
        <v>0</v>
      </c>
      <c r="M392" s="12">
        <v>0</v>
      </c>
      <c r="N392" s="12">
        <f t="shared" si="61"/>
        <v>0</v>
      </c>
      <c r="O392" s="12">
        <v>0</v>
      </c>
      <c r="P392" s="13">
        <v>0</v>
      </c>
      <c r="Q392" s="13">
        <v>0</v>
      </c>
      <c r="R392" s="14">
        <f t="shared" si="60"/>
        <v>0</v>
      </c>
      <c r="S392" s="13">
        <f t="shared" si="62"/>
        <v>100</v>
      </c>
      <c r="T392" s="13">
        <f t="shared" si="63"/>
        <v>200</v>
      </c>
      <c r="U392" s="13" t="s">
        <v>4181</v>
      </c>
      <c r="V392" s="51" t="s">
        <v>1019</v>
      </c>
    </row>
    <row r="393" spans="1:23" ht="30" customHeight="1">
      <c r="A393" s="62">
        <v>24</v>
      </c>
      <c r="B393" s="13">
        <v>6573</v>
      </c>
      <c r="C393" s="9" t="s">
        <v>1020</v>
      </c>
      <c r="D393" s="57" t="s">
        <v>310</v>
      </c>
      <c r="E393" s="71" t="s">
        <v>964</v>
      </c>
      <c r="F393" s="12">
        <v>2500</v>
      </c>
      <c r="G393" s="12">
        <v>0</v>
      </c>
      <c r="H393" s="12">
        <v>0</v>
      </c>
      <c r="I393" s="12">
        <v>0</v>
      </c>
      <c r="J393" s="12">
        <v>0</v>
      </c>
      <c r="K393" s="12">
        <v>0</v>
      </c>
      <c r="L393" s="12">
        <v>0</v>
      </c>
      <c r="M393" s="12">
        <v>0</v>
      </c>
      <c r="N393" s="12">
        <f t="shared" si="61"/>
        <v>0</v>
      </c>
      <c r="O393" s="12">
        <v>0</v>
      </c>
      <c r="P393" s="13">
        <v>0</v>
      </c>
      <c r="Q393" s="13">
        <v>0</v>
      </c>
      <c r="R393" s="14">
        <f t="shared" si="60"/>
        <v>0</v>
      </c>
      <c r="S393" s="13">
        <f t="shared" si="62"/>
        <v>100</v>
      </c>
      <c r="T393" s="13">
        <f t="shared" si="63"/>
        <v>200</v>
      </c>
      <c r="U393" s="13" t="s">
        <v>4181</v>
      </c>
      <c r="V393" s="51" t="s">
        <v>311</v>
      </c>
    </row>
    <row r="394" spans="1:23" ht="30" customHeight="1">
      <c r="A394" s="62">
        <v>25</v>
      </c>
      <c r="B394" s="13">
        <v>6605</v>
      </c>
      <c r="C394" s="9" t="s">
        <v>1021</v>
      </c>
      <c r="D394" s="9" t="s">
        <v>1022</v>
      </c>
      <c r="E394" s="71" t="s">
        <v>964</v>
      </c>
      <c r="F394" s="13">
        <v>2500</v>
      </c>
      <c r="G394" s="13">
        <v>0</v>
      </c>
      <c r="H394" s="13">
        <v>0</v>
      </c>
      <c r="I394" s="13">
        <v>0</v>
      </c>
      <c r="J394" s="13">
        <v>0</v>
      </c>
      <c r="K394" s="13">
        <v>0</v>
      </c>
      <c r="L394" s="13">
        <v>0</v>
      </c>
      <c r="M394" s="13">
        <v>0</v>
      </c>
      <c r="N394" s="12">
        <f t="shared" si="61"/>
        <v>0</v>
      </c>
      <c r="O394" s="13">
        <v>0</v>
      </c>
      <c r="P394" s="13">
        <v>0</v>
      </c>
      <c r="Q394" s="13">
        <v>0</v>
      </c>
      <c r="R394" s="14">
        <f t="shared" si="60"/>
        <v>0</v>
      </c>
      <c r="S394" s="13">
        <f t="shared" si="62"/>
        <v>100</v>
      </c>
      <c r="T394" s="13">
        <f t="shared" si="63"/>
        <v>200</v>
      </c>
      <c r="U394" s="13" t="s">
        <v>4181</v>
      </c>
      <c r="V394" s="72" t="s">
        <v>1023</v>
      </c>
    </row>
    <row r="395" spans="1:23" ht="30" customHeight="1">
      <c r="A395" s="62">
        <v>26</v>
      </c>
      <c r="B395" s="13">
        <v>6660</v>
      </c>
      <c r="C395" s="9" t="s">
        <v>1024</v>
      </c>
      <c r="D395" s="9" t="s">
        <v>139</v>
      </c>
      <c r="E395" s="71" t="s">
        <v>964</v>
      </c>
      <c r="F395" s="13">
        <v>2000</v>
      </c>
      <c r="G395" s="13">
        <v>0</v>
      </c>
      <c r="H395" s="13">
        <v>0</v>
      </c>
      <c r="I395" s="13">
        <v>0</v>
      </c>
      <c r="J395" s="13">
        <v>0</v>
      </c>
      <c r="K395" s="13">
        <v>0</v>
      </c>
      <c r="L395" s="13">
        <v>0</v>
      </c>
      <c r="M395" s="13">
        <v>0</v>
      </c>
      <c r="N395" s="12">
        <f t="shared" si="61"/>
        <v>0</v>
      </c>
      <c r="O395" s="13">
        <v>0</v>
      </c>
      <c r="P395" s="13">
        <v>0</v>
      </c>
      <c r="Q395" s="13">
        <v>0</v>
      </c>
      <c r="R395" s="14">
        <f t="shared" si="60"/>
        <v>0</v>
      </c>
      <c r="S395" s="13">
        <f t="shared" si="62"/>
        <v>100</v>
      </c>
      <c r="T395" s="13">
        <f t="shared" si="63"/>
        <v>200</v>
      </c>
      <c r="U395" s="13" t="s">
        <v>4181</v>
      </c>
      <c r="V395" s="72" t="s">
        <v>1025</v>
      </c>
    </row>
    <row r="396" spans="1:23" ht="30" customHeight="1">
      <c r="A396" s="62">
        <v>27</v>
      </c>
      <c r="B396" s="13">
        <v>6662</v>
      </c>
      <c r="C396" s="9" t="s">
        <v>1026</v>
      </c>
      <c r="D396" s="9" t="s">
        <v>92</v>
      </c>
      <c r="E396" s="71" t="s">
        <v>964</v>
      </c>
      <c r="F396" s="13">
        <v>2500</v>
      </c>
      <c r="G396" s="13">
        <v>0</v>
      </c>
      <c r="H396" s="13">
        <v>0</v>
      </c>
      <c r="I396" s="13">
        <v>0</v>
      </c>
      <c r="J396" s="13">
        <v>0</v>
      </c>
      <c r="K396" s="13">
        <v>0</v>
      </c>
      <c r="L396" s="13">
        <v>0</v>
      </c>
      <c r="M396" s="13">
        <v>0</v>
      </c>
      <c r="N396" s="12">
        <f t="shared" si="61"/>
        <v>0</v>
      </c>
      <c r="O396" s="13">
        <v>0</v>
      </c>
      <c r="P396" s="13">
        <v>0</v>
      </c>
      <c r="Q396" s="13">
        <v>0</v>
      </c>
      <c r="R396" s="14">
        <f t="shared" si="60"/>
        <v>0</v>
      </c>
      <c r="S396" s="13">
        <f t="shared" si="62"/>
        <v>100</v>
      </c>
      <c r="T396" s="13">
        <f t="shared" si="63"/>
        <v>200</v>
      </c>
      <c r="U396" s="13" t="s">
        <v>4181</v>
      </c>
      <c r="V396" s="72" t="s">
        <v>289</v>
      </c>
    </row>
    <row r="397" spans="1:23" ht="30" customHeight="1">
      <c r="A397" s="74">
        <v>1</v>
      </c>
      <c r="B397" s="13">
        <v>4492</v>
      </c>
      <c r="C397" s="9" t="s">
        <v>935</v>
      </c>
      <c r="D397" s="9" t="s">
        <v>1027</v>
      </c>
      <c r="E397" s="71" t="s">
        <v>1028</v>
      </c>
      <c r="F397" s="13">
        <v>200</v>
      </c>
      <c r="G397" s="13">
        <v>0</v>
      </c>
      <c r="H397" s="13">
        <v>0</v>
      </c>
      <c r="I397" s="13">
        <v>0</v>
      </c>
      <c r="J397" s="13">
        <v>0</v>
      </c>
      <c r="K397" s="13">
        <v>0</v>
      </c>
      <c r="L397" s="13">
        <v>0</v>
      </c>
      <c r="M397" s="13">
        <v>0</v>
      </c>
      <c r="N397" s="12">
        <f t="shared" si="61"/>
        <v>0</v>
      </c>
      <c r="O397" s="13">
        <v>0</v>
      </c>
      <c r="P397" s="13">
        <v>0</v>
      </c>
      <c r="Q397" s="13">
        <v>0</v>
      </c>
      <c r="R397" s="14">
        <f t="shared" si="60"/>
        <v>0</v>
      </c>
      <c r="S397" s="13">
        <f t="shared" si="62"/>
        <v>100</v>
      </c>
      <c r="T397" s="13">
        <f t="shared" si="63"/>
        <v>200</v>
      </c>
      <c r="U397" s="13" t="s">
        <v>4181</v>
      </c>
      <c r="V397" s="72" t="s">
        <v>1029</v>
      </c>
    </row>
    <row r="398" spans="1:23" ht="30" customHeight="1">
      <c r="A398" s="75">
        <v>2</v>
      </c>
      <c r="B398" s="13">
        <v>4498</v>
      </c>
      <c r="C398" s="9" t="s">
        <v>1030</v>
      </c>
      <c r="D398" s="9" t="s">
        <v>461</v>
      </c>
      <c r="E398" s="71" t="s">
        <v>1028</v>
      </c>
      <c r="F398" s="13">
        <v>2500</v>
      </c>
      <c r="G398" s="13">
        <v>0</v>
      </c>
      <c r="H398" s="13">
        <v>0</v>
      </c>
      <c r="I398" s="13">
        <v>0</v>
      </c>
      <c r="J398" s="13">
        <v>0</v>
      </c>
      <c r="K398" s="13">
        <v>0</v>
      </c>
      <c r="L398" s="13">
        <v>0</v>
      </c>
      <c r="M398" s="13">
        <v>0</v>
      </c>
      <c r="N398" s="12">
        <f t="shared" si="61"/>
        <v>0</v>
      </c>
      <c r="O398" s="13">
        <v>0</v>
      </c>
      <c r="P398" s="13">
        <v>0</v>
      </c>
      <c r="Q398" s="13">
        <v>0</v>
      </c>
      <c r="R398" s="14">
        <f t="shared" si="60"/>
        <v>0</v>
      </c>
      <c r="S398" s="13">
        <f t="shared" si="62"/>
        <v>100</v>
      </c>
      <c r="T398" s="13">
        <f t="shared" si="63"/>
        <v>200</v>
      </c>
      <c r="U398" s="13" t="s">
        <v>4181</v>
      </c>
      <c r="V398" s="72" t="s">
        <v>1031</v>
      </c>
    </row>
    <row r="399" spans="1:23" ht="30" customHeight="1">
      <c r="A399" s="74">
        <v>3</v>
      </c>
      <c r="B399" s="13">
        <v>4499</v>
      </c>
      <c r="C399" s="63" t="s">
        <v>1032</v>
      </c>
      <c r="D399" s="63" t="s">
        <v>178</v>
      </c>
      <c r="E399" s="71" t="s">
        <v>1028</v>
      </c>
      <c r="F399" s="60">
        <v>2500</v>
      </c>
      <c r="G399" s="60">
        <v>0</v>
      </c>
      <c r="H399" s="60">
        <v>0</v>
      </c>
      <c r="I399" s="60">
        <v>0</v>
      </c>
      <c r="J399" s="60">
        <v>0</v>
      </c>
      <c r="K399" s="60">
        <v>0</v>
      </c>
      <c r="L399" s="60">
        <v>0</v>
      </c>
      <c r="M399" s="60">
        <v>0</v>
      </c>
      <c r="N399" s="12">
        <f t="shared" si="61"/>
        <v>0</v>
      </c>
      <c r="O399" s="60">
        <v>0</v>
      </c>
      <c r="P399" s="13">
        <v>0</v>
      </c>
      <c r="Q399" s="13">
        <v>0</v>
      </c>
      <c r="R399" s="14">
        <f t="shared" si="60"/>
        <v>0</v>
      </c>
      <c r="S399" s="13">
        <f t="shared" si="62"/>
        <v>100</v>
      </c>
      <c r="T399" s="13">
        <f t="shared" si="63"/>
        <v>200</v>
      </c>
      <c r="U399" s="13" t="s">
        <v>4181</v>
      </c>
      <c r="V399" s="51" t="s">
        <v>1033</v>
      </c>
    </row>
    <row r="400" spans="1:23" ht="30" customHeight="1">
      <c r="A400" s="75">
        <v>4</v>
      </c>
      <c r="B400" s="13">
        <v>4580</v>
      </c>
      <c r="C400" s="63" t="s">
        <v>1034</v>
      </c>
      <c r="D400" s="63" t="s">
        <v>272</v>
      </c>
      <c r="E400" s="71" t="s">
        <v>1028</v>
      </c>
      <c r="F400" s="60">
        <v>1200</v>
      </c>
      <c r="G400" s="60">
        <v>0</v>
      </c>
      <c r="H400" s="60">
        <v>0</v>
      </c>
      <c r="I400" s="60">
        <v>0</v>
      </c>
      <c r="J400" s="60">
        <v>0</v>
      </c>
      <c r="K400" s="60">
        <v>0</v>
      </c>
      <c r="L400" s="60">
        <v>0</v>
      </c>
      <c r="M400" s="60">
        <v>0</v>
      </c>
      <c r="N400" s="12">
        <f t="shared" si="61"/>
        <v>0</v>
      </c>
      <c r="O400" s="60">
        <v>100</v>
      </c>
      <c r="P400" s="60">
        <v>0</v>
      </c>
      <c r="Q400" s="13">
        <v>0</v>
      </c>
      <c r="R400" s="14">
        <f t="shared" si="60"/>
        <v>100</v>
      </c>
      <c r="S400" s="13">
        <f t="shared" si="62"/>
        <v>200</v>
      </c>
      <c r="T400" s="13">
        <f t="shared" si="63"/>
        <v>300</v>
      </c>
      <c r="U400" s="13" t="s">
        <v>4181</v>
      </c>
      <c r="V400" s="51" t="s">
        <v>273</v>
      </c>
      <c r="W400" t="s">
        <v>1035</v>
      </c>
    </row>
    <row r="401" spans="1:23" ht="30" customHeight="1">
      <c r="A401" s="74">
        <v>5</v>
      </c>
      <c r="B401" s="13">
        <v>4606</v>
      </c>
      <c r="C401" s="9" t="s">
        <v>1036</v>
      </c>
      <c r="D401" s="9" t="s">
        <v>1037</v>
      </c>
      <c r="E401" s="71" t="s">
        <v>1028</v>
      </c>
      <c r="F401" s="13">
        <v>2500</v>
      </c>
      <c r="G401" s="13">
        <v>0</v>
      </c>
      <c r="H401" s="13">
        <v>0</v>
      </c>
      <c r="I401" s="13">
        <v>0</v>
      </c>
      <c r="J401" s="13">
        <v>0</v>
      </c>
      <c r="K401" s="13">
        <v>0</v>
      </c>
      <c r="L401" s="13">
        <v>0</v>
      </c>
      <c r="M401" s="13">
        <v>0</v>
      </c>
      <c r="N401" s="12">
        <f t="shared" si="61"/>
        <v>0</v>
      </c>
      <c r="O401" s="13">
        <v>2500</v>
      </c>
      <c r="P401" s="13">
        <v>0</v>
      </c>
      <c r="Q401" s="13">
        <v>0</v>
      </c>
      <c r="R401" s="14">
        <f t="shared" si="60"/>
        <v>2500</v>
      </c>
      <c r="S401" s="13">
        <f t="shared" si="62"/>
        <v>2600</v>
      </c>
      <c r="T401" s="13">
        <f t="shared" si="63"/>
        <v>2700</v>
      </c>
      <c r="U401" s="13" t="s">
        <v>4181</v>
      </c>
      <c r="V401" s="72" t="s">
        <v>1038</v>
      </c>
    </row>
    <row r="402" spans="1:23" ht="30" customHeight="1">
      <c r="A402" s="75">
        <v>6</v>
      </c>
      <c r="B402" s="13">
        <v>4607</v>
      </c>
      <c r="C402" s="9" t="s">
        <v>1039</v>
      </c>
      <c r="D402" s="9" t="s">
        <v>1040</v>
      </c>
      <c r="E402" s="71" t="s">
        <v>1028</v>
      </c>
      <c r="F402" s="13">
        <v>200</v>
      </c>
      <c r="G402" s="13">
        <v>0</v>
      </c>
      <c r="H402" s="13">
        <v>0</v>
      </c>
      <c r="I402" s="13">
        <v>0</v>
      </c>
      <c r="J402" s="13">
        <v>0</v>
      </c>
      <c r="K402" s="13">
        <v>0</v>
      </c>
      <c r="L402" s="13">
        <v>0</v>
      </c>
      <c r="M402" s="13">
        <v>0</v>
      </c>
      <c r="N402" s="12">
        <f t="shared" si="61"/>
        <v>0</v>
      </c>
      <c r="O402" s="13">
        <v>200</v>
      </c>
      <c r="P402" s="13">
        <v>0</v>
      </c>
      <c r="Q402" s="13">
        <v>0</v>
      </c>
      <c r="R402" s="14">
        <f t="shared" si="60"/>
        <v>200</v>
      </c>
      <c r="S402" s="13">
        <f t="shared" si="62"/>
        <v>300</v>
      </c>
      <c r="T402" s="13">
        <f t="shared" si="63"/>
        <v>400</v>
      </c>
      <c r="U402" s="13" t="s">
        <v>4181</v>
      </c>
      <c r="V402" s="72" t="s">
        <v>1041</v>
      </c>
    </row>
    <row r="403" spans="1:23" ht="30" customHeight="1">
      <c r="A403" s="74">
        <v>7</v>
      </c>
      <c r="B403" s="76">
        <v>4615</v>
      </c>
      <c r="C403" s="9" t="s">
        <v>1042</v>
      </c>
      <c r="D403" s="9" t="s">
        <v>1043</v>
      </c>
      <c r="E403" s="71" t="s">
        <v>1028</v>
      </c>
      <c r="F403" s="13">
        <v>1900</v>
      </c>
      <c r="G403" s="13">
        <v>0</v>
      </c>
      <c r="H403" s="13">
        <v>0</v>
      </c>
      <c r="I403" s="13">
        <v>0</v>
      </c>
      <c r="J403" s="13">
        <v>0</v>
      </c>
      <c r="K403" s="13">
        <v>0</v>
      </c>
      <c r="L403" s="13">
        <v>0</v>
      </c>
      <c r="M403" s="13">
        <v>0</v>
      </c>
      <c r="N403" s="12">
        <f t="shared" si="61"/>
        <v>0</v>
      </c>
      <c r="O403" s="13">
        <v>0</v>
      </c>
      <c r="P403" s="13">
        <v>0</v>
      </c>
      <c r="Q403" s="13">
        <v>0</v>
      </c>
      <c r="R403" s="14">
        <f t="shared" si="60"/>
        <v>0</v>
      </c>
      <c r="S403" s="13">
        <f t="shared" si="62"/>
        <v>100</v>
      </c>
      <c r="T403" s="13">
        <f t="shared" si="63"/>
        <v>200</v>
      </c>
      <c r="U403" s="13" t="s">
        <v>4181</v>
      </c>
      <c r="V403" s="15" t="s">
        <v>1044</v>
      </c>
    </row>
    <row r="404" spans="1:23" ht="30" customHeight="1">
      <c r="A404" s="75">
        <v>8</v>
      </c>
      <c r="B404" s="13">
        <v>4647</v>
      </c>
      <c r="C404" s="63" t="s">
        <v>1045</v>
      </c>
      <c r="D404" s="63" t="s">
        <v>1046</v>
      </c>
      <c r="E404" s="71" t="s">
        <v>1028</v>
      </c>
      <c r="F404" s="60">
        <v>1600</v>
      </c>
      <c r="G404" s="60">
        <v>0</v>
      </c>
      <c r="H404" s="60">
        <v>0</v>
      </c>
      <c r="I404" s="60">
        <v>0</v>
      </c>
      <c r="J404" s="60">
        <v>0</v>
      </c>
      <c r="K404" s="60">
        <v>0</v>
      </c>
      <c r="L404" s="60">
        <v>0</v>
      </c>
      <c r="M404" s="60">
        <v>0</v>
      </c>
      <c r="N404" s="12">
        <f t="shared" si="61"/>
        <v>0</v>
      </c>
      <c r="O404" s="60">
        <v>0</v>
      </c>
      <c r="P404" s="13">
        <v>0</v>
      </c>
      <c r="Q404" s="13">
        <v>0</v>
      </c>
      <c r="R404" s="14">
        <f t="shared" si="60"/>
        <v>0</v>
      </c>
      <c r="S404" s="13">
        <f t="shared" si="62"/>
        <v>100</v>
      </c>
      <c r="T404" s="13">
        <f t="shared" si="63"/>
        <v>200</v>
      </c>
      <c r="U404" s="13" t="s">
        <v>4181</v>
      </c>
      <c r="V404" s="51" t="s">
        <v>1047</v>
      </c>
    </row>
    <row r="405" spans="1:23" ht="30" customHeight="1">
      <c r="A405" s="74">
        <v>9</v>
      </c>
      <c r="B405" s="13">
        <v>4680</v>
      </c>
      <c r="C405" s="9" t="s">
        <v>1048</v>
      </c>
      <c r="D405" s="9" t="s">
        <v>366</v>
      </c>
      <c r="E405" s="71" t="s">
        <v>1028</v>
      </c>
      <c r="F405" s="13">
        <v>2500</v>
      </c>
      <c r="G405" s="13">
        <v>0</v>
      </c>
      <c r="H405" s="13">
        <v>0</v>
      </c>
      <c r="I405" s="13">
        <v>0</v>
      </c>
      <c r="J405" s="13">
        <v>0</v>
      </c>
      <c r="K405" s="13">
        <v>0</v>
      </c>
      <c r="L405" s="13">
        <v>0</v>
      </c>
      <c r="M405" s="13">
        <v>0</v>
      </c>
      <c r="N405" s="12">
        <f t="shared" si="61"/>
        <v>0</v>
      </c>
      <c r="O405" s="13">
        <v>0</v>
      </c>
      <c r="P405" s="13">
        <v>0</v>
      </c>
      <c r="Q405" s="13">
        <v>0</v>
      </c>
      <c r="R405" s="14">
        <f t="shared" si="60"/>
        <v>0</v>
      </c>
      <c r="S405" s="13">
        <f t="shared" si="62"/>
        <v>100</v>
      </c>
      <c r="T405" s="13">
        <f t="shared" si="63"/>
        <v>200</v>
      </c>
      <c r="U405" s="13" t="s">
        <v>4181</v>
      </c>
      <c r="V405" s="72" t="s">
        <v>1049</v>
      </c>
    </row>
    <row r="406" spans="1:23" ht="30" customHeight="1">
      <c r="A406" s="75">
        <v>10</v>
      </c>
      <c r="B406" s="13">
        <v>4698</v>
      </c>
      <c r="C406" s="9" t="s">
        <v>1050</v>
      </c>
      <c r="D406" s="9" t="s">
        <v>1051</v>
      </c>
      <c r="E406" s="71" t="s">
        <v>1028</v>
      </c>
      <c r="F406" s="13">
        <v>0</v>
      </c>
      <c r="G406" s="13">
        <v>0</v>
      </c>
      <c r="H406" s="13">
        <v>0</v>
      </c>
      <c r="I406" s="13">
        <v>0</v>
      </c>
      <c r="J406" s="13">
        <v>0</v>
      </c>
      <c r="K406" s="13">
        <v>0</v>
      </c>
      <c r="L406" s="13">
        <v>0</v>
      </c>
      <c r="M406" s="13">
        <v>0</v>
      </c>
      <c r="N406" s="12">
        <f t="shared" si="61"/>
        <v>0</v>
      </c>
      <c r="O406" s="13">
        <v>0</v>
      </c>
      <c r="P406" s="13">
        <v>0</v>
      </c>
      <c r="Q406" s="13">
        <v>0</v>
      </c>
      <c r="R406" s="14">
        <f t="shared" si="60"/>
        <v>0</v>
      </c>
      <c r="S406" s="13">
        <f t="shared" si="62"/>
        <v>100</v>
      </c>
      <c r="T406" s="13">
        <f t="shared" si="63"/>
        <v>200</v>
      </c>
      <c r="U406" s="13" t="s">
        <v>4181</v>
      </c>
      <c r="V406" s="72" t="s">
        <v>1052</v>
      </c>
      <c r="W406" t="s">
        <v>1053</v>
      </c>
    </row>
    <row r="407" spans="1:23" ht="30" customHeight="1">
      <c r="A407" s="74">
        <v>11</v>
      </c>
      <c r="B407" s="13">
        <v>4699</v>
      </c>
      <c r="C407" s="63" t="s">
        <v>1054</v>
      </c>
      <c r="D407" s="63" t="s">
        <v>1055</v>
      </c>
      <c r="E407" s="71" t="s">
        <v>1028</v>
      </c>
      <c r="F407" s="60">
        <v>2200</v>
      </c>
      <c r="G407" s="60">
        <v>0</v>
      </c>
      <c r="H407" s="60">
        <v>0</v>
      </c>
      <c r="I407" s="60">
        <v>0</v>
      </c>
      <c r="J407" s="60">
        <v>0</v>
      </c>
      <c r="K407" s="60">
        <v>0</v>
      </c>
      <c r="L407" s="60">
        <v>0</v>
      </c>
      <c r="M407" s="60">
        <v>0</v>
      </c>
      <c r="N407" s="12">
        <f t="shared" si="61"/>
        <v>0</v>
      </c>
      <c r="O407" s="60">
        <v>0</v>
      </c>
      <c r="P407" s="60">
        <v>0</v>
      </c>
      <c r="Q407" s="13">
        <v>0</v>
      </c>
      <c r="R407" s="14">
        <f t="shared" si="60"/>
        <v>0</v>
      </c>
      <c r="S407" s="13">
        <f t="shared" si="62"/>
        <v>100</v>
      </c>
      <c r="T407" s="13">
        <f t="shared" si="63"/>
        <v>200</v>
      </c>
      <c r="U407" s="13" t="s">
        <v>4181</v>
      </c>
      <c r="V407" s="51" t="s">
        <v>1056</v>
      </c>
    </row>
    <row r="408" spans="1:23" ht="30" customHeight="1">
      <c r="A408" s="75">
        <v>12</v>
      </c>
      <c r="B408" s="13">
        <v>4737</v>
      </c>
      <c r="C408" s="9" t="s">
        <v>1057</v>
      </c>
      <c r="D408" s="9" t="s">
        <v>1058</v>
      </c>
      <c r="E408" s="71" t="s">
        <v>1028</v>
      </c>
      <c r="F408" s="13">
        <v>2000</v>
      </c>
      <c r="G408" s="13">
        <v>0</v>
      </c>
      <c r="H408" s="13">
        <v>0</v>
      </c>
      <c r="I408" s="13">
        <v>0</v>
      </c>
      <c r="J408" s="13">
        <v>0</v>
      </c>
      <c r="K408" s="13">
        <v>0</v>
      </c>
      <c r="L408" s="13">
        <v>0</v>
      </c>
      <c r="M408" s="13">
        <v>0</v>
      </c>
      <c r="N408" s="12">
        <f t="shared" si="61"/>
        <v>0</v>
      </c>
      <c r="O408" s="13">
        <v>2000</v>
      </c>
      <c r="P408" s="13">
        <v>0</v>
      </c>
      <c r="Q408" s="13">
        <v>0</v>
      </c>
      <c r="R408" s="14">
        <f t="shared" si="60"/>
        <v>2000</v>
      </c>
      <c r="S408" s="13">
        <f t="shared" si="62"/>
        <v>2100</v>
      </c>
      <c r="T408" s="13">
        <f t="shared" si="63"/>
        <v>2200</v>
      </c>
      <c r="U408" s="13" t="s">
        <v>4181</v>
      </c>
      <c r="V408" s="72" t="s">
        <v>1059</v>
      </c>
    </row>
    <row r="409" spans="1:23" ht="30" customHeight="1">
      <c r="A409" s="74">
        <v>13</v>
      </c>
      <c r="B409" s="13">
        <v>4759</v>
      </c>
      <c r="C409" s="9" t="s">
        <v>121</v>
      </c>
      <c r="D409" s="9" t="s">
        <v>734</v>
      </c>
      <c r="E409" s="71" t="s">
        <v>1028</v>
      </c>
      <c r="F409" s="13">
        <v>2500</v>
      </c>
      <c r="G409" s="13">
        <v>0</v>
      </c>
      <c r="H409" s="13">
        <v>0</v>
      </c>
      <c r="I409" s="13">
        <v>0</v>
      </c>
      <c r="J409" s="13">
        <v>0</v>
      </c>
      <c r="K409" s="13">
        <v>0</v>
      </c>
      <c r="L409" s="13">
        <v>0</v>
      </c>
      <c r="M409" s="13">
        <v>0</v>
      </c>
      <c r="N409" s="12">
        <f t="shared" si="61"/>
        <v>0</v>
      </c>
      <c r="O409" s="13">
        <v>0</v>
      </c>
      <c r="P409" s="13">
        <v>0</v>
      </c>
      <c r="Q409" s="13">
        <v>0</v>
      </c>
      <c r="R409" s="14">
        <f t="shared" si="60"/>
        <v>0</v>
      </c>
      <c r="S409" s="13">
        <f t="shared" si="62"/>
        <v>100</v>
      </c>
      <c r="T409" s="13">
        <f t="shared" si="63"/>
        <v>200</v>
      </c>
      <c r="U409" s="13" t="s">
        <v>4181</v>
      </c>
      <c r="V409" s="72" t="s">
        <v>1060</v>
      </c>
    </row>
    <row r="410" spans="1:23" ht="30" customHeight="1">
      <c r="A410" s="75">
        <v>14</v>
      </c>
      <c r="B410" s="19">
        <v>4784</v>
      </c>
      <c r="C410" s="43" t="s">
        <v>1064</v>
      </c>
      <c r="D410" s="21" t="s">
        <v>743</v>
      </c>
      <c r="E410" s="71" t="s">
        <v>1028</v>
      </c>
      <c r="F410" s="13">
        <v>2500</v>
      </c>
      <c r="G410" s="13">
        <v>0</v>
      </c>
      <c r="H410" s="13">
        <v>0</v>
      </c>
      <c r="I410" s="13">
        <v>0</v>
      </c>
      <c r="J410" s="13">
        <v>0</v>
      </c>
      <c r="K410" s="13">
        <v>0</v>
      </c>
      <c r="L410" s="13">
        <v>0</v>
      </c>
      <c r="M410" s="13">
        <v>0</v>
      </c>
      <c r="N410" s="12">
        <f t="shared" si="61"/>
        <v>0</v>
      </c>
      <c r="O410" s="13">
        <v>0</v>
      </c>
      <c r="P410" s="13">
        <v>0</v>
      </c>
      <c r="Q410" s="13">
        <v>0</v>
      </c>
      <c r="R410" s="14">
        <f t="shared" si="60"/>
        <v>0</v>
      </c>
      <c r="S410" s="13">
        <f t="shared" si="62"/>
        <v>100</v>
      </c>
      <c r="T410" s="13">
        <f t="shared" si="63"/>
        <v>200</v>
      </c>
      <c r="U410" s="13" t="s">
        <v>4181</v>
      </c>
      <c r="V410" s="77" t="s">
        <v>1065</v>
      </c>
    </row>
    <row r="411" spans="1:23" ht="30" customHeight="1">
      <c r="A411" s="74">
        <v>15</v>
      </c>
      <c r="B411" s="13">
        <v>4787</v>
      </c>
      <c r="C411" s="9" t="s">
        <v>1066</v>
      </c>
      <c r="D411" s="9" t="s">
        <v>1067</v>
      </c>
      <c r="E411" s="71" t="s">
        <v>1028</v>
      </c>
      <c r="F411" s="13">
        <v>1800</v>
      </c>
      <c r="G411" s="13">
        <v>0</v>
      </c>
      <c r="H411" s="13">
        <v>0</v>
      </c>
      <c r="I411" s="13">
        <v>0</v>
      </c>
      <c r="J411" s="13">
        <v>0</v>
      </c>
      <c r="K411" s="13">
        <v>0</v>
      </c>
      <c r="L411" s="13">
        <v>0</v>
      </c>
      <c r="M411" s="13">
        <v>0</v>
      </c>
      <c r="N411" s="12">
        <f t="shared" si="61"/>
        <v>0</v>
      </c>
      <c r="O411" s="13">
        <v>1800</v>
      </c>
      <c r="P411" s="13">
        <v>0</v>
      </c>
      <c r="Q411" s="13">
        <v>0</v>
      </c>
      <c r="R411" s="14">
        <f t="shared" si="60"/>
        <v>1800</v>
      </c>
      <c r="S411" s="13">
        <f t="shared" si="62"/>
        <v>1900</v>
      </c>
      <c r="T411" s="13">
        <f t="shared" si="63"/>
        <v>2000</v>
      </c>
      <c r="U411" s="13" t="s">
        <v>4181</v>
      </c>
      <c r="V411" s="72" t="s">
        <v>1068</v>
      </c>
    </row>
    <row r="412" spans="1:23" ht="30" customHeight="1">
      <c r="A412" s="75">
        <v>16</v>
      </c>
      <c r="B412" s="13">
        <v>4813</v>
      </c>
      <c r="C412" s="64" t="s">
        <v>1069</v>
      </c>
      <c r="D412" s="9" t="s">
        <v>1070</v>
      </c>
      <c r="E412" s="71" t="s">
        <v>1028</v>
      </c>
      <c r="F412" s="13">
        <v>2500</v>
      </c>
      <c r="G412" s="13">
        <v>0</v>
      </c>
      <c r="H412" s="13">
        <v>0</v>
      </c>
      <c r="I412" s="13">
        <v>0</v>
      </c>
      <c r="J412" s="13">
        <v>0</v>
      </c>
      <c r="K412" s="13">
        <v>2500</v>
      </c>
      <c r="L412" s="13">
        <v>2500</v>
      </c>
      <c r="M412" s="13">
        <v>2500</v>
      </c>
      <c r="N412" s="12">
        <f t="shared" si="61"/>
        <v>7500</v>
      </c>
      <c r="O412" s="13">
        <v>2500</v>
      </c>
      <c r="P412" s="13">
        <v>0</v>
      </c>
      <c r="Q412" s="13">
        <v>0</v>
      </c>
      <c r="R412" s="14">
        <f t="shared" si="60"/>
        <v>10000</v>
      </c>
      <c r="S412" s="13">
        <f t="shared" si="62"/>
        <v>10100</v>
      </c>
      <c r="T412" s="13">
        <f t="shared" si="63"/>
        <v>10200</v>
      </c>
      <c r="U412" s="13" t="s">
        <v>4181</v>
      </c>
      <c r="V412" s="77" t="s">
        <v>1071</v>
      </c>
    </row>
    <row r="413" spans="1:23" ht="30" customHeight="1">
      <c r="A413" s="74">
        <v>17</v>
      </c>
      <c r="B413" s="13">
        <v>4923</v>
      </c>
      <c r="C413" s="9" t="s">
        <v>1072</v>
      </c>
      <c r="D413" s="9" t="s">
        <v>1073</v>
      </c>
      <c r="E413" s="71" t="s">
        <v>1028</v>
      </c>
      <c r="F413" s="13">
        <v>200</v>
      </c>
      <c r="G413" s="13">
        <v>0</v>
      </c>
      <c r="H413" s="13">
        <v>0</v>
      </c>
      <c r="I413" s="13">
        <v>0</v>
      </c>
      <c r="J413" s="13">
        <v>200</v>
      </c>
      <c r="K413" s="13">
        <v>200</v>
      </c>
      <c r="L413" s="13">
        <v>200</v>
      </c>
      <c r="M413" s="13">
        <v>200</v>
      </c>
      <c r="N413" s="12">
        <f t="shared" si="61"/>
        <v>800</v>
      </c>
      <c r="O413" s="13">
        <v>200</v>
      </c>
      <c r="P413" s="13">
        <v>0</v>
      </c>
      <c r="Q413" s="13">
        <v>3000</v>
      </c>
      <c r="R413" s="14">
        <f t="shared" si="60"/>
        <v>4000</v>
      </c>
      <c r="S413" s="13">
        <f t="shared" si="62"/>
        <v>4100</v>
      </c>
      <c r="T413" s="13">
        <f t="shared" si="63"/>
        <v>4200</v>
      </c>
      <c r="U413" s="13" t="s">
        <v>4181</v>
      </c>
      <c r="V413" s="72" t="s">
        <v>1074</v>
      </c>
    </row>
    <row r="414" spans="1:23" ht="30" customHeight="1">
      <c r="A414" s="75">
        <v>18</v>
      </c>
      <c r="B414" s="13">
        <v>4957</v>
      </c>
      <c r="C414" s="9" t="s">
        <v>121</v>
      </c>
      <c r="D414" s="9" t="s">
        <v>670</v>
      </c>
      <c r="E414" s="71" t="s">
        <v>1028</v>
      </c>
      <c r="F414" s="13">
        <v>2500</v>
      </c>
      <c r="G414" s="13">
        <v>0</v>
      </c>
      <c r="H414" s="13">
        <v>0</v>
      </c>
      <c r="I414" s="13">
        <v>0</v>
      </c>
      <c r="J414" s="13">
        <v>0</v>
      </c>
      <c r="K414" s="13">
        <v>0</v>
      </c>
      <c r="L414" s="13">
        <v>0</v>
      </c>
      <c r="M414" s="13">
        <v>0</v>
      </c>
      <c r="N414" s="12">
        <f t="shared" si="61"/>
        <v>0</v>
      </c>
      <c r="O414" s="13">
        <v>0</v>
      </c>
      <c r="P414" s="13">
        <v>0</v>
      </c>
      <c r="Q414" s="13">
        <v>0</v>
      </c>
      <c r="R414" s="14">
        <f t="shared" si="60"/>
        <v>0</v>
      </c>
      <c r="S414" s="13">
        <f t="shared" si="62"/>
        <v>100</v>
      </c>
      <c r="T414" s="13">
        <f t="shared" si="63"/>
        <v>200</v>
      </c>
      <c r="U414" s="13" t="s">
        <v>4181</v>
      </c>
      <c r="V414" s="15" t="s">
        <v>1075</v>
      </c>
    </row>
    <row r="415" spans="1:23" ht="30" customHeight="1">
      <c r="A415" s="74">
        <v>19</v>
      </c>
      <c r="B415" s="13">
        <v>4968</v>
      </c>
      <c r="C415" s="9" t="s">
        <v>47</v>
      </c>
      <c r="D415" s="9" t="s">
        <v>662</v>
      </c>
      <c r="E415" s="71" t="s">
        <v>1028</v>
      </c>
      <c r="F415" s="13">
        <v>2200</v>
      </c>
      <c r="G415" s="13">
        <v>0</v>
      </c>
      <c r="H415" s="13">
        <v>0</v>
      </c>
      <c r="I415" s="13">
        <v>0</v>
      </c>
      <c r="J415" s="13">
        <v>0</v>
      </c>
      <c r="K415" s="13">
        <v>0</v>
      </c>
      <c r="L415" s="13">
        <v>0</v>
      </c>
      <c r="M415" s="13">
        <v>0</v>
      </c>
      <c r="N415" s="12">
        <f t="shared" si="61"/>
        <v>0</v>
      </c>
      <c r="O415" s="13">
        <v>0</v>
      </c>
      <c r="P415" s="13">
        <v>0</v>
      </c>
      <c r="Q415" s="13">
        <v>0</v>
      </c>
      <c r="R415" s="14">
        <f t="shared" si="60"/>
        <v>0</v>
      </c>
      <c r="S415" s="13">
        <f t="shared" si="62"/>
        <v>100</v>
      </c>
      <c r="T415" s="13">
        <f t="shared" si="63"/>
        <v>200</v>
      </c>
      <c r="U415" s="13" t="s">
        <v>4181</v>
      </c>
      <c r="V415" s="15" t="s">
        <v>663</v>
      </c>
    </row>
    <row r="416" spans="1:23" ht="30" customHeight="1">
      <c r="A416" s="75">
        <v>20</v>
      </c>
      <c r="B416" s="13">
        <v>5097</v>
      </c>
      <c r="C416" s="9" t="s">
        <v>1076</v>
      </c>
      <c r="D416" s="9" t="s">
        <v>1077</v>
      </c>
      <c r="E416" s="71" t="s">
        <v>1028</v>
      </c>
      <c r="F416" s="13">
        <v>1900</v>
      </c>
      <c r="G416" s="13">
        <v>0</v>
      </c>
      <c r="H416" s="13">
        <v>0</v>
      </c>
      <c r="I416" s="13">
        <v>0</v>
      </c>
      <c r="J416" s="13">
        <v>0</v>
      </c>
      <c r="K416" s="13">
        <v>0</v>
      </c>
      <c r="L416" s="13">
        <v>0</v>
      </c>
      <c r="M416" s="13">
        <v>0</v>
      </c>
      <c r="N416" s="12">
        <f t="shared" si="61"/>
        <v>0</v>
      </c>
      <c r="O416" s="13">
        <v>1900</v>
      </c>
      <c r="P416" s="13">
        <v>0</v>
      </c>
      <c r="Q416" s="13">
        <v>0</v>
      </c>
      <c r="R416" s="14">
        <f t="shared" si="60"/>
        <v>1900</v>
      </c>
      <c r="S416" s="13">
        <f t="shared" si="62"/>
        <v>2000</v>
      </c>
      <c r="T416" s="13">
        <f t="shared" si="63"/>
        <v>2100</v>
      </c>
      <c r="U416" s="13" t="s">
        <v>4181</v>
      </c>
      <c r="V416" s="72" t="s">
        <v>1078</v>
      </c>
    </row>
    <row r="417" spans="1:23" ht="30" customHeight="1">
      <c r="A417" s="74">
        <v>21</v>
      </c>
      <c r="B417" s="13">
        <v>6010</v>
      </c>
      <c r="C417" s="9" t="s">
        <v>1079</v>
      </c>
      <c r="D417" s="9" t="s">
        <v>1080</v>
      </c>
      <c r="E417" s="71" t="s">
        <v>1028</v>
      </c>
      <c r="F417" s="13">
        <v>2500</v>
      </c>
      <c r="G417" s="13">
        <v>0</v>
      </c>
      <c r="H417" s="13">
        <v>0</v>
      </c>
      <c r="I417" s="13">
        <v>0</v>
      </c>
      <c r="J417" s="13">
        <v>0</v>
      </c>
      <c r="K417" s="13">
        <v>0</v>
      </c>
      <c r="L417" s="13">
        <v>0</v>
      </c>
      <c r="M417" s="13">
        <v>0</v>
      </c>
      <c r="N417" s="12">
        <f t="shared" si="61"/>
        <v>0</v>
      </c>
      <c r="O417" s="13">
        <v>0</v>
      </c>
      <c r="P417" s="13">
        <v>0</v>
      </c>
      <c r="Q417" s="13">
        <v>0</v>
      </c>
      <c r="R417" s="14">
        <f t="shared" si="60"/>
        <v>0</v>
      </c>
      <c r="S417" s="13">
        <f t="shared" si="62"/>
        <v>100</v>
      </c>
      <c r="T417" s="13">
        <f t="shared" si="63"/>
        <v>200</v>
      </c>
      <c r="U417" s="13" t="s">
        <v>4181</v>
      </c>
      <c r="V417" s="72" t="s">
        <v>992</v>
      </c>
    </row>
    <row r="418" spans="1:23" ht="30" customHeight="1">
      <c r="A418" s="75">
        <v>22</v>
      </c>
      <c r="B418" s="13">
        <v>6052</v>
      </c>
      <c r="C418" s="9" t="s">
        <v>1081</v>
      </c>
      <c r="D418" s="9" t="s">
        <v>378</v>
      </c>
      <c r="E418" s="71" t="s">
        <v>1028</v>
      </c>
      <c r="F418" s="13">
        <v>2500</v>
      </c>
      <c r="G418" s="13">
        <v>0</v>
      </c>
      <c r="H418" s="13">
        <v>0</v>
      </c>
      <c r="I418" s="13">
        <v>0</v>
      </c>
      <c r="J418" s="13">
        <v>0</v>
      </c>
      <c r="K418" s="13">
        <v>0</v>
      </c>
      <c r="L418" s="13">
        <v>0</v>
      </c>
      <c r="M418" s="13">
        <v>0</v>
      </c>
      <c r="N418" s="12">
        <f t="shared" si="61"/>
        <v>0</v>
      </c>
      <c r="O418" s="13">
        <v>0</v>
      </c>
      <c r="P418" s="13">
        <v>0</v>
      </c>
      <c r="Q418" s="13">
        <v>0</v>
      </c>
      <c r="R418" s="14">
        <f t="shared" si="60"/>
        <v>0</v>
      </c>
      <c r="S418" s="13">
        <f t="shared" si="62"/>
        <v>100</v>
      </c>
      <c r="T418" s="13">
        <f t="shared" si="63"/>
        <v>200</v>
      </c>
      <c r="U418" s="13" t="s">
        <v>4181</v>
      </c>
      <c r="V418" s="69" t="s">
        <v>379</v>
      </c>
    </row>
    <row r="419" spans="1:23" ht="30" customHeight="1">
      <c r="A419" s="74">
        <v>23</v>
      </c>
      <c r="B419" s="13">
        <v>6194</v>
      </c>
      <c r="C419" s="9" t="s">
        <v>1082</v>
      </c>
      <c r="D419" s="9" t="s">
        <v>1001</v>
      </c>
      <c r="E419" s="71" t="s">
        <v>1028</v>
      </c>
      <c r="F419" s="13">
        <v>2500</v>
      </c>
      <c r="G419" s="13">
        <v>0</v>
      </c>
      <c r="H419" s="13">
        <v>0</v>
      </c>
      <c r="I419" s="13">
        <v>0</v>
      </c>
      <c r="J419" s="13">
        <v>0</v>
      </c>
      <c r="K419" s="13">
        <v>0</v>
      </c>
      <c r="L419" s="13">
        <v>0</v>
      </c>
      <c r="M419" s="13">
        <v>0</v>
      </c>
      <c r="N419" s="12">
        <f t="shared" si="61"/>
        <v>0</v>
      </c>
      <c r="O419" s="13">
        <v>0</v>
      </c>
      <c r="P419" s="13">
        <v>0</v>
      </c>
      <c r="Q419" s="13">
        <v>0</v>
      </c>
      <c r="R419" s="14">
        <f t="shared" si="60"/>
        <v>0</v>
      </c>
      <c r="S419" s="13">
        <f t="shared" si="62"/>
        <v>100</v>
      </c>
      <c r="T419" s="13">
        <f t="shared" si="63"/>
        <v>200</v>
      </c>
      <c r="U419" s="13" t="s">
        <v>4181</v>
      </c>
      <c r="V419" s="15" t="s">
        <v>1002</v>
      </c>
    </row>
    <row r="420" spans="1:23" ht="30" customHeight="1">
      <c r="A420" s="75">
        <v>24</v>
      </c>
      <c r="B420" s="13">
        <v>6298</v>
      </c>
      <c r="C420" s="9" t="s">
        <v>1083</v>
      </c>
      <c r="D420" s="9" t="s">
        <v>1084</v>
      </c>
      <c r="E420" s="71" t="s">
        <v>1028</v>
      </c>
      <c r="F420" s="13">
        <v>2500</v>
      </c>
      <c r="G420" s="13">
        <v>0</v>
      </c>
      <c r="H420" s="13">
        <v>0</v>
      </c>
      <c r="I420" s="13">
        <v>0</v>
      </c>
      <c r="J420" s="13">
        <v>0</v>
      </c>
      <c r="K420" s="13">
        <v>0</v>
      </c>
      <c r="L420" s="13">
        <v>0</v>
      </c>
      <c r="M420" s="13">
        <v>0</v>
      </c>
      <c r="N420" s="12">
        <f t="shared" si="61"/>
        <v>0</v>
      </c>
      <c r="O420" s="13">
        <v>0</v>
      </c>
      <c r="P420" s="13">
        <v>0</v>
      </c>
      <c r="Q420" s="13">
        <v>0</v>
      </c>
      <c r="R420" s="14">
        <f t="shared" si="60"/>
        <v>0</v>
      </c>
      <c r="S420" s="13">
        <f t="shared" si="62"/>
        <v>100</v>
      </c>
      <c r="T420" s="13">
        <f t="shared" si="63"/>
        <v>200</v>
      </c>
      <c r="U420" s="13" t="s">
        <v>4181</v>
      </c>
      <c r="V420" s="15" t="s">
        <v>515</v>
      </c>
    </row>
    <row r="421" spans="1:23" ht="30" customHeight="1">
      <c r="A421" s="74">
        <v>25</v>
      </c>
      <c r="B421" s="13">
        <v>6379</v>
      </c>
      <c r="C421" s="9" t="s">
        <v>1087</v>
      </c>
      <c r="D421" s="9" t="s">
        <v>1088</v>
      </c>
      <c r="E421" s="71" t="s">
        <v>1028</v>
      </c>
      <c r="F421" s="13">
        <v>1900</v>
      </c>
      <c r="G421" s="13">
        <v>0</v>
      </c>
      <c r="H421" s="13">
        <v>0</v>
      </c>
      <c r="I421" s="13">
        <v>0</v>
      </c>
      <c r="J421" s="13">
        <v>0</v>
      </c>
      <c r="K421" s="13">
        <v>0</v>
      </c>
      <c r="L421" s="13">
        <v>0</v>
      </c>
      <c r="M421" s="13">
        <v>0</v>
      </c>
      <c r="N421" s="12">
        <f t="shared" si="61"/>
        <v>0</v>
      </c>
      <c r="O421" s="13">
        <v>0</v>
      </c>
      <c r="P421" s="13">
        <v>0</v>
      </c>
      <c r="Q421" s="13">
        <v>0</v>
      </c>
      <c r="R421" s="14">
        <f t="shared" si="60"/>
        <v>0</v>
      </c>
      <c r="S421" s="13">
        <f t="shared" si="62"/>
        <v>100</v>
      </c>
      <c r="T421" s="13">
        <f t="shared" si="63"/>
        <v>200</v>
      </c>
      <c r="U421" s="13" t="s">
        <v>4181</v>
      </c>
      <c r="V421" s="15" t="s">
        <v>1089</v>
      </c>
    </row>
    <row r="422" spans="1:23" ht="30" customHeight="1">
      <c r="A422" s="75">
        <v>26</v>
      </c>
      <c r="B422" s="13">
        <v>6380</v>
      </c>
      <c r="C422" s="9" t="s">
        <v>1090</v>
      </c>
      <c r="D422" s="9" t="s">
        <v>1091</v>
      </c>
      <c r="E422" s="71" t="s">
        <v>1028</v>
      </c>
      <c r="F422" s="13">
        <v>1600</v>
      </c>
      <c r="G422" s="13">
        <v>0</v>
      </c>
      <c r="H422" s="13">
        <v>0</v>
      </c>
      <c r="I422" s="13">
        <v>0</v>
      </c>
      <c r="J422" s="13">
        <v>0</v>
      </c>
      <c r="K422" s="13">
        <v>0</v>
      </c>
      <c r="L422" s="13">
        <v>0</v>
      </c>
      <c r="M422" s="13">
        <v>0</v>
      </c>
      <c r="N422" s="12">
        <f t="shared" si="61"/>
        <v>0</v>
      </c>
      <c r="O422" s="13">
        <v>0</v>
      </c>
      <c r="P422" s="13">
        <v>0</v>
      </c>
      <c r="Q422" s="13">
        <v>0</v>
      </c>
      <c r="R422" s="14">
        <f t="shared" si="60"/>
        <v>0</v>
      </c>
      <c r="S422" s="13">
        <f t="shared" ref="S422:S452" si="64">R422+100</f>
        <v>100</v>
      </c>
      <c r="T422" s="13">
        <f t="shared" ref="T422:T452" si="65">R422+200</f>
        <v>200</v>
      </c>
      <c r="U422" s="13" t="s">
        <v>4181</v>
      </c>
      <c r="V422" s="15" t="s">
        <v>1092</v>
      </c>
    </row>
    <row r="423" spans="1:23" ht="30" customHeight="1">
      <c r="A423" s="74">
        <v>27</v>
      </c>
      <c r="B423" s="13">
        <v>6382</v>
      </c>
      <c r="C423" s="9" t="s">
        <v>1093</v>
      </c>
      <c r="D423" s="9" t="s">
        <v>1094</v>
      </c>
      <c r="E423" s="71" t="s">
        <v>1028</v>
      </c>
      <c r="F423" s="13">
        <v>2500</v>
      </c>
      <c r="G423" s="13">
        <v>0</v>
      </c>
      <c r="H423" s="13">
        <v>0</v>
      </c>
      <c r="I423" s="13">
        <v>0</v>
      </c>
      <c r="J423" s="13">
        <v>0</v>
      </c>
      <c r="K423" s="13">
        <v>0</v>
      </c>
      <c r="L423" s="13">
        <v>0</v>
      </c>
      <c r="M423" s="13">
        <v>0</v>
      </c>
      <c r="N423" s="12">
        <f t="shared" si="61"/>
        <v>0</v>
      </c>
      <c r="O423" s="13">
        <v>0</v>
      </c>
      <c r="P423" s="13">
        <v>0</v>
      </c>
      <c r="Q423" s="13">
        <v>0</v>
      </c>
      <c r="R423" s="14">
        <f t="shared" si="60"/>
        <v>0</v>
      </c>
      <c r="S423" s="13">
        <f t="shared" si="64"/>
        <v>100</v>
      </c>
      <c r="T423" s="13">
        <f t="shared" si="65"/>
        <v>200</v>
      </c>
      <c r="U423" s="13" t="s">
        <v>4181</v>
      </c>
      <c r="V423" s="15" t="s">
        <v>1095</v>
      </c>
    </row>
    <row r="424" spans="1:23" ht="30" customHeight="1">
      <c r="A424" s="75">
        <v>28</v>
      </c>
      <c r="B424" s="13">
        <v>6417</v>
      </c>
      <c r="C424" s="9" t="s">
        <v>1096</v>
      </c>
      <c r="D424" s="9" t="s">
        <v>190</v>
      </c>
      <c r="E424" s="71" t="s">
        <v>1028</v>
      </c>
      <c r="F424" s="13">
        <v>2500</v>
      </c>
      <c r="G424" s="13">
        <v>0</v>
      </c>
      <c r="H424" s="13">
        <v>0</v>
      </c>
      <c r="I424" s="13">
        <v>0</v>
      </c>
      <c r="J424" s="13">
        <v>0</v>
      </c>
      <c r="K424" s="13">
        <v>0</v>
      </c>
      <c r="L424" s="13">
        <v>0</v>
      </c>
      <c r="M424" s="13">
        <v>0</v>
      </c>
      <c r="N424" s="12">
        <f t="shared" si="61"/>
        <v>0</v>
      </c>
      <c r="O424" s="13">
        <v>0</v>
      </c>
      <c r="P424" s="13">
        <v>0</v>
      </c>
      <c r="Q424" s="13">
        <v>0</v>
      </c>
      <c r="R424" s="14">
        <f t="shared" si="60"/>
        <v>0</v>
      </c>
      <c r="S424" s="13">
        <f t="shared" si="64"/>
        <v>100</v>
      </c>
      <c r="T424" s="13">
        <f t="shared" si="65"/>
        <v>200</v>
      </c>
      <c r="U424" s="13" t="s">
        <v>4181</v>
      </c>
      <c r="V424" s="15" t="s">
        <v>758</v>
      </c>
    </row>
    <row r="425" spans="1:23" ht="30" customHeight="1">
      <c r="A425" s="74">
        <v>29</v>
      </c>
      <c r="B425" s="13">
        <v>6462</v>
      </c>
      <c r="C425" s="9" t="s">
        <v>583</v>
      </c>
      <c r="D425" s="9" t="s">
        <v>352</v>
      </c>
      <c r="E425" s="71" t="s">
        <v>1028</v>
      </c>
      <c r="F425" s="13">
        <v>2000</v>
      </c>
      <c r="G425" s="13">
        <v>0</v>
      </c>
      <c r="H425" s="13">
        <v>0</v>
      </c>
      <c r="I425" s="13">
        <v>0</v>
      </c>
      <c r="J425" s="13">
        <v>0</v>
      </c>
      <c r="K425" s="13">
        <v>0</v>
      </c>
      <c r="L425" s="13">
        <v>0</v>
      </c>
      <c r="M425" s="13">
        <v>0</v>
      </c>
      <c r="N425" s="12">
        <f t="shared" si="61"/>
        <v>0</v>
      </c>
      <c r="O425" s="13">
        <v>0</v>
      </c>
      <c r="P425" s="13">
        <v>0</v>
      </c>
      <c r="Q425" s="13">
        <v>0</v>
      </c>
      <c r="R425" s="14">
        <f t="shared" si="60"/>
        <v>0</v>
      </c>
      <c r="S425" s="13">
        <f t="shared" si="64"/>
        <v>100</v>
      </c>
      <c r="T425" s="13">
        <f t="shared" si="65"/>
        <v>200</v>
      </c>
      <c r="U425" s="13" t="s">
        <v>4181</v>
      </c>
      <c r="V425" s="15" t="s">
        <v>1097</v>
      </c>
    </row>
    <row r="426" spans="1:23" ht="30" customHeight="1">
      <c r="A426" s="75">
        <v>30</v>
      </c>
      <c r="B426" s="13">
        <v>6493</v>
      </c>
      <c r="C426" s="9" t="s">
        <v>1098</v>
      </c>
      <c r="D426" s="9" t="s">
        <v>1067</v>
      </c>
      <c r="E426" s="71" t="s">
        <v>1028</v>
      </c>
      <c r="F426" s="13">
        <v>2300</v>
      </c>
      <c r="G426" s="13">
        <v>0</v>
      </c>
      <c r="H426" s="13">
        <v>0</v>
      </c>
      <c r="I426" s="13">
        <v>0</v>
      </c>
      <c r="J426" s="13">
        <v>0</v>
      </c>
      <c r="K426" s="13">
        <v>0</v>
      </c>
      <c r="L426" s="13">
        <v>0</v>
      </c>
      <c r="M426" s="13">
        <v>0</v>
      </c>
      <c r="N426" s="12">
        <f t="shared" si="61"/>
        <v>0</v>
      </c>
      <c r="O426" s="13">
        <v>0</v>
      </c>
      <c r="P426" s="13">
        <v>0</v>
      </c>
      <c r="Q426" s="13">
        <v>0</v>
      </c>
      <c r="R426" s="14">
        <f t="shared" si="60"/>
        <v>0</v>
      </c>
      <c r="S426" s="13">
        <f t="shared" si="64"/>
        <v>100</v>
      </c>
      <c r="T426" s="13">
        <f t="shared" si="65"/>
        <v>200</v>
      </c>
      <c r="U426" s="13" t="s">
        <v>4181</v>
      </c>
      <c r="V426" s="15" t="s">
        <v>1099</v>
      </c>
    </row>
    <row r="427" spans="1:23" ht="30" customHeight="1">
      <c r="A427" s="74">
        <v>31</v>
      </c>
      <c r="B427" s="13">
        <v>6519</v>
      </c>
      <c r="C427" s="9" t="s">
        <v>1100</v>
      </c>
      <c r="D427" s="9" t="s">
        <v>1101</v>
      </c>
      <c r="E427" s="71" t="s">
        <v>1028</v>
      </c>
      <c r="F427" s="13">
        <v>2200</v>
      </c>
      <c r="G427" s="13">
        <v>0</v>
      </c>
      <c r="H427" s="13">
        <v>0</v>
      </c>
      <c r="I427" s="13">
        <v>0</v>
      </c>
      <c r="J427" s="13">
        <v>0</v>
      </c>
      <c r="K427" s="13">
        <v>0</v>
      </c>
      <c r="L427" s="13">
        <v>0</v>
      </c>
      <c r="M427" s="13">
        <v>0</v>
      </c>
      <c r="N427" s="12">
        <f t="shared" si="61"/>
        <v>0</v>
      </c>
      <c r="O427" s="13">
        <v>2200</v>
      </c>
      <c r="P427" s="13">
        <v>0</v>
      </c>
      <c r="Q427" s="13">
        <v>0</v>
      </c>
      <c r="R427" s="14">
        <f t="shared" si="60"/>
        <v>2200</v>
      </c>
      <c r="S427" s="13">
        <f t="shared" si="64"/>
        <v>2300</v>
      </c>
      <c r="T427" s="13">
        <f t="shared" si="65"/>
        <v>2400</v>
      </c>
      <c r="U427" s="13" t="s">
        <v>4181</v>
      </c>
      <c r="V427" s="15" t="s">
        <v>1102</v>
      </c>
      <c r="W427" t="s">
        <v>257</v>
      </c>
    </row>
    <row r="428" spans="1:23" ht="30" customHeight="1">
      <c r="A428" s="75">
        <v>32</v>
      </c>
      <c r="B428" s="13">
        <v>6601</v>
      </c>
      <c r="C428" s="9" t="s">
        <v>1103</v>
      </c>
      <c r="D428" s="9" t="s">
        <v>1104</v>
      </c>
      <c r="E428" s="71" t="s">
        <v>1028</v>
      </c>
      <c r="F428" s="13">
        <v>2500</v>
      </c>
      <c r="G428" s="13">
        <v>0</v>
      </c>
      <c r="H428" s="13">
        <v>0</v>
      </c>
      <c r="I428" s="13">
        <v>0</v>
      </c>
      <c r="J428" s="13">
        <v>0</v>
      </c>
      <c r="K428" s="13">
        <v>0</v>
      </c>
      <c r="L428" s="13">
        <v>0</v>
      </c>
      <c r="M428" s="13">
        <v>0</v>
      </c>
      <c r="N428" s="12">
        <f t="shared" si="61"/>
        <v>0</v>
      </c>
      <c r="O428" s="13">
        <v>2500</v>
      </c>
      <c r="P428" s="13">
        <v>0</v>
      </c>
      <c r="Q428" s="13">
        <v>0</v>
      </c>
      <c r="R428" s="14">
        <f t="shared" si="60"/>
        <v>2500</v>
      </c>
      <c r="S428" s="13">
        <f t="shared" si="64"/>
        <v>2600</v>
      </c>
      <c r="T428" s="13">
        <f t="shared" si="65"/>
        <v>2700</v>
      </c>
      <c r="U428" s="13" t="s">
        <v>4181</v>
      </c>
      <c r="V428" s="23" t="s">
        <v>1105</v>
      </c>
    </row>
    <row r="429" spans="1:23" ht="30" customHeight="1">
      <c r="A429" s="74">
        <v>33</v>
      </c>
      <c r="B429" s="13">
        <v>6659</v>
      </c>
      <c r="C429" s="9" t="s">
        <v>1106</v>
      </c>
      <c r="D429" s="9" t="s">
        <v>1107</v>
      </c>
      <c r="E429" s="71" t="s">
        <v>1028</v>
      </c>
      <c r="F429" s="13">
        <v>2500</v>
      </c>
      <c r="G429" s="13">
        <v>0</v>
      </c>
      <c r="H429" s="13">
        <v>0</v>
      </c>
      <c r="I429" s="13">
        <v>0</v>
      </c>
      <c r="J429" s="13">
        <v>0</v>
      </c>
      <c r="K429" s="13">
        <v>0</v>
      </c>
      <c r="L429" s="13">
        <v>0</v>
      </c>
      <c r="M429" s="13">
        <v>0</v>
      </c>
      <c r="N429" s="12">
        <f t="shared" si="61"/>
        <v>0</v>
      </c>
      <c r="O429" s="13">
        <v>2500</v>
      </c>
      <c r="P429" s="13">
        <v>0</v>
      </c>
      <c r="Q429" s="13">
        <v>0</v>
      </c>
      <c r="R429" s="14">
        <f t="shared" si="60"/>
        <v>2500</v>
      </c>
      <c r="S429" s="13">
        <f t="shared" si="64"/>
        <v>2600</v>
      </c>
      <c r="T429" s="13">
        <f t="shared" si="65"/>
        <v>2700</v>
      </c>
      <c r="U429" s="13" t="s">
        <v>4181</v>
      </c>
      <c r="V429" s="72" t="s">
        <v>1108</v>
      </c>
    </row>
    <row r="430" spans="1:23" ht="30" customHeight="1">
      <c r="A430" s="75">
        <v>34</v>
      </c>
      <c r="B430" s="13">
        <v>6689</v>
      </c>
      <c r="C430" s="9" t="s">
        <v>1109</v>
      </c>
      <c r="D430" s="9" t="s">
        <v>1110</v>
      </c>
      <c r="E430" s="71" t="s">
        <v>1028</v>
      </c>
      <c r="F430" s="13">
        <v>2200</v>
      </c>
      <c r="G430" s="13">
        <v>0</v>
      </c>
      <c r="H430" s="13">
        <v>0</v>
      </c>
      <c r="I430" s="13">
        <v>0</v>
      </c>
      <c r="J430" s="13">
        <v>0</v>
      </c>
      <c r="K430" s="13">
        <v>0</v>
      </c>
      <c r="L430" s="13">
        <v>0</v>
      </c>
      <c r="M430" s="13">
        <v>0</v>
      </c>
      <c r="N430" s="12">
        <f t="shared" si="61"/>
        <v>0</v>
      </c>
      <c r="O430" s="13">
        <v>0</v>
      </c>
      <c r="P430" s="13">
        <v>0</v>
      </c>
      <c r="Q430" s="13">
        <v>0</v>
      </c>
      <c r="R430" s="14">
        <f t="shared" si="60"/>
        <v>0</v>
      </c>
      <c r="S430" s="13">
        <f t="shared" si="64"/>
        <v>100</v>
      </c>
      <c r="T430" s="13">
        <f t="shared" si="65"/>
        <v>200</v>
      </c>
      <c r="U430" s="13" t="s">
        <v>4181</v>
      </c>
      <c r="V430" s="72" t="s">
        <v>1111</v>
      </c>
    </row>
    <row r="431" spans="1:23" ht="30" customHeight="1">
      <c r="A431" s="74">
        <v>35</v>
      </c>
      <c r="B431" s="13">
        <v>6720</v>
      </c>
      <c r="C431" s="9" t="s">
        <v>1112</v>
      </c>
      <c r="D431" s="9" t="s">
        <v>1113</v>
      </c>
      <c r="E431" s="71" t="s">
        <v>1028</v>
      </c>
      <c r="F431" s="13">
        <v>0</v>
      </c>
      <c r="G431" s="13">
        <v>0</v>
      </c>
      <c r="H431" s="13">
        <v>0</v>
      </c>
      <c r="I431" s="13">
        <v>0</v>
      </c>
      <c r="J431" s="13">
        <v>0</v>
      </c>
      <c r="K431" s="13">
        <v>0</v>
      </c>
      <c r="L431" s="13">
        <v>0</v>
      </c>
      <c r="M431" s="13">
        <v>0</v>
      </c>
      <c r="N431" s="12">
        <f t="shared" si="61"/>
        <v>0</v>
      </c>
      <c r="O431" s="13">
        <v>0</v>
      </c>
      <c r="P431" s="13">
        <v>0</v>
      </c>
      <c r="Q431" s="13">
        <v>0</v>
      </c>
      <c r="R431" s="14">
        <f t="shared" si="60"/>
        <v>0</v>
      </c>
      <c r="S431" s="13">
        <f t="shared" si="64"/>
        <v>100</v>
      </c>
      <c r="T431" s="13">
        <f t="shared" si="65"/>
        <v>200</v>
      </c>
      <c r="U431" s="13" t="s">
        <v>4181</v>
      </c>
      <c r="V431" s="72" t="s">
        <v>1114</v>
      </c>
    </row>
    <row r="432" spans="1:23" ht="30" customHeight="1">
      <c r="A432" s="75">
        <v>36</v>
      </c>
      <c r="B432" s="13">
        <v>6743</v>
      </c>
      <c r="C432" s="9" t="s">
        <v>1115</v>
      </c>
      <c r="D432" s="9" t="s">
        <v>236</v>
      </c>
      <c r="E432" s="71" t="s">
        <v>1028</v>
      </c>
      <c r="F432" s="13">
        <v>2500</v>
      </c>
      <c r="G432" s="13">
        <v>0</v>
      </c>
      <c r="H432" s="13">
        <v>0</v>
      </c>
      <c r="I432" s="13">
        <v>0</v>
      </c>
      <c r="J432" s="13">
        <v>0</v>
      </c>
      <c r="K432" s="13">
        <v>0</v>
      </c>
      <c r="L432" s="13">
        <v>0</v>
      </c>
      <c r="M432" s="13">
        <v>0</v>
      </c>
      <c r="N432" s="12">
        <f t="shared" si="61"/>
        <v>0</v>
      </c>
      <c r="O432" s="13">
        <v>0</v>
      </c>
      <c r="P432" s="13">
        <v>0</v>
      </c>
      <c r="Q432" s="13">
        <v>0</v>
      </c>
      <c r="R432" s="14">
        <f t="shared" si="60"/>
        <v>0</v>
      </c>
      <c r="S432" s="13">
        <f t="shared" si="64"/>
        <v>100</v>
      </c>
      <c r="T432" s="13">
        <f t="shared" si="65"/>
        <v>200</v>
      </c>
      <c r="U432" s="13" t="s">
        <v>4181</v>
      </c>
      <c r="V432" s="72" t="s">
        <v>4186</v>
      </c>
    </row>
    <row r="433" spans="1:23" ht="30" customHeight="1">
      <c r="A433" s="74">
        <v>37</v>
      </c>
      <c r="B433" s="13">
        <v>6793</v>
      </c>
      <c r="C433" s="9" t="s">
        <v>1116</v>
      </c>
      <c r="D433" s="9" t="s">
        <v>1117</v>
      </c>
      <c r="E433" s="71" t="s">
        <v>1028</v>
      </c>
      <c r="F433" s="13">
        <v>2500</v>
      </c>
      <c r="G433" s="13">
        <v>0</v>
      </c>
      <c r="H433" s="13">
        <v>0</v>
      </c>
      <c r="I433" s="13">
        <v>0</v>
      </c>
      <c r="J433" s="13">
        <v>0</v>
      </c>
      <c r="K433" s="13">
        <v>0</v>
      </c>
      <c r="L433" s="13">
        <v>0</v>
      </c>
      <c r="M433" s="13">
        <v>0</v>
      </c>
      <c r="N433" s="12">
        <f t="shared" si="61"/>
        <v>0</v>
      </c>
      <c r="O433" s="13">
        <v>2500</v>
      </c>
      <c r="P433" s="13">
        <v>0</v>
      </c>
      <c r="Q433" s="13">
        <v>0</v>
      </c>
      <c r="R433" s="14">
        <f t="shared" si="60"/>
        <v>2500</v>
      </c>
      <c r="S433" s="13">
        <f t="shared" si="64"/>
        <v>2600</v>
      </c>
      <c r="T433" s="13">
        <f t="shared" si="65"/>
        <v>2700</v>
      </c>
      <c r="U433" s="13" t="s">
        <v>4181</v>
      </c>
      <c r="V433" s="72" t="s">
        <v>1118</v>
      </c>
      <c r="W433" t="s">
        <v>789</v>
      </c>
    </row>
    <row r="434" spans="1:23" ht="30" customHeight="1">
      <c r="A434" s="75">
        <v>38</v>
      </c>
      <c r="B434" s="13">
        <v>6794</v>
      </c>
      <c r="C434" s="9" t="s">
        <v>181</v>
      </c>
      <c r="D434" s="9" t="s">
        <v>100</v>
      </c>
      <c r="E434" s="71" t="s">
        <v>1028</v>
      </c>
      <c r="F434" s="13">
        <v>2500</v>
      </c>
      <c r="G434" s="13">
        <v>0</v>
      </c>
      <c r="H434" s="13">
        <v>0</v>
      </c>
      <c r="I434" s="13">
        <v>0</v>
      </c>
      <c r="J434" s="13">
        <v>0</v>
      </c>
      <c r="K434" s="13">
        <v>0</v>
      </c>
      <c r="L434" s="13">
        <v>0</v>
      </c>
      <c r="M434" s="13">
        <v>0</v>
      </c>
      <c r="N434" s="12">
        <f t="shared" si="61"/>
        <v>0</v>
      </c>
      <c r="O434" s="13">
        <v>2500</v>
      </c>
      <c r="P434" s="13">
        <v>0</v>
      </c>
      <c r="Q434" s="13">
        <v>0</v>
      </c>
      <c r="R434" s="14">
        <f t="shared" si="60"/>
        <v>2500</v>
      </c>
      <c r="S434" s="13">
        <f t="shared" si="64"/>
        <v>2600</v>
      </c>
      <c r="T434" s="13">
        <f t="shared" si="65"/>
        <v>2700</v>
      </c>
      <c r="U434" s="13" t="s">
        <v>4181</v>
      </c>
      <c r="V434" s="72" t="s">
        <v>353</v>
      </c>
      <c r="W434" t="s">
        <v>789</v>
      </c>
    </row>
    <row r="435" spans="1:23" ht="30" customHeight="1">
      <c r="A435" s="74">
        <v>39</v>
      </c>
      <c r="B435" s="13">
        <v>6805</v>
      </c>
      <c r="C435" s="9" t="s">
        <v>1119</v>
      </c>
      <c r="D435" s="9" t="s">
        <v>1120</v>
      </c>
      <c r="E435" s="71" t="s">
        <v>1028</v>
      </c>
      <c r="F435" s="13">
        <v>2300</v>
      </c>
      <c r="G435" s="13">
        <v>0</v>
      </c>
      <c r="H435" s="13">
        <v>0</v>
      </c>
      <c r="I435" s="13">
        <v>0</v>
      </c>
      <c r="J435" s="13">
        <v>0</v>
      </c>
      <c r="K435" s="13">
        <v>0</v>
      </c>
      <c r="L435" s="13">
        <v>0</v>
      </c>
      <c r="M435" s="13">
        <v>0</v>
      </c>
      <c r="N435" s="12">
        <f t="shared" si="61"/>
        <v>0</v>
      </c>
      <c r="O435" s="13">
        <v>0</v>
      </c>
      <c r="P435" s="13">
        <v>0</v>
      </c>
      <c r="Q435" s="13">
        <v>0</v>
      </c>
      <c r="R435" s="14">
        <f t="shared" si="60"/>
        <v>0</v>
      </c>
      <c r="S435" s="13">
        <f t="shared" si="64"/>
        <v>100</v>
      </c>
      <c r="T435" s="13">
        <f t="shared" si="65"/>
        <v>200</v>
      </c>
      <c r="U435" s="13" t="s">
        <v>4181</v>
      </c>
      <c r="V435" s="72" t="s">
        <v>4139</v>
      </c>
      <c r="W435" t="s">
        <v>789</v>
      </c>
    </row>
    <row r="436" spans="1:23" ht="30" customHeight="1">
      <c r="A436" s="75">
        <v>40</v>
      </c>
      <c r="B436" s="13">
        <v>6806</v>
      </c>
      <c r="C436" s="9" t="s">
        <v>1121</v>
      </c>
      <c r="D436" s="9" t="s">
        <v>1122</v>
      </c>
      <c r="E436" s="71" t="s">
        <v>1028</v>
      </c>
      <c r="F436" s="13">
        <v>1300</v>
      </c>
      <c r="G436" s="13">
        <v>0</v>
      </c>
      <c r="H436" s="13">
        <v>0</v>
      </c>
      <c r="I436" s="13">
        <v>0</v>
      </c>
      <c r="J436" s="13">
        <v>0</v>
      </c>
      <c r="K436" s="13">
        <v>0</v>
      </c>
      <c r="L436" s="13">
        <v>0</v>
      </c>
      <c r="M436" s="13">
        <v>0</v>
      </c>
      <c r="N436" s="12">
        <f t="shared" si="61"/>
        <v>0</v>
      </c>
      <c r="O436" s="13">
        <v>0</v>
      </c>
      <c r="P436" s="13">
        <v>0</v>
      </c>
      <c r="Q436" s="13">
        <v>0</v>
      </c>
      <c r="R436" s="14">
        <f t="shared" si="60"/>
        <v>0</v>
      </c>
      <c r="S436" s="13">
        <f t="shared" si="64"/>
        <v>100</v>
      </c>
      <c r="T436" s="13">
        <f t="shared" si="65"/>
        <v>200</v>
      </c>
      <c r="U436" s="13" t="s">
        <v>4181</v>
      </c>
      <c r="V436" s="72" t="s">
        <v>1123</v>
      </c>
      <c r="W436" t="s">
        <v>789</v>
      </c>
    </row>
    <row r="437" spans="1:23" ht="30" customHeight="1">
      <c r="A437" s="74">
        <v>41</v>
      </c>
      <c r="B437" s="13">
        <v>6807</v>
      </c>
      <c r="C437" s="9" t="s">
        <v>1124</v>
      </c>
      <c r="D437" s="9" t="s">
        <v>1122</v>
      </c>
      <c r="E437" s="71" t="s">
        <v>1028</v>
      </c>
      <c r="F437" s="13">
        <v>2500</v>
      </c>
      <c r="G437" s="13">
        <v>0</v>
      </c>
      <c r="H437" s="13">
        <v>0</v>
      </c>
      <c r="I437" s="13">
        <v>0</v>
      </c>
      <c r="J437" s="13">
        <v>0</v>
      </c>
      <c r="K437" s="13">
        <v>0</v>
      </c>
      <c r="L437" s="13">
        <v>0</v>
      </c>
      <c r="M437" s="13">
        <v>0</v>
      </c>
      <c r="N437" s="12">
        <f t="shared" si="61"/>
        <v>0</v>
      </c>
      <c r="O437" s="13">
        <v>0</v>
      </c>
      <c r="P437" s="13">
        <v>0</v>
      </c>
      <c r="Q437" s="13">
        <v>0</v>
      </c>
      <c r="R437" s="14">
        <f t="shared" si="60"/>
        <v>0</v>
      </c>
      <c r="S437" s="13">
        <f t="shared" si="64"/>
        <v>100</v>
      </c>
      <c r="T437" s="13">
        <f t="shared" si="65"/>
        <v>200</v>
      </c>
      <c r="U437" s="13" t="s">
        <v>4181</v>
      </c>
      <c r="V437" s="72" t="s">
        <v>1123</v>
      </c>
      <c r="W437" t="s">
        <v>789</v>
      </c>
    </row>
    <row r="438" spans="1:23" ht="30" customHeight="1">
      <c r="A438" s="78">
        <v>1</v>
      </c>
      <c r="B438" s="13">
        <v>4254</v>
      </c>
      <c r="C438" s="63" t="s">
        <v>1125</v>
      </c>
      <c r="D438" s="63" t="s">
        <v>1126</v>
      </c>
      <c r="E438" s="71" t="s">
        <v>1127</v>
      </c>
      <c r="F438" s="60">
        <v>2100</v>
      </c>
      <c r="G438" s="60">
        <v>0</v>
      </c>
      <c r="H438" s="60">
        <v>0</v>
      </c>
      <c r="I438" s="60">
        <v>0</v>
      </c>
      <c r="J438" s="60">
        <v>0</v>
      </c>
      <c r="K438" s="60">
        <v>0</v>
      </c>
      <c r="L438" s="60">
        <v>0</v>
      </c>
      <c r="M438" s="60">
        <v>0</v>
      </c>
      <c r="N438" s="12">
        <f t="shared" si="61"/>
        <v>0</v>
      </c>
      <c r="O438" s="60">
        <v>0</v>
      </c>
      <c r="P438" s="13">
        <v>0</v>
      </c>
      <c r="Q438" s="13">
        <v>0</v>
      </c>
      <c r="R438" s="14">
        <f t="shared" si="60"/>
        <v>0</v>
      </c>
      <c r="S438" s="13">
        <f t="shared" si="64"/>
        <v>100</v>
      </c>
      <c r="T438" s="13">
        <f t="shared" si="65"/>
        <v>200</v>
      </c>
      <c r="U438" s="13" t="s">
        <v>4181</v>
      </c>
      <c r="V438" s="79" t="s">
        <v>1128</v>
      </c>
    </row>
    <row r="439" spans="1:23" ht="30" customHeight="1">
      <c r="A439" s="78">
        <v>2</v>
      </c>
      <c r="B439" s="13">
        <v>4319</v>
      </c>
      <c r="C439" s="9" t="s">
        <v>872</v>
      </c>
      <c r="D439" s="9" t="s">
        <v>1129</v>
      </c>
      <c r="E439" s="71" t="s">
        <v>1127</v>
      </c>
      <c r="F439" s="13">
        <v>2500</v>
      </c>
      <c r="G439" s="13">
        <v>0</v>
      </c>
      <c r="H439" s="13">
        <v>0</v>
      </c>
      <c r="I439" s="13">
        <v>0</v>
      </c>
      <c r="J439" s="13">
        <v>0</v>
      </c>
      <c r="K439" s="13">
        <v>0</v>
      </c>
      <c r="L439" s="13">
        <v>0</v>
      </c>
      <c r="M439" s="13">
        <v>0</v>
      </c>
      <c r="N439" s="12">
        <f t="shared" si="61"/>
        <v>0</v>
      </c>
      <c r="O439" s="13">
        <v>0</v>
      </c>
      <c r="P439" s="13">
        <v>0</v>
      </c>
      <c r="Q439" s="13">
        <v>0</v>
      </c>
      <c r="R439" s="14">
        <f t="shared" si="60"/>
        <v>0</v>
      </c>
      <c r="S439" s="13">
        <f t="shared" si="64"/>
        <v>100</v>
      </c>
      <c r="T439" s="13">
        <f t="shared" si="65"/>
        <v>200</v>
      </c>
      <c r="U439" s="13" t="s">
        <v>4181</v>
      </c>
      <c r="V439" s="15" t="s">
        <v>1130</v>
      </c>
    </row>
    <row r="440" spans="1:23" ht="30" customHeight="1">
      <c r="A440" s="78">
        <v>3</v>
      </c>
      <c r="B440" s="13">
        <v>4390</v>
      </c>
      <c r="C440" s="9" t="s">
        <v>979</v>
      </c>
      <c r="D440" s="9" t="s">
        <v>531</v>
      </c>
      <c r="E440" s="71" t="s">
        <v>1127</v>
      </c>
      <c r="F440" s="13">
        <v>2500</v>
      </c>
      <c r="G440" s="13">
        <v>0</v>
      </c>
      <c r="H440" s="13">
        <v>0</v>
      </c>
      <c r="I440" s="13">
        <v>0</v>
      </c>
      <c r="J440" s="13">
        <v>0</v>
      </c>
      <c r="K440" s="13">
        <v>0</v>
      </c>
      <c r="L440" s="13">
        <v>0</v>
      </c>
      <c r="M440" s="13">
        <v>0</v>
      </c>
      <c r="N440" s="12">
        <f t="shared" si="61"/>
        <v>0</v>
      </c>
      <c r="O440" s="13">
        <v>0</v>
      </c>
      <c r="P440" s="13">
        <v>0</v>
      </c>
      <c r="Q440" s="13">
        <v>0</v>
      </c>
      <c r="R440" s="14">
        <f t="shared" si="60"/>
        <v>0</v>
      </c>
      <c r="S440" s="13">
        <f t="shared" si="64"/>
        <v>100</v>
      </c>
      <c r="T440" s="13">
        <f t="shared" si="65"/>
        <v>200</v>
      </c>
      <c r="U440" s="13" t="s">
        <v>4181</v>
      </c>
      <c r="V440" s="15" t="s">
        <v>880</v>
      </c>
    </row>
    <row r="441" spans="1:23" ht="30" customHeight="1">
      <c r="A441" s="78">
        <v>4</v>
      </c>
      <c r="B441" s="13">
        <v>4409</v>
      </c>
      <c r="C441" s="9" t="s">
        <v>1131</v>
      </c>
      <c r="D441" s="9" t="s">
        <v>550</v>
      </c>
      <c r="E441" s="71" t="s">
        <v>1127</v>
      </c>
      <c r="F441" s="13">
        <v>1600</v>
      </c>
      <c r="G441" s="13">
        <v>0</v>
      </c>
      <c r="H441" s="13">
        <v>0</v>
      </c>
      <c r="I441" s="13">
        <v>0</v>
      </c>
      <c r="J441" s="13">
        <v>0</v>
      </c>
      <c r="K441" s="13">
        <v>0</v>
      </c>
      <c r="L441" s="13">
        <v>0</v>
      </c>
      <c r="M441" s="13">
        <v>0</v>
      </c>
      <c r="N441" s="12">
        <f t="shared" si="61"/>
        <v>0</v>
      </c>
      <c r="O441" s="13">
        <v>0</v>
      </c>
      <c r="P441" s="13">
        <v>0</v>
      </c>
      <c r="Q441" s="13">
        <v>0</v>
      </c>
      <c r="R441" s="14">
        <f t="shared" si="60"/>
        <v>0</v>
      </c>
      <c r="S441" s="13">
        <f t="shared" si="64"/>
        <v>100</v>
      </c>
      <c r="T441" s="13">
        <f t="shared" si="65"/>
        <v>200</v>
      </c>
      <c r="U441" s="13" t="s">
        <v>4181</v>
      </c>
      <c r="V441" s="15" t="s">
        <v>1132</v>
      </c>
    </row>
    <row r="442" spans="1:23" ht="30" customHeight="1">
      <c r="A442" s="78">
        <v>5</v>
      </c>
      <c r="B442" s="13">
        <v>4427</v>
      </c>
      <c r="C442" s="9" t="s">
        <v>1133</v>
      </c>
      <c r="D442" s="9" t="s">
        <v>233</v>
      </c>
      <c r="E442" s="71" t="s">
        <v>1127</v>
      </c>
      <c r="F442" s="13">
        <v>2500</v>
      </c>
      <c r="G442" s="13">
        <v>0</v>
      </c>
      <c r="H442" s="13">
        <v>0</v>
      </c>
      <c r="I442" s="13">
        <v>0</v>
      </c>
      <c r="J442" s="13">
        <v>0</v>
      </c>
      <c r="K442" s="13">
        <v>0</v>
      </c>
      <c r="L442" s="13">
        <v>0</v>
      </c>
      <c r="M442" s="13">
        <v>0</v>
      </c>
      <c r="N442" s="12">
        <f t="shared" si="61"/>
        <v>0</v>
      </c>
      <c r="O442" s="13">
        <v>0</v>
      </c>
      <c r="P442" s="13">
        <v>0</v>
      </c>
      <c r="Q442" s="13">
        <v>0</v>
      </c>
      <c r="R442" s="14">
        <f t="shared" si="60"/>
        <v>0</v>
      </c>
      <c r="S442" s="13">
        <f t="shared" si="64"/>
        <v>100</v>
      </c>
      <c r="T442" s="13">
        <f t="shared" si="65"/>
        <v>200</v>
      </c>
      <c r="U442" s="13" t="s">
        <v>4181</v>
      </c>
      <c r="V442" s="15" t="s">
        <v>1134</v>
      </c>
    </row>
    <row r="443" spans="1:23" ht="30" customHeight="1">
      <c r="A443" s="78">
        <v>6</v>
      </c>
      <c r="B443" s="13">
        <v>4430</v>
      </c>
      <c r="C443" s="9" t="s">
        <v>1135</v>
      </c>
      <c r="D443" s="9" t="s">
        <v>1136</v>
      </c>
      <c r="E443" s="71" t="s">
        <v>1127</v>
      </c>
      <c r="F443" s="13">
        <v>2500</v>
      </c>
      <c r="G443" s="13">
        <v>0</v>
      </c>
      <c r="H443" s="13">
        <v>0</v>
      </c>
      <c r="I443" s="13">
        <v>0</v>
      </c>
      <c r="J443" s="13">
        <v>0</v>
      </c>
      <c r="K443" s="13">
        <v>0</v>
      </c>
      <c r="L443" s="13">
        <v>0</v>
      </c>
      <c r="M443" s="13">
        <v>0</v>
      </c>
      <c r="N443" s="12">
        <f t="shared" si="61"/>
        <v>0</v>
      </c>
      <c r="O443" s="13">
        <v>0</v>
      </c>
      <c r="P443" s="13">
        <v>0</v>
      </c>
      <c r="Q443" s="13">
        <v>0</v>
      </c>
      <c r="R443" s="14">
        <f t="shared" si="60"/>
        <v>0</v>
      </c>
      <c r="S443" s="13">
        <f t="shared" si="64"/>
        <v>100</v>
      </c>
      <c r="T443" s="13">
        <f t="shared" si="65"/>
        <v>200</v>
      </c>
      <c r="U443" s="13" t="s">
        <v>4181</v>
      </c>
      <c r="V443" s="15" t="s">
        <v>1137</v>
      </c>
      <c r="W443" t="s">
        <v>1138</v>
      </c>
    </row>
    <row r="444" spans="1:23" ht="30" customHeight="1">
      <c r="A444" s="78">
        <v>7</v>
      </c>
      <c r="B444" s="13">
        <v>4454</v>
      </c>
      <c r="C444" s="9" t="s">
        <v>1139</v>
      </c>
      <c r="D444" s="9" t="s">
        <v>1140</v>
      </c>
      <c r="E444" s="71" t="s">
        <v>1127</v>
      </c>
      <c r="F444" s="13">
        <v>2500</v>
      </c>
      <c r="G444" s="13">
        <v>0</v>
      </c>
      <c r="H444" s="13">
        <v>0</v>
      </c>
      <c r="I444" s="13">
        <v>0</v>
      </c>
      <c r="J444" s="13">
        <v>0</v>
      </c>
      <c r="K444" s="13">
        <v>0</v>
      </c>
      <c r="L444" s="13">
        <v>0</v>
      </c>
      <c r="M444" s="13">
        <v>0</v>
      </c>
      <c r="N444" s="12">
        <f t="shared" si="61"/>
        <v>0</v>
      </c>
      <c r="O444" s="13">
        <v>0</v>
      </c>
      <c r="P444" s="13">
        <v>0</v>
      </c>
      <c r="Q444" s="13">
        <v>0</v>
      </c>
      <c r="R444" s="14">
        <f t="shared" si="60"/>
        <v>0</v>
      </c>
      <c r="S444" s="13">
        <f t="shared" si="64"/>
        <v>100</v>
      </c>
      <c r="T444" s="13">
        <f t="shared" si="65"/>
        <v>200</v>
      </c>
      <c r="U444" s="13" t="s">
        <v>4181</v>
      </c>
      <c r="V444" s="15" t="s">
        <v>1141</v>
      </c>
    </row>
    <row r="445" spans="1:23" ht="30" customHeight="1">
      <c r="A445" s="78">
        <v>8</v>
      </c>
      <c r="B445" s="13">
        <v>4460</v>
      </c>
      <c r="C445" s="9" t="s">
        <v>1142</v>
      </c>
      <c r="D445" s="9" t="s">
        <v>1143</v>
      </c>
      <c r="E445" s="71" t="s">
        <v>1127</v>
      </c>
      <c r="F445" s="13">
        <v>2500</v>
      </c>
      <c r="G445" s="13">
        <v>0</v>
      </c>
      <c r="H445" s="13">
        <v>0</v>
      </c>
      <c r="I445" s="13">
        <v>0</v>
      </c>
      <c r="J445" s="13">
        <v>0</v>
      </c>
      <c r="K445" s="13">
        <v>0</v>
      </c>
      <c r="L445" s="13">
        <v>0</v>
      </c>
      <c r="M445" s="13">
        <v>0</v>
      </c>
      <c r="N445" s="12">
        <f t="shared" si="61"/>
        <v>0</v>
      </c>
      <c r="O445" s="13">
        <v>0</v>
      </c>
      <c r="P445" s="13">
        <v>0</v>
      </c>
      <c r="Q445" s="13">
        <v>0</v>
      </c>
      <c r="R445" s="14">
        <f t="shared" si="60"/>
        <v>0</v>
      </c>
      <c r="S445" s="13">
        <f t="shared" si="64"/>
        <v>100</v>
      </c>
      <c r="T445" s="13">
        <f t="shared" si="65"/>
        <v>200</v>
      </c>
      <c r="U445" s="13" t="s">
        <v>4181</v>
      </c>
      <c r="V445" s="15" t="s">
        <v>1144</v>
      </c>
    </row>
    <row r="446" spans="1:23" ht="30" customHeight="1">
      <c r="A446" s="78">
        <v>9</v>
      </c>
      <c r="B446" s="13">
        <v>4466</v>
      </c>
      <c r="C446" s="9" t="s">
        <v>1145</v>
      </c>
      <c r="D446" s="9" t="s">
        <v>1146</v>
      </c>
      <c r="E446" s="71" t="s">
        <v>1127</v>
      </c>
      <c r="F446" s="13">
        <v>2500</v>
      </c>
      <c r="G446" s="13">
        <v>0</v>
      </c>
      <c r="H446" s="13">
        <v>0</v>
      </c>
      <c r="I446" s="13">
        <v>0</v>
      </c>
      <c r="J446" s="13">
        <v>0</v>
      </c>
      <c r="K446" s="13">
        <v>0</v>
      </c>
      <c r="L446" s="13">
        <v>0</v>
      </c>
      <c r="M446" s="13">
        <v>0</v>
      </c>
      <c r="N446" s="12">
        <f t="shared" si="61"/>
        <v>0</v>
      </c>
      <c r="O446" s="13">
        <v>0</v>
      </c>
      <c r="P446" s="13">
        <v>0</v>
      </c>
      <c r="Q446" s="13">
        <v>0</v>
      </c>
      <c r="R446" s="14">
        <f t="shared" si="60"/>
        <v>0</v>
      </c>
      <c r="S446" s="13">
        <f t="shared" si="64"/>
        <v>100</v>
      </c>
      <c r="T446" s="13">
        <f t="shared" si="65"/>
        <v>200</v>
      </c>
      <c r="U446" s="13" t="s">
        <v>4181</v>
      </c>
      <c r="V446" s="72" t="s">
        <v>1147</v>
      </c>
    </row>
    <row r="447" spans="1:23" ht="30" customHeight="1">
      <c r="A447" s="78">
        <v>10</v>
      </c>
      <c r="B447" s="13">
        <v>4467</v>
      </c>
      <c r="C447" s="9" t="s">
        <v>1148</v>
      </c>
      <c r="D447" s="9" t="s">
        <v>729</v>
      </c>
      <c r="E447" s="71" t="s">
        <v>1127</v>
      </c>
      <c r="F447" s="13">
        <v>2300</v>
      </c>
      <c r="G447" s="13">
        <v>0</v>
      </c>
      <c r="H447" s="13">
        <v>0</v>
      </c>
      <c r="I447" s="13">
        <v>0</v>
      </c>
      <c r="J447" s="13">
        <v>0</v>
      </c>
      <c r="K447" s="13">
        <v>0</v>
      </c>
      <c r="L447" s="13">
        <v>0</v>
      </c>
      <c r="M447" s="13">
        <v>0</v>
      </c>
      <c r="N447" s="12">
        <f t="shared" si="61"/>
        <v>0</v>
      </c>
      <c r="O447" s="13">
        <v>0</v>
      </c>
      <c r="P447" s="13">
        <v>0</v>
      </c>
      <c r="Q447" s="13">
        <v>0</v>
      </c>
      <c r="R447" s="14">
        <f t="shared" si="60"/>
        <v>0</v>
      </c>
      <c r="S447" s="13">
        <f t="shared" si="64"/>
        <v>100</v>
      </c>
      <c r="T447" s="13">
        <f t="shared" si="65"/>
        <v>200</v>
      </c>
      <c r="U447" s="13" t="s">
        <v>4181</v>
      </c>
      <c r="V447" s="72" t="s">
        <v>730</v>
      </c>
    </row>
    <row r="448" spans="1:23" ht="30" customHeight="1">
      <c r="A448" s="78">
        <v>11</v>
      </c>
      <c r="B448" s="13">
        <v>4521</v>
      </c>
      <c r="C448" s="9" t="s">
        <v>1149</v>
      </c>
      <c r="D448" s="9" t="s">
        <v>1150</v>
      </c>
      <c r="E448" s="71" t="s">
        <v>1127</v>
      </c>
      <c r="F448" s="13">
        <v>0</v>
      </c>
      <c r="G448" s="13">
        <v>0</v>
      </c>
      <c r="H448" s="13">
        <v>0</v>
      </c>
      <c r="I448" s="13">
        <v>0</v>
      </c>
      <c r="J448" s="13">
        <v>0</v>
      </c>
      <c r="K448" s="13">
        <v>0</v>
      </c>
      <c r="L448" s="13">
        <v>0</v>
      </c>
      <c r="M448" s="13">
        <v>0</v>
      </c>
      <c r="N448" s="12">
        <f t="shared" si="61"/>
        <v>0</v>
      </c>
      <c r="O448" s="13">
        <v>0</v>
      </c>
      <c r="P448" s="13">
        <v>0</v>
      </c>
      <c r="Q448" s="13">
        <v>0</v>
      </c>
      <c r="R448" s="14">
        <f t="shared" si="60"/>
        <v>0</v>
      </c>
      <c r="S448" s="13">
        <f t="shared" si="64"/>
        <v>100</v>
      </c>
      <c r="T448" s="13">
        <f t="shared" si="65"/>
        <v>200</v>
      </c>
      <c r="U448" s="13" t="s">
        <v>4181</v>
      </c>
      <c r="V448" s="15" t="s">
        <v>1151</v>
      </c>
      <c r="W448" t="s">
        <v>1053</v>
      </c>
    </row>
    <row r="449" spans="1:23" ht="30" customHeight="1">
      <c r="A449" s="78">
        <v>12</v>
      </c>
      <c r="B449" s="13">
        <v>4571</v>
      </c>
      <c r="C449" s="9" t="s">
        <v>1152</v>
      </c>
      <c r="D449" s="9" t="s">
        <v>1153</v>
      </c>
      <c r="E449" s="71" t="s">
        <v>1127</v>
      </c>
      <c r="F449" s="13">
        <v>2500</v>
      </c>
      <c r="G449" s="13">
        <v>0</v>
      </c>
      <c r="H449" s="13">
        <v>0</v>
      </c>
      <c r="I449" s="13">
        <v>0</v>
      </c>
      <c r="J449" s="13">
        <v>0</v>
      </c>
      <c r="K449" s="13">
        <v>0</v>
      </c>
      <c r="L449" s="13">
        <v>0</v>
      </c>
      <c r="M449" s="13">
        <v>0</v>
      </c>
      <c r="N449" s="12">
        <f t="shared" si="61"/>
        <v>0</v>
      </c>
      <c r="O449" s="13">
        <v>0</v>
      </c>
      <c r="P449" s="13">
        <v>0</v>
      </c>
      <c r="Q449" s="13">
        <v>0</v>
      </c>
      <c r="R449" s="14">
        <f t="shared" si="60"/>
        <v>0</v>
      </c>
      <c r="S449" s="13">
        <f t="shared" si="64"/>
        <v>100</v>
      </c>
      <c r="T449" s="13">
        <f t="shared" si="65"/>
        <v>200</v>
      </c>
      <c r="U449" s="13" t="s">
        <v>4181</v>
      </c>
      <c r="V449" s="15" t="s">
        <v>1154</v>
      </c>
    </row>
    <row r="450" spans="1:23" ht="30" customHeight="1">
      <c r="A450" s="78">
        <v>13</v>
      </c>
      <c r="B450" s="8">
        <v>4609</v>
      </c>
      <c r="C450" s="10" t="s">
        <v>1155</v>
      </c>
      <c r="D450" s="10" t="s">
        <v>1156</v>
      </c>
      <c r="E450" s="71" t="s">
        <v>1127</v>
      </c>
      <c r="F450" s="13">
        <v>1200</v>
      </c>
      <c r="G450" s="13">
        <v>0</v>
      </c>
      <c r="H450" s="13">
        <v>0</v>
      </c>
      <c r="I450" s="13">
        <v>0</v>
      </c>
      <c r="J450" s="13">
        <v>0</v>
      </c>
      <c r="K450" s="13">
        <v>0</v>
      </c>
      <c r="L450" s="13">
        <v>0</v>
      </c>
      <c r="M450" s="13">
        <v>0</v>
      </c>
      <c r="N450" s="12">
        <f t="shared" si="61"/>
        <v>0</v>
      </c>
      <c r="O450" s="13">
        <v>0</v>
      </c>
      <c r="P450" s="13">
        <v>0</v>
      </c>
      <c r="Q450" s="13">
        <v>0</v>
      </c>
      <c r="R450" s="14">
        <f t="shared" si="60"/>
        <v>0</v>
      </c>
      <c r="S450" s="13">
        <f t="shared" si="64"/>
        <v>100</v>
      </c>
      <c r="T450" s="13">
        <f t="shared" si="65"/>
        <v>200</v>
      </c>
      <c r="U450" s="13" t="s">
        <v>4181</v>
      </c>
      <c r="V450" s="15" t="s">
        <v>1157</v>
      </c>
      <c r="W450" t="s">
        <v>4179</v>
      </c>
    </row>
    <row r="451" spans="1:23" ht="30" customHeight="1">
      <c r="A451" s="78">
        <v>14</v>
      </c>
      <c r="B451" s="13">
        <v>4706</v>
      </c>
      <c r="C451" s="9" t="s">
        <v>1158</v>
      </c>
      <c r="D451" s="9" t="s">
        <v>1159</v>
      </c>
      <c r="E451" s="71" t="s">
        <v>1127</v>
      </c>
      <c r="F451" s="13">
        <v>2500</v>
      </c>
      <c r="G451" s="13">
        <v>0</v>
      </c>
      <c r="H451" s="13">
        <v>0</v>
      </c>
      <c r="I451" s="13">
        <v>0</v>
      </c>
      <c r="J451" s="13">
        <v>0</v>
      </c>
      <c r="K451" s="13">
        <v>0</v>
      </c>
      <c r="L451" s="13">
        <v>0</v>
      </c>
      <c r="M451" s="13">
        <v>0</v>
      </c>
      <c r="N451" s="12">
        <f t="shared" si="61"/>
        <v>0</v>
      </c>
      <c r="O451" s="13">
        <v>0</v>
      </c>
      <c r="P451" s="13">
        <v>0</v>
      </c>
      <c r="Q451" s="13">
        <v>0</v>
      </c>
      <c r="R451" s="14">
        <f t="shared" si="60"/>
        <v>0</v>
      </c>
      <c r="S451" s="13">
        <f t="shared" si="64"/>
        <v>100</v>
      </c>
      <c r="T451" s="13">
        <f t="shared" si="65"/>
        <v>200</v>
      </c>
      <c r="U451" s="13" t="s">
        <v>4181</v>
      </c>
      <c r="V451" s="15" t="s">
        <v>1160</v>
      </c>
      <c r="W451" t="s">
        <v>1005</v>
      </c>
    </row>
    <row r="452" spans="1:23" ht="30" customHeight="1">
      <c r="A452" s="78">
        <v>15</v>
      </c>
      <c r="B452" s="13">
        <v>4740</v>
      </c>
      <c r="C452" s="9" t="s">
        <v>1161</v>
      </c>
      <c r="D452" s="9" t="s">
        <v>1162</v>
      </c>
      <c r="E452" s="71" t="s">
        <v>1127</v>
      </c>
      <c r="F452" s="13">
        <v>0</v>
      </c>
      <c r="G452" s="13">
        <v>0</v>
      </c>
      <c r="H452" s="13">
        <v>0</v>
      </c>
      <c r="I452" s="13">
        <v>0</v>
      </c>
      <c r="J452" s="13">
        <v>0</v>
      </c>
      <c r="K452" s="13">
        <v>0</v>
      </c>
      <c r="L452" s="13">
        <v>0</v>
      </c>
      <c r="M452" s="13">
        <v>0</v>
      </c>
      <c r="N452" s="12">
        <f t="shared" si="61"/>
        <v>0</v>
      </c>
      <c r="O452" s="13">
        <v>0</v>
      </c>
      <c r="P452" s="13">
        <v>0</v>
      </c>
      <c r="Q452" s="13">
        <v>0</v>
      </c>
      <c r="R452" s="14">
        <f t="shared" si="60"/>
        <v>0</v>
      </c>
      <c r="S452" s="13">
        <f t="shared" si="64"/>
        <v>100</v>
      </c>
      <c r="T452" s="13">
        <f t="shared" si="65"/>
        <v>200</v>
      </c>
      <c r="U452" s="13" t="s">
        <v>4181</v>
      </c>
      <c r="V452" s="15" t="s">
        <v>1163</v>
      </c>
    </row>
    <row r="453" spans="1:23" ht="30" customHeight="1">
      <c r="A453" s="78">
        <v>16</v>
      </c>
      <c r="B453" s="13">
        <v>4826</v>
      </c>
      <c r="C453" s="9" t="s">
        <v>1164</v>
      </c>
      <c r="D453" s="9" t="s">
        <v>464</v>
      </c>
      <c r="E453" s="71" t="s">
        <v>1127</v>
      </c>
      <c r="F453" s="13">
        <v>2500</v>
      </c>
      <c r="G453" s="13">
        <v>0</v>
      </c>
      <c r="H453" s="13">
        <v>0</v>
      </c>
      <c r="I453" s="13">
        <v>0</v>
      </c>
      <c r="J453" s="13">
        <v>0</v>
      </c>
      <c r="K453" s="13">
        <v>0</v>
      </c>
      <c r="L453" s="13">
        <v>0</v>
      </c>
      <c r="M453" s="13">
        <v>0</v>
      </c>
      <c r="N453" s="12">
        <f t="shared" si="61"/>
        <v>0</v>
      </c>
      <c r="O453" s="13">
        <v>0</v>
      </c>
      <c r="P453" s="13">
        <v>0</v>
      </c>
      <c r="Q453" s="13">
        <v>0</v>
      </c>
      <c r="R453" s="14">
        <f t="shared" ref="R453:R485" si="66">(SUM(N453:Q453))</f>
        <v>0</v>
      </c>
      <c r="S453" s="13">
        <f t="shared" ref="S453:S469" si="67">R453+100</f>
        <v>100</v>
      </c>
      <c r="T453" s="13">
        <f t="shared" ref="T453:T469" si="68">R453+200</f>
        <v>200</v>
      </c>
      <c r="U453" s="13" t="s">
        <v>4181</v>
      </c>
      <c r="V453" s="15" t="s">
        <v>465</v>
      </c>
    </row>
    <row r="454" spans="1:23" ht="30" customHeight="1">
      <c r="A454" s="78">
        <v>17</v>
      </c>
      <c r="B454" s="13">
        <v>4873</v>
      </c>
      <c r="C454" s="9" t="s">
        <v>1165</v>
      </c>
      <c r="D454" s="9" t="s">
        <v>1166</v>
      </c>
      <c r="E454" s="71" t="s">
        <v>1127</v>
      </c>
      <c r="F454" s="13">
        <v>2500</v>
      </c>
      <c r="G454" s="13">
        <v>0</v>
      </c>
      <c r="H454" s="13">
        <v>0</v>
      </c>
      <c r="I454" s="13">
        <v>0</v>
      </c>
      <c r="J454" s="13" t="s">
        <v>506</v>
      </c>
      <c r="K454" s="13">
        <v>0</v>
      </c>
      <c r="L454" s="13">
        <v>0</v>
      </c>
      <c r="M454" s="13">
        <v>0</v>
      </c>
      <c r="N454" s="12">
        <f t="shared" ref="N454:N486" si="69">(SUM(G454:M454))</f>
        <v>0</v>
      </c>
      <c r="O454" s="13">
        <v>2500</v>
      </c>
      <c r="P454" s="13">
        <v>0</v>
      </c>
      <c r="Q454" s="13">
        <v>0</v>
      </c>
      <c r="R454" s="14">
        <f t="shared" si="66"/>
        <v>2500</v>
      </c>
      <c r="S454" s="13">
        <f t="shared" si="67"/>
        <v>2600</v>
      </c>
      <c r="T454" s="13">
        <f t="shared" si="68"/>
        <v>2700</v>
      </c>
      <c r="U454" s="13" t="s">
        <v>4181</v>
      </c>
      <c r="V454" s="15" t="s">
        <v>1167</v>
      </c>
    </row>
    <row r="455" spans="1:23" ht="30" customHeight="1">
      <c r="A455" s="78">
        <v>18</v>
      </c>
      <c r="B455" s="8">
        <v>5005</v>
      </c>
      <c r="C455" s="10" t="s">
        <v>1168</v>
      </c>
      <c r="D455" s="10" t="s">
        <v>181</v>
      </c>
      <c r="E455" s="71" t="s">
        <v>1127</v>
      </c>
      <c r="F455" s="8">
        <v>2200</v>
      </c>
      <c r="G455" s="8">
        <v>0</v>
      </c>
      <c r="H455" s="8">
        <v>0</v>
      </c>
      <c r="I455" s="8">
        <v>0</v>
      </c>
      <c r="J455" s="8">
        <v>0</v>
      </c>
      <c r="K455" s="8">
        <v>0</v>
      </c>
      <c r="L455" s="8">
        <v>0</v>
      </c>
      <c r="M455" s="8">
        <v>0</v>
      </c>
      <c r="N455" s="12">
        <f t="shared" si="69"/>
        <v>0</v>
      </c>
      <c r="O455" s="8">
        <v>0</v>
      </c>
      <c r="P455" s="13">
        <v>0</v>
      </c>
      <c r="Q455" s="13">
        <v>0</v>
      </c>
      <c r="R455" s="14">
        <f t="shared" si="66"/>
        <v>0</v>
      </c>
      <c r="S455" s="13">
        <f t="shared" si="67"/>
        <v>100</v>
      </c>
      <c r="T455" s="13">
        <f t="shared" si="68"/>
        <v>200</v>
      </c>
      <c r="U455" s="13" t="s">
        <v>4181</v>
      </c>
      <c r="V455" s="56" t="s">
        <v>1169</v>
      </c>
    </row>
    <row r="456" spans="1:23" ht="30" customHeight="1">
      <c r="A456" s="78">
        <v>19</v>
      </c>
      <c r="B456" s="13">
        <v>5098</v>
      </c>
      <c r="C456" s="9" t="s">
        <v>689</v>
      </c>
      <c r="D456" s="9" t="s">
        <v>684</v>
      </c>
      <c r="E456" s="71" t="s">
        <v>1127</v>
      </c>
      <c r="F456" s="13">
        <v>2500</v>
      </c>
      <c r="G456" s="13">
        <v>0</v>
      </c>
      <c r="H456" s="13">
        <v>0</v>
      </c>
      <c r="I456" s="13">
        <v>0</v>
      </c>
      <c r="J456" s="13">
        <v>0</v>
      </c>
      <c r="K456" s="13">
        <v>0</v>
      </c>
      <c r="L456" s="13">
        <v>0</v>
      </c>
      <c r="M456" s="13">
        <v>0</v>
      </c>
      <c r="N456" s="12">
        <f t="shared" si="69"/>
        <v>0</v>
      </c>
      <c r="O456" s="13">
        <v>0</v>
      </c>
      <c r="P456" s="13">
        <v>0</v>
      </c>
      <c r="Q456" s="13">
        <v>0</v>
      </c>
      <c r="R456" s="14">
        <f t="shared" si="66"/>
        <v>0</v>
      </c>
      <c r="S456" s="13">
        <f t="shared" si="67"/>
        <v>100</v>
      </c>
      <c r="T456" s="13">
        <f t="shared" si="68"/>
        <v>200</v>
      </c>
      <c r="U456" s="13" t="s">
        <v>4181</v>
      </c>
      <c r="V456" s="15" t="s">
        <v>1170</v>
      </c>
    </row>
    <row r="457" spans="1:23" ht="30" customHeight="1">
      <c r="A457" s="78">
        <v>20</v>
      </c>
      <c r="B457" s="13">
        <v>6026</v>
      </c>
      <c r="C457" s="9" t="s">
        <v>886</v>
      </c>
      <c r="D457" s="9" t="s">
        <v>1171</v>
      </c>
      <c r="E457" s="71" t="s">
        <v>1127</v>
      </c>
      <c r="F457" s="13">
        <v>2000</v>
      </c>
      <c r="G457" s="13">
        <v>0</v>
      </c>
      <c r="H457" s="13">
        <v>0</v>
      </c>
      <c r="I457" s="13">
        <v>0</v>
      </c>
      <c r="J457" s="13">
        <v>0</v>
      </c>
      <c r="K457" s="13">
        <v>0</v>
      </c>
      <c r="L457" s="13">
        <v>0</v>
      </c>
      <c r="M457" s="13">
        <v>0</v>
      </c>
      <c r="N457" s="12">
        <f t="shared" si="69"/>
        <v>0</v>
      </c>
      <c r="O457" s="13">
        <v>0</v>
      </c>
      <c r="P457" s="13">
        <v>0</v>
      </c>
      <c r="Q457" s="13">
        <v>0</v>
      </c>
      <c r="R457" s="14">
        <f t="shared" si="66"/>
        <v>0</v>
      </c>
      <c r="S457" s="13">
        <f t="shared" si="67"/>
        <v>100</v>
      </c>
      <c r="T457" s="13">
        <f t="shared" si="68"/>
        <v>200</v>
      </c>
      <c r="U457" s="13" t="s">
        <v>4181</v>
      </c>
      <c r="V457" s="15" t="s">
        <v>840</v>
      </c>
    </row>
    <row r="458" spans="1:23" ht="30" customHeight="1">
      <c r="A458" s="78">
        <v>21</v>
      </c>
      <c r="B458" s="13">
        <v>6101</v>
      </c>
      <c r="C458" s="9" t="s">
        <v>1172</v>
      </c>
      <c r="D458" s="9" t="s">
        <v>83</v>
      </c>
      <c r="E458" s="71" t="s">
        <v>1127</v>
      </c>
      <c r="F458" s="13">
        <v>2500</v>
      </c>
      <c r="G458" s="13">
        <v>0</v>
      </c>
      <c r="H458" s="13">
        <v>0</v>
      </c>
      <c r="I458" s="13">
        <v>0</v>
      </c>
      <c r="J458" s="13">
        <v>0</v>
      </c>
      <c r="K458" s="13">
        <v>0</v>
      </c>
      <c r="L458" s="13">
        <v>0</v>
      </c>
      <c r="M458" s="13">
        <v>0</v>
      </c>
      <c r="N458" s="12">
        <f t="shared" si="69"/>
        <v>0</v>
      </c>
      <c r="O458" s="13">
        <v>0</v>
      </c>
      <c r="P458" s="13">
        <v>0</v>
      </c>
      <c r="Q458" s="13">
        <v>0</v>
      </c>
      <c r="R458" s="14">
        <f t="shared" si="66"/>
        <v>0</v>
      </c>
      <c r="S458" s="13">
        <f t="shared" si="67"/>
        <v>100</v>
      </c>
      <c r="T458" s="13">
        <f t="shared" si="68"/>
        <v>200</v>
      </c>
      <c r="U458" s="13" t="s">
        <v>4181</v>
      </c>
      <c r="V458" s="15" t="s">
        <v>395</v>
      </c>
    </row>
    <row r="459" spans="1:23" ht="30" customHeight="1">
      <c r="A459" s="78">
        <v>22</v>
      </c>
      <c r="B459" s="13">
        <v>6227</v>
      </c>
      <c r="C459" s="9" t="s">
        <v>1173</v>
      </c>
      <c r="D459" s="9" t="s">
        <v>1174</v>
      </c>
      <c r="E459" s="71" t="s">
        <v>1127</v>
      </c>
      <c r="F459" s="13">
        <v>2500</v>
      </c>
      <c r="G459" s="13">
        <v>0</v>
      </c>
      <c r="H459" s="13">
        <v>0</v>
      </c>
      <c r="I459" s="13">
        <v>0</v>
      </c>
      <c r="J459" s="13">
        <v>0</v>
      </c>
      <c r="K459" s="13">
        <v>1600</v>
      </c>
      <c r="L459" s="13">
        <v>2500</v>
      </c>
      <c r="M459" s="13">
        <v>2500</v>
      </c>
      <c r="N459" s="12">
        <f t="shared" si="69"/>
        <v>6600</v>
      </c>
      <c r="O459" s="13">
        <v>2500</v>
      </c>
      <c r="P459" s="13">
        <v>0</v>
      </c>
      <c r="Q459" s="13">
        <v>0</v>
      </c>
      <c r="R459" s="14">
        <f t="shared" si="66"/>
        <v>9100</v>
      </c>
      <c r="S459" s="13">
        <f t="shared" si="67"/>
        <v>9200</v>
      </c>
      <c r="T459" s="13">
        <f t="shared" si="68"/>
        <v>9300</v>
      </c>
      <c r="U459" s="13" t="s">
        <v>4181</v>
      </c>
      <c r="V459" s="15" t="s">
        <v>1175</v>
      </c>
    </row>
    <row r="460" spans="1:23" ht="30" customHeight="1">
      <c r="A460" s="78">
        <v>23</v>
      </c>
      <c r="B460" s="13">
        <v>6296</v>
      </c>
      <c r="C460" s="9" t="s">
        <v>1176</v>
      </c>
      <c r="D460" s="9" t="s">
        <v>1177</v>
      </c>
      <c r="E460" s="71" t="s">
        <v>1127</v>
      </c>
      <c r="F460" s="13">
        <v>2500</v>
      </c>
      <c r="G460" s="13">
        <v>0</v>
      </c>
      <c r="H460" s="13">
        <v>0</v>
      </c>
      <c r="I460" s="13">
        <v>0</v>
      </c>
      <c r="J460" s="13">
        <v>0</v>
      </c>
      <c r="K460" s="13">
        <v>0</v>
      </c>
      <c r="L460" s="13">
        <v>0</v>
      </c>
      <c r="M460" s="13">
        <v>0</v>
      </c>
      <c r="N460" s="12">
        <f t="shared" si="69"/>
        <v>0</v>
      </c>
      <c r="O460" s="13">
        <v>0</v>
      </c>
      <c r="P460" s="13">
        <v>0</v>
      </c>
      <c r="Q460" s="13">
        <v>0</v>
      </c>
      <c r="R460" s="14">
        <f t="shared" si="66"/>
        <v>0</v>
      </c>
      <c r="S460" s="13">
        <f t="shared" si="67"/>
        <v>100</v>
      </c>
      <c r="T460" s="13">
        <f t="shared" si="68"/>
        <v>200</v>
      </c>
      <c r="U460" s="13" t="s">
        <v>4181</v>
      </c>
      <c r="V460" s="72" t="s">
        <v>1178</v>
      </c>
    </row>
    <row r="461" spans="1:23" ht="30" customHeight="1">
      <c r="A461" s="78">
        <v>24</v>
      </c>
      <c r="B461" s="13">
        <v>6314</v>
      </c>
      <c r="C461" s="9" t="s">
        <v>1179</v>
      </c>
      <c r="D461" s="9" t="s">
        <v>696</v>
      </c>
      <c r="E461" s="71" t="s">
        <v>1127</v>
      </c>
      <c r="F461" s="13">
        <v>2500</v>
      </c>
      <c r="G461" s="13">
        <v>0</v>
      </c>
      <c r="H461" s="13">
        <v>0</v>
      </c>
      <c r="I461" s="13">
        <v>0</v>
      </c>
      <c r="J461" s="13">
        <v>0</v>
      </c>
      <c r="K461" s="13">
        <v>0</v>
      </c>
      <c r="L461" s="13">
        <v>0</v>
      </c>
      <c r="M461" s="13">
        <v>0</v>
      </c>
      <c r="N461" s="12">
        <f t="shared" si="69"/>
        <v>0</v>
      </c>
      <c r="O461" s="13">
        <v>0</v>
      </c>
      <c r="P461" s="13">
        <v>0</v>
      </c>
      <c r="Q461" s="13">
        <v>0</v>
      </c>
      <c r="R461" s="14">
        <f t="shared" si="66"/>
        <v>0</v>
      </c>
      <c r="S461" s="13">
        <f t="shared" si="67"/>
        <v>100</v>
      </c>
      <c r="T461" s="13">
        <f t="shared" si="68"/>
        <v>200</v>
      </c>
      <c r="U461" s="13" t="s">
        <v>4181</v>
      </c>
      <c r="V461" s="72" t="s">
        <v>695</v>
      </c>
    </row>
    <row r="462" spans="1:23" ht="30" customHeight="1">
      <c r="A462" s="78">
        <v>25</v>
      </c>
      <c r="B462" s="13">
        <v>6497</v>
      </c>
      <c r="C462" s="9" t="s">
        <v>1180</v>
      </c>
      <c r="D462" s="9" t="s">
        <v>1181</v>
      </c>
      <c r="E462" s="71" t="s">
        <v>1127</v>
      </c>
      <c r="F462" s="13">
        <v>0</v>
      </c>
      <c r="G462" s="13">
        <v>0</v>
      </c>
      <c r="H462" s="13">
        <v>0</v>
      </c>
      <c r="I462" s="13">
        <v>0</v>
      </c>
      <c r="J462" s="13">
        <v>0</v>
      </c>
      <c r="K462" s="13">
        <v>0</v>
      </c>
      <c r="L462" s="13">
        <v>0</v>
      </c>
      <c r="M462" s="13">
        <v>0</v>
      </c>
      <c r="N462" s="12">
        <f t="shared" si="69"/>
        <v>0</v>
      </c>
      <c r="O462" s="13">
        <v>0</v>
      </c>
      <c r="P462" s="13">
        <v>0</v>
      </c>
      <c r="Q462" s="13">
        <v>0</v>
      </c>
      <c r="R462" s="14">
        <f t="shared" si="66"/>
        <v>0</v>
      </c>
      <c r="S462" s="13">
        <f t="shared" si="67"/>
        <v>100</v>
      </c>
      <c r="T462" s="13">
        <f t="shared" si="68"/>
        <v>200</v>
      </c>
      <c r="U462" s="13" t="s">
        <v>4181</v>
      </c>
      <c r="V462" s="72" t="s">
        <v>1182</v>
      </c>
    </row>
    <row r="463" spans="1:23" ht="30" customHeight="1">
      <c r="A463" s="78">
        <v>26</v>
      </c>
      <c r="B463" s="13">
        <v>6498</v>
      </c>
      <c r="C463" s="9" t="s">
        <v>1183</v>
      </c>
      <c r="D463" s="9" t="s">
        <v>1184</v>
      </c>
      <c r="E463" s="71" t="s">
        <v>1127</v>
      </c>
      <c r="F463" s="13">
        <v>2500</v>
      </c>
      <c r="G463" s="13">
        <v>0</v>
      </c>
      <c r="H463" s="13">
        <v>0</v>
      </c>
      <c r="I463" s="13">
        <v>0</v>
      </c>
      <c r="J463" s="13">
        <v>0</v>
      </c>
      <c r="K463" s="13">
        <v>0</v>
      </c>
      <c r="L463" s="13">
        <v>0</v>
      </c>
      <c r="M463" s="13">
        <v>0</v>
      </c>
      <c r="N463" s="12">
        <f t="shared" si="69"/>
        <v>0</v>
      </c>
      <c r="O463" s="13">
        <v>0</v>
      </c>
      <c r="P463" s="13">
        <v>0</v>
      </c>
      <c r="Q463" s="13">
        <v>0</v>
      </c>
      <c r="R463" s="14">
        <f t="shared" si="66"/>
        <v>0</v>
      </c>
      <c r="S463" s="13">
        <f t="shared" si="67"/>
        <v>100</v>
      </c>
      <c r="T463" s="13">
        <f t="shared" si="68"/>
        <v>200</v>
      </c>
      <c r="U463" s="13" t="s">
        <v>4181</v>
      </c>
      <c r="V463" s="72" t="s">
        <v>1185</v>
      </c>
      <c r="W463" t="s">
        <v>1186</v>
      </c>
    </row>
    <row r="464" spans="1:23" ht="30" customHeight="1">
      <c r="A464" s="78">
        <v>27</v>
      </c>
      <c r="B464" s="13">
        <v>6524</v>
      </c>
      <c r="C464" s="9" t="s">
        <v>1187</v>
      </c>
      <c r="D464" s="9" t="s">
        <v>631</v>
      </c>
      <c r="E464" s="71" t="s">
        <v>1127</v>
      </c>
      <c r="F464" s="13">
        <v>0</v>
      </c>
      <c r="G464" s="13">
        <v>0</v>
      </c>
      <c r="H464" s="13">
        <v>0</v>
      </c>
      <c r="I464" s="13">
        <v>0</v>
      </c>
      <c r="J464" s="13">
        <v>0</v>
      </c>
      <c r="K464" s="13">
        <v>0</v>
      </c>
      <c r="L464" s="13">
        <v>0</v>
      </c>
      <c r="M464" s="13">
        <v>0</v>
      </c>
      <c r="N464" s="12">
        <f t="shared" si="69"/>
        <v>0</v>
      </c>
      <c r="O464" s="13">
        <v>0</v>
      </c>
      <c r="P464" s="13">
        <v>0</v>
      </c>
      <c r="Q464" s="13">
        <v>0</v>
      </c>
      <c r="R464" s="14">
        <f t="shared" si="66"/>
        <v>0</v>
      </c>
      <c r="S464" s="13">
        <f t="shared" si="67"/>
        <v>100</v>
      </c>
      <c r="T464" s="13">
        <f t="shared" si="68"/>
        <v>200</v>
      </c>
      <c r="U464" s="13" t="s">
        <v>4181</v>
      </c>
      <c r="V464" s="72" t="s">
        <v>632</v>
      </c>
      <c r="W464" t="s">
        <v>633</v>
      </c>
    </row>
    <row r="465" spans="1:23" ht="30" customHeight="1">
      <c r="A465" s="78">
        <v>28</v>
      </c>
      <c r="B465" s="13">
        <v>6542</v>
      </c>
      <c r="C465" s="9" t="s">
        <v>1188</v>
      </c>
      <c r="D465" s="9" t="s">
        <v>153</v>
      </c>
      <c r="E465" s="71" t="s">
        <v>1127</v>
      </c>
      <c r="F465" s="13">
        <v>1900</v>
      </c>
      <c r="G465" s="13">
        <v>0</v>
      </c>
      <c r="H465" s="13">
        <v>0</v>
      </c>
      <c r="I465" s="13">
        <v>0</v>
      </c>
      <c r="J465" s="13">
        <v>0</v>
      </c>
      <c r="K465" s="13">
        <v>0</v>
      </c>
      <c r="L465" s="13">
        <v>0</v>
      </c>
      <c r="M465" s="13">
        <v>0</v>
      </c>
      <c r="N465" s="12">
        <f t="shared" si="69"/>
        <v>0</v>
      </c>
      <c r="O465" s="13">
        <v>0</v>
      </c>
      <c r="P465" s="13">
        <v>0</v>
      </c>
      <c r="Q465" s="13">
        <v>0</v>
      </c>
      <c r="R465" s="14">
        <f t="shared" si="66"/>
        <v>0</v>
      </c>
      <c r="S465" s="13">
        <f t="shared" si="67"/>
        <v>100</v>
      </c>
      <c r="T465" s="13">
        <f t="shared" si="68"/>
        <v>200</v>
      </c>
      <c r="U465" s="13" t="s">
        <v>4181</v>
      </c>
      <c r="V465" s="72" t="s">
        <v>1189</v>
      </c>
    </row>
    <row r="466" spans="1:23" ht="30" customHeight="1">
      <c r="A466" s="78">
        <v>29</v>
      </c>
      <c r="B466" s="13">
        <v>6595</v>
      </c>
      <c r="C466" s="9" t="s">
        <v>410</v>
      </c>
      <c r="D466" s="9" t="s">
        <v>1190</v>
      </c>
      <c r="E466" s="71" t="s">
        <v>1127</v>
      </c>
      <c r="F466" s="13">
        <v>2200</v>
      </c>
      <c r="G466" s="13">
        <v>0</v>
      </c>
      <c r="H466" s="13">
        <v>0</v>
      </c>
      <c r="I466" s="13">
        <v>0</v>
      </c>
      <c r="J466" s="13">
        <v>0</v>
      </c>
      <c r="K466" s="13">
        <v>0</v>
      </c>
      <c r="L466" s="13">
        <v>0</v>
      </c>
      <c r="M466" s="13">
        <v>0</v>
      </c>
      <c r="N466" s="12">
        <f t="shared" si="69"/>
        <v>0</v>
      </c>
      <c r="O466" s="13">
        <v>0</v>
      </c>
      <c r="P466" s="13">
        <v>0</v>
      </c>
      <c r="Q466" s="13">
        <v>0</v>
      </c>
      <c r="R466" s="14">
        <f t="shared" si="66"/>
        <v>0</v>
      </c>
      <c r="S466" s="13">
        <f t="shared" si="67"/>
        <v>100</v>
      </c>
      <c r="T466" s="13">
        <f t="shared" si="68"/>
        <v>200</v>
      </c>
      <c r="U466" s="13" t="s">
        <v>4181</v>
      </c>
      <c r="V466" s="15" t="s">
        <v>699</v>
      </c>
      <c r="W466" s="80"/>
    </row>
    <row r="467" spans="1:23" ht="30" customHeight="1">
      <c r="A467" s="78">
        <v>30</v>
      </c>
      <c r="B467" s="13">
        <v>6637</v>
      </c>
      <c r="C467" s="9" t="s">
        <v>1191</v>
      </c>
      <c r="D467" s="9" t="s">
        <v>1192</v>
      </c>
      <c r="E467" s="71" t="s">
        <v>1127</v>
      </c>
      <c r="F467" s="13">
        <v>2500</v>
      </c>
      <c r="G467" s="13">
        <v>0</v>
      </c>
      <c r="H467" s="13">
        <v>0</v>
      </c>
      <c r="I467" s="13">
        <v>0</v>
      </c>
      <c r="J467" s="13">
        <v>0</v>
      </c>
      <c r="K467" s="13">
        <v>0</v>
      </c>
      <c r="L467" s="13">
        <v>0</v>
      </c>
      <c r="M467" s="13">
        <v>0</v>
      </c>
      <c r="N467" s="12">
        <f t="shared" si="69"/>
        <v>0</v>
      </c>
      <c r="O467" s="13">
        <v>0</v>
      </c>
      <c r="P467" s="13">
        <v>0</v>
      </c>
      <c r="Q467" s="13">
        <v>0</v>
      </c>
      <c r="R467" s="14">
        <f t="shared" si="66"/>
        <v>0</v>
      </c>
      <c r="S467" s="13">
        <f t="shared" si="67"/>
        <v>100</v>
      </c>
      <c r="T467" s="13">
        <f t="shared" si="68"/>
        <v>200</v>
      </c>
      <c r="U467" s="13" t="s">
        <v>4181</v>
      </c>
      <c r="V467" s="15" t="s">
        <v>1193</v>
      </c>
      <c r="W467" s="80"/>
    </row>
    <row r="468" spans="1:23" ht="30" customHeight="1">
      <c r="A468" s="78">
        <v>31</v>
      </c>
      <c r="B468" s="13">
        <v>6663</v>
      </c>
      <c r="C468" s="63" t="s">
        <v>1194</v>
      </c>
      <c r="D468" s="63" t="s">
        <v>1195</v>
      </c>
      <c r="E468" s="71" t="s">
        <v>1127</v>
      </c>
      <c r="F468" s="60">
        <v>2200</v>
      </c>
      <c r="G468" s="60">
        <v>0</v>
      </c>
      <c r="H468" s="60">
        <v>0</v>
      </c>
      <c r="I468" s="60">
        <v>0</v>
      </c>
      <c r="J468" s="60">
        <v>0</v>
      </c>
      <c r="K468" s="60">
        <v>0</v>
      </c>
      <c r="L468" s="60">
        <v>0</v>
      </c>
      <c r="M468" s="60">
        <v>0</v>
      </c>
      <c r="N468" s="12">
        <f t="shared" si="69"/>
        <v>0</v>
      </c>
      <c r="O468" s="60">
        <v>2200</v>
      </c>
      <c r="P468" s="13">
        <v>0</v>
      </c>
      <c r="Q468" s="13">
        <v>0</v>
      </c>
      <c r="R468" s="14">
        <f t="shared" si="66"/>
        <v>2200</v>
      </c>
      <c r="S468" s="13">
        <f t="shared" si="67"/>
        <v>2300</v>
      </c>
      <c r="T468" s="13">
        <f t="shared" si="68"/>
        <v>2400</v>
      </c>
      <c r="U468" s="13" t="s">
        <v>4181</v>
      </c>
      <c r="V468" s="51" t="s">
        <v>488</v>
      </c>
      <c r="W468" s="80"/>
    </row>
    <row r="469" spans="1:23" ht="30" customHeight="1">
      <c r="A469" s="78">
        <v>32</v>
      </c>
      <c r="B469" s="13">
        <v>6759</v>
      </c>
      <c r="C469" s="63" t="s">
        <v>1196</v>
      </c>
      <c r="D469" s="63" t="s">
        <v>4135</v>
      </c>
      <c r="E469" s="71" t="s">
        <v>1127</v>
      </c>
      <c r="F469" s="60">
        <v>2500</v>
      </c>
      <c r="G469" s="60">
        <v>0</v>
      </c>
      <c r="H469" s="60">
        <v>0</v>
      </c>
      <c r="I469" s="60">
        <v>0</v>
      </c>
      <c r="J469" s="60">
        <v>0</v>
      </c>
      <c r="K469" s="60">
        <v>0</v>
      </c>
      <c r="L469" s="60">
        <v>0</v>
      </c>
      <c r="M469" s="60">
        <v>0</v>
      </c>
      <c r="N469" s="12">
        <f t="shared" si="69"/>
        <v>0</v>
      </c>
      <c r="O469" s="60">
        <v>2500</v>
      </c>
      <c r="P469" s="13">
        <v>0</v>
      </c>
      <c r="Q469" s="13">
        <v>0</v>
      </c>
      <c r="R469" s="14">
        <f t="shared" si="66"/>
        <v>2500</v>
      </c>
      <c r="S469" s="13">
        <f t="shared" si="67"/>
        <v>2600</v>
      </c>
      <c r="T469" s="13">
        <f t="shared" si="68"/>
        <v>2700</v>
      </c>
      <c r="U469" s="13" t="s">
        <v>4181</v>
      </c>
      <c r="V469" s="51" t="s">
        <v>1197</v>
      </c>
      <c r="W469" s="80" t="s">
        <v>1198</v>
      </c>
    </row>
    <row r="470" spans="1:23" ht="30" customHeight="1">
      <c r="A470" s="78">
        <v>33</v>
      </c>
      <c r="B470" s="13">
        <v>6876</v>
      </c>
      <c r="C470" s="63" t="s">
        <v>4157</v>
      </c>
      <c r="D470" s="63" t="s">
        <v>4156</v>
      </c>
      <c r="E470" s="290" t="s">
        <v>4160</v>
      </c>
      <c r="F470" s="60">
        <v>2500</v>
      </c>
      <c r="G470" s="60">
        <v>0</v>
      </c>
      <c r="H470" s="60">
        <v>0</v>
      </c>
      <c r="I470" s="60">
        <v>0</v>
      </c>
      <c r="J470" s="60">
        <v>0</v>
      </c>
      <c r="K470" s="60">
        <v>0</v>
      </c>
      <c r="L470" s="60">
        <v>0</v>
      </c>
      <c r="M470" s="60">
        <v>0</v>
      </c>
      <c r="N470" s="12">
        <f t="shared" si="69"/>
        <v>0</v>
      </c>
      <c r="O470" s="60">
        <v>0</v>
      </c>
      <c r="P470" s="13">
        <v>0</v>
      </c>
      <c r="Q470" s="13">
        <v>0</v>
      </c>
      <c r="R470" s="14">
        <f t="shared" si="66"/>
        <v>0</v>
      </c>
      <c r="S470" s="13">
        <f t="shared" ref="S470" si="70">R470+100</f>
        <v>100</v>
      </c>
      <c r="T470" s="13">
        <f t="shared" ref="T470" si="71">R470+200</f>
        <v>200</v>
      </c>
      <c r="U470" s="13" t="s">
        <v>4181</v>
      </c>
      <c r="V470" s="51" t="s">
        <v>4154</v>
      </c>
      <c r="W470" s="80" t="s">
        <v>4151</v>
      </c>
    </row>
    <row r="471" spans="1:23" ht="30" customHeight="1">
      <c r="A471" s="78">
        <v>34</v>
      </c>
      <c r="B471" s="13">
        <v>6886</v>
      </c>
      <c r="C471" s="63" t="s">
        <v>4198</v>
      </c>
      <c r="D471" s="63" t="s">
        <v>3538</v>
      </c>
      <c r="E471" s="290" t="s">
        <v>4160</v>
      </c>
      <c r="F471" s="60">
        <v>1250</v>
      </c>
      <c r="G471" s="60">
        <v>0</v>
      </c>
      <c r="H471" s="60">
        <v>0</v>
      </c>
      <c r="I471" s="60">
        <v>0</v>
      </c>
      <c r="J471" s="60">
        <v>0</v>
      </c>
      <c r="K471" s="60">
        <v>0</v>
      </c>
      <c r="L471" s="60">
        <v>0</v>
      </c>
      <c r="M471" s="60">
        <v>0</v>
      </c>
      <c r="N471" s="12">
        <f t="shared" ref="N471" si="72">(SUM(G471:M471))</f>
        <v>0</v>
      </c>
      <c r="O471" s="60">
        <v>0</v>
      </c>
      <c r="P471" s="13">
        <v>0</v>
      </c>
      <c r="Q471" s="13">
        <v>3000</v>
      </c>
      <c r="R471" s="14">
        <f t="shared" ref="R471" si="73">(SUM(N471:Q471))</f>
        <v>3000</v>
      </c>
      <c r="S471" s="13">
        <f t="shared" ref="S471" si="74">R471+100</f>
        <v>3100</v>
      </c>
      <c r="T471" s="13">
        <f t="shared" ref="T471" si="75">R471+200</f>
        <v>3200</v>
      </c>
      <c r="U471" s="13" t="s">
        <v>4181</v>
      </c>
      <c r="V471" s="51" t="s">
        <v>4192</v>
      </c>
      <c r="W471" s="80" t="s">
        <v>4151</v>
      </c>
    </row>
    <row r="472" spans="1:23" ht="30" customHeight="1">
      <c r="A472" s="78">
        <v>1</v>
      </c>
      <c r="B472" s="13">
        <v>4265</v>
      </c>
      <c r="C472" s="9" t="s">
        <v>1202</v>
      </c>
      <c r="D472" s="9" t="s">
        <v>279</v>
      </c>
      <c r="E472" s="66" t="s">
        <v>1203</v>
      </c>
      <c r="F472" s="13">
        <v>2500</v>
      </c>
      <c r="G472" s="13">
        <v>0</v>
      </c>
      <c r="H472" s="13">
        <v>0</v>
      </c>
      <c r="I472" s="13">
        <v>0</v>
      </c>
      <c r="J472" s="13">
        <v>0</v>
      </c>
      <c r="K472" s="13">
        <v>0</v>
      </c>
      <c r="L472" s="13">
        <v>0</v>
      </c>
      <c r="M472" s="13">
        <v>0</v>
      </c>
      <c r="N472" s="12">
        <f t="shared" si="69"/>
        <v>0</v>
      </c>
      <c r="O472" s="13">
        <v>2500</v>
      </c>
      <c r="P472" s="13">
        <v>0</v>
      </c>
      <c r="Q472" s="13">
        <v>0</v>
      </c>
      <c r="R472" s="14">
        <f t="shared" si="66"/>
        <v>2500</v>
      </c>
      <c r="S472" s="13">
        <f t="shared" ref="S472:S518" si="76">R472+100</f>
        <v>2600</v>
      </c>
      <c r="T472" s="13">
        <f t="shared" ref="T472:T518" si="77">R472+200</f>
        <v>2700</v>
      </c>
      <c r="U472" s="13" t="s">
        <v>4181</v>
      </c>
      <c r="V472" s="81" t="s">
        <v>1204</v>
      </c>
    </row>
    <row r="473" spans="1:23" ht="30" customHeight="1">
      <c r="A473" s="74">
        <v>2</v>
      </c>
      <c r="B473" s="13">
        <v>4391</v>
      </c>
      <c r="C473" s="9" t="s">
        <v>44</v>
      </c>
      <c r="D473" s="9" t="s">
        <v>1205</v>
      </c>
      <c r="E473" s="66" t="s">
        <v>1203</v>
      </c>
      <c r="F473" s="13">
        <v>2500</v>
      </c>
      <c r="G473" s="13">
        <v>0</v>
      </c>
      <c r="H473" s="13">
        <v>0</v>
      </c>
      <c r="I473" s="13">
        <v>0</v>
      </c>
      <c r="J473" s="13">
        <v>0</v>
      </c>
      <c r="K473" s="13">
        <v>0</v>
      </c>
      <c r="L473" s="13">
        <v>0</v>
      </c>
      <c r="M473" s="13">
        <v>100</v>
      </c>
      <c r="N473" s="12">
        <f t="shared" si="69"/>
        <v>100</v>
      </c>
      <c r="O473" s="13">
        <v>2500</v>
      </c>
      <c r="P473" s="13">
        <v>0</v>
      </c>
      <c r="Q473" s="13">
        <v>0</v>
      </c>
      <c r="R473" s="14">
        <f t="shared" si="66"/>
        <v>2600</v>
      </c>
      <c r="S473" s="13">
        <f t="shared" si="76"/>
        <v>2700</v>
      </c>
      <c r="T473" s="13">
        <f t="shared" si="77"/>
        <v>2800</v>
      </c>
      <c r="U473" s="13" t="s">
        <v>4181</v>
      </c>
      <c r="V473" s="15" t="s">
        <v>1206</v>
      </c>
    </row>
    <row r="474" spans="1:23" ht="30" customHeight="1">
      <c r="A474" s="78">
        <v>3</v>
      </c>
      <c r="B474" s="13">
        <v>4395</v>
      </c>
      <c r="C474" s="9" t="s">
        <v>41</v>
      </c>
      <c r="D474" s="9" t="s">
        <v>556</v>
      </c>
      <c r="E474" s="66" t="s">
        <v>1203</v>
      </c>
      <c r="F474" s="13">
        <v>2500</v>
      </c>
      <c r="G474" s="13">
        <v>0</v>
      </c>
      <c r="H474" s="13">
        <v>0</v>
      </c>
      <c r="I474" s="13">
        <v>0</v>
      </c>
      <c r="J474" s="13">
        <v>0</v>
      </c>
      <c r="K474" s="13">
        <v>0</v>
      </c>
      <c r="L474" s="13">
        <v>0</v>
      </c>
      <c r="M474" s="13">
        <v>0</v>
      </c>
      <c r="N474" s="12">
        <f t="shared" si="69"/>
        <v>0</v>
      </c>
      <c r="O474" s="13">
        <v>2500</v>
      </c>
      <c r="P474" s="13">
        <v>0</v>
      </c>
      <c r="Q474" s="13">
        <v>1000</v>
      </c>
      <c r="R474" s="14">
        <f t="shared" si="66"/>
        <v>3500</v>
      </c>
      <c r="S474" s="13">
        <f t="shared" si="76"/>
        <v>3600</v>
      </c>
      <c r="T474" s="13">
        <f t="shared" si="77"/>
        <v>3700</v>
      </c>
      <c r="U474" s="13" t="s">
        <v>4181</v>
      </c>
      <c r="V474" s="15" t="s">
        <v>1207</v>
      </c>
    </row>
    <row r="475" spans="1:23" ht="30" customHeight="1">
      <c r="A475" s="74">
        <v>4</v>
      </c>
      <c r="B475" s="13">
        <v>4406</v>
      </c>
      <c r="C475" s="9" t="s">
        <v>1208</v>
      </c>
      <c r="D475" s="9" t="s">
        <v>534</v>
      </c>
      <c r="E475" s="66" t="s">
        <v>1203</v>
      </c>
      <c r="F475" s="13">
        <v>2500</v>
      </c>
      <c r="G475" s="13">
        <v>0</v>
      </c>
      <c r="H475" s="13">
        <v>0</v>
      </c>
      <c r="I475" s="13">
        <v>0</v>
      </c>
      <c r="J475" s="13">
        <v>0</v>
      </c>
      <c r="K475" s="13">
        <v>0</v>
      </c>
      <c r="L475" s="13">
        <v>0</v>
      </c>
      <c r="M475" s="13">
        <v>0</v>
      </c>
      <c r="N475" s="12">
        <f t="shared" si="69"/>
        <v>0</v>
      </c>
      <c r="O475" s="13">
        <v>0</v>
      </c>
      <c r="P475" s="13">
        <v>0</v>
      </c>
      <c r="Q475" s="13">
        <v>0</v>
      </c>
      <c r="R475" s="14">
        <f t="shared" si="66"/>
        <v>0</v>
      </c>
      <c r="S475" s="13">
        <f t="shared" si="76"/>
        <v>100</v>
      </c>
      <c r="T475" s="13">
        <f t="shared" si="77"/>
        <v>200</v>
      </c>
      <c r="U475" s="13" t="s">
        <v>4181</v>
      </c>
      <c r="V475" s="15" t="s">
        <v>1209</v>
      </c>
    </row>
    <row r="476" spans="1:23" ht="30" customHeight="1">
      <c r="A476" s="78">
        <v>5</v>
      </c>
      <c r="B476" s="13">
        <v>4412</v>
      </c>
      <c r="C476" s="9" t="s">
        <v>1210</v>
      </c>
      <c r="D476" s="9" t="s">
        <v>830</v>
      </c>
      <c r="E476" s="66" t="s">
        <v>1203</v>
      </c>
      <c r="F476" s="13">
        <v>2500</v>
      </c>
      <c r="G476" s="13">
        <v>0</v>
      </c>
      <c r="H476" s="13">
        <v>0</v>
      </c>
      <c r="I476" s="13">
        <v>0</v>
      </c>
      <c r="J476" s="13">
        <v>0</v>
      </c>
      <c r="K476" s="13">
        <v>0</v>
      </c>
      <c r="L476" s="13">
        <v>0</v>
      </c>
      <c r="M476" s="13">
        <v>0</v>
      </c>
      <c r="N476" s="12">
        <f t="shared" si="69"/>
        <v>0</v>
      </c>
      <c r="O476" s="13">
        <v>0</v>
      </c>
      <c r="P476" s="13">
        <v>0</v>
      </c>
      <c r="Q476" s="13">
        <v>0</v>
      </c>
      <c r="R476" s="14">
        <f t="shared" si="66"/>
        <v>0</v>
      </c>
      <c r="S476" s="13">
        <f t="shared" si="76"/>
        <v>100</v>
      </c>
      <c r="T476" s="13">
        <f t="shared" si="77"/>
        <v>200</v>
      </c>
      <c r="U476" s="13" t="s">
        <v>4181</v>
      </c>
      <c r="V476" s="15" t="s">
        <v>1211</v>
      </c>
    </row>
    <row r="477" spans="1:23" ht="30" customHeight="1">
      <c r="A477" s="74">
        <v>6</v>
      </c>
      <c r="B477" s="13">
        <v>4413</v>
      </c>
      <c r="C477" s="9" t="s">
        <v>1212</v>
      </c>
      <c r="D477" s="9" t="s">
        <v>178</v>
      </c>
      <c r="E477" s="66" t="s">
        <v>1203</v>
      </c>
      <c r="F477" s="13">
        <v>1600</v>
      </c>
      <c r="G477" s="13">
        <v>0</v>
      </c>
      <c r="H477" s="13">
        <v>0</v>
      </c>
      <c r="I477" s="13">
        <v>0</v>
      </c>
      <c r="J477" s="13">
        <v>0</v>
      </c>
      <c r="K477" s="13">
        <v>0</v>
      </c>
      <c r="L477" s="13">
        <v>0</v>
      </c>
      <c r="M477" s="13">
        <v>0</v>
      </c>
      <c r="N477" s="12">
        <f t="shared" si="69"/>
        <v>0</v>
      </c>
      <c r="O477" s="13">
        <v>0</v>
      </c>
      <c r="P477" s="13">
        <v>0</v>
      </c>
      <c r="Q477" s="13">
        <v>0</v>
      </c>
      <c r="R477" s="14">
        <f t="shared" si="66"/>
        <v>0</v>
      </c>
      <c r="S477" s="13">
        <f t="shared" si="76"/>
        <v>100</v>
      </c>
      <c r="T477" s="13">
        <f t="shared" si="77"/>
        <v>200</v>
      </c>
      <c r="U477" s="13" t="s">
        <v>4181</v>
      </c>
      <c r="V477" s="15" t="s">
        <v>1213</v>
      </c>
    </row>
    <row r="478" spans="1:23" ht="30" customHeight="1">
      <c r="A478" s="78">
        <v>7</v>
      </c>
      <c r="B478" s="13">
        <v>4444</v>
      </c>
      <c r="C478" s="9" t="s">
        <v>1214</v>
      </c>
      <c r="D478" s="9" t="s">
        <v>1215</v>
      </c>
      <c r="E478" s="66" t="s">
        <v>1203</v>
      </c>
      <c r="F478" s="13">
        <v>2500</v>
      </c>
      <c r="G478" s="13">
        <v>0</v>
      </c>
      <c r="H478" s="13">
        <v>0</v>
      </c>
      <c r="I478" s="13">
        <v>0</v>
      </c>
      <c r="J478" s="13">
        <v>0</v>
      </c>
      <c r="K478" s="13">
        <v>0</v>
      </c>
      <c r="L478" s="13">
        <v>0</v>
      </c>
      <c r="M478" s="13">
        <v>0</v>
      </c>
      <c r="N478" s="12">
        <f t="shared" si="69"/>
        <v>0</v>
      </c>
      <c r="O478" s="13">
        <v>0</v>
      </c>
      <c r="P478" s="13">
        <v>0</v>
      </c>
      <c r="Q478" s="13">
        <v>0</v>
      </c>
      <c r="R478" s="14">
        <f t="shared" si="66"/>
        <v>0</v>
      </c>
      <c r="S478" s="13">
        <f t="shared" si="76"/>
        <v>100</v>
      </c>
      <c r="T478" s="13">
        <f t="shared" si="77"/>
        <v>200</v>
      </c>
      <c r="U478" s="13" t="s">
        <v>4181</v>
      </c>
      <c r="V478" s="15" t="s">
        <v>1216</v>
      </c>
    </row>
    <row r="479" spans="1:23" ht="30" customHeight="1">
      <c r="A479" s="74">
        <v>8</v>
      </c>
      <c r="B479" s="13">
        <v>4510</v>
      </c>
      <c r="C479" s="9" t="s">
        <v>1217</v>
      </c>
      <c r="D479" s="9" t="s">
        <v>400</v>
      </c>
      <c r="E479" s="66" t="s">
        <v>1203</v>
      </c>
      <c r="F479" s="13">
        <v>2500</v>
      </c>
      <c r="G479" s="13">
        <v>0</v>
      </c>
      <c r="H479" s="13">
        <v>0</v>
      </c>
      <c r="I479" s="13">
        <v>0</v>
      </c>
      <c r="J479" s="13">
        <v>0</v>
      </c>
      <c r="K479" s="13">
        <v>0</v>
      </c>
      <c r="L479" s="13">
        <v>0</v>
      </c>
      <c r="M479" s="13">
        <v>0</v>
      </c>
      <c r="N479" s="12">
        <f t="shared" si="69"/>
        <v>0</v>
      </c>
      <c r="O479" s="13">
        <v>0</v>
      </c>
      <c r="P479" s="13">
        <v>0</v>
      </c>
      <c r="Q479" s="13">
        <v>0</v>
      </c>
      <c r="R479" s="14">
        <f t="shared" si="66"/>
        <v>0</v>
      </c>
      <c r="S479" s="13">
        <f t="shared" si="76"/>
        <v>100</v>
      </c>
      <c r="T479" s="13">
        <f t="shared" si="77"/>
        <v>200</v>
      </c>
      <c r="U479" s="13" t="s">
        <v>4181</v>
      </c>
      <c r="V479" s="15" t="s">
        <v>401</v>
      </c>
    </row>
    <row r="480" spans="1:23" ht="30" customHeight="1">
      <c r="A480" s="78">
        <v>9</v>
      </c>
      <c r="B480" s="8">
        <v>4598</v>
      </c>
      <c r="C480" s="59" t="s">
        <v>146</v>
      </c>
      <c r="D480" s="59" t="s">
        <v>1218</v>
      </c>
      <c r="E480" s="66" t="s">
        <v>1203</v>
      </c>
      <c r="F480" s="60">
        <v>1600</v>
      </c>
      <c r="G480" s="60">
        <v>0</v>
      </c>
      <c r="H480" s="60">
        <v>0</v>
      </c>
      <c r="I480" s="60">
        <v>1400</v>
      </c>
      <c r="J480" s="60">
        <v>1600</v>
      </c>
      <c r="K480" s="60">
        <v>1600</v>
      </c>
      <c r="L480" s="60">
        <v>1600</v>
      </c>
      <c r="M480" s="60">
        <v>1600</v>
      </c>
      <c r="N480" s="12">
        <f t="shared" si="69"/>
        <v>7800</v>
      </c>
      <c r="O480" s="60">
        <v>1600</v>
      </c>
      <c r="P480" s="60">
        <v>0</v>
      </c>
      <c r="Q480" s="13">
        <v>3000</v>
      </c>
      <c r="R480" s="14">
        <f t="shared" si="66"/>
        <v>12400</v>
      </c>
      <c r="S480" s="13">
        <f t="shared" si="76"/>
        <v>12500</v>
      </c>
      <c r="T480" s="13">
        <f t="shared" si="77"/>
        <v>12600</v>
      </c>
      <c r="U480" s="13" t="s">
        <v>4181</v>
      </c>
      <c r="V480" s="79" t="s">
        <v>1219</v>
      </c>
    </row>
    <row r="481" spans="1:23" ht="30" customHeight="1">
      <c r="A481" s="74">
        <v>10</v>
      </c>
      <c r="B481" s="13">
        <v>4599</v>
      </c>
      <c r="C481" s="9" t="s">
        <v>1220</v>
      </c>
      <c r="D481" s="9" t="s">
        <v>563</v>
      </c>
      <c r="E481" s="66" t="s">
        <v>1203</v>
      </c>
      <c r="F481" s="13">
        <v>1600</v>
      </c>
      <c r="G481" s="13">
        <v>0</v>
      </c>
      <c r="H481" s="13">
        <v>0</v>
      </c>
      <c r="I481" s="13">
        <v>0</v>
      </c>
      <c r="J481" s="13">
        <v>0</v>
      </c>
      <c r="K481" s="13">
        <v>0</v>
      </c>
      <c r="L481" s="13">
        <v>0</v>
      </c>
      <c r="M481" s="13">
        <v>0</v>
      </c>
      <c r="N481" s="12">
        <f t="shared" si="69"/>
        <v>0</v>
      </c>
      <c r="O481" s="13">
        <v>1600</v>
      </c>
      <c r="P481" s="13">
        <v>0</v>
      </c>
      <c r="Q481" s="13">
        <v>0</v>
      </c>
      <c r="R481" s="14">
        <f t="shared" si="66"/>
        <v>1600</v>
      </c>
      <c r="S481" s="13">
        <f t="shared" si="76"/>
        <v>1700</v>
      </c>
      <c r="T481" s="13">
        <f t="shared" si="77"/>
        <v>1800</v>
      </c>
      <c r="U481" s="13" t="s">
        <v>4181</v>
      </c>
      <c r="V481" s="15" t="s">
        <v>564</v>
      </c>
    </row>
    <row r="482" spans="1:23" ht="30" customHeight="1">
      <c r="A482" s="78">
        <v>11</v>
      </c>
      <c r="B482" s="13">
        <v>4783</v>
      </c>
      <c r="C482" s="9" t="s">
        <v>1221</v>
      </c>
      <c r="D482" s="9" t="s">
        <v>1222</v>
      </c>
      <c r="E482" s="66" t="s">
        <v>1203</v>
      </c>
      <c r="F482" s="13">
        <v>2500</v>
      </c>
      <c r="G482" s="13">
        <v>0</v>
      </c>
      <c r="H482" s="13">
        <v>0</v>
      </c>
      <c r="I482" s="13">
        <v>0</v>
      </c>
      <c r="J482" s="13">
        <v>0</v>
      </c>
      <c r="K482" s="13">
        <v>0</v>
      </c>
      <c r="L482" s="13">
        <v>0</v>
      </c>
      <c r="M482" s="13">
        <v>0</v>
      </c>
      <c r="N482" s="12">
        <f t="shared" si="69"/>
        <v>0</v>
      </c>
      <c r="O482" s="13">
        <v>0</v>
      </c>
      <c r="P482" s="13">
        <v>0</v>
      </c>
      <c r="Q482" s="13">
        <v>0</v>
      </c>
      <c r="R482" s="14">
        <f t="shared" si="66"/>
        <v>0</v>
      </c>
      <c r="S482" s="13">
        <f t="shared" si="76"/>
        <v>100</v>
      </c>
      <c r="T482" s="13">
        <f t="shared" si="77"/>
        <v>200</v>
      </c>
      <c r="U482" s="13" t="s">
        <v>4181</v>
      </c>
      <c r="V482" s="15" t="s">
        <v>1223</v>
      </c>
      <c r="W482" t="s">
        <v>1224</v>
      </c>
    </row>
    <row r="483" spans="1:23" ht="30" customHeight="1">
      <c r="A483" s="74">
        <v>12</v>
      </c>
      <c r="B483" s="13">
        <v>4818</v>
      </c>
      <c r="C483" s="9" t="s">
        <v>31</v>
      </c>
      <c r="D483" s="9" t="s">
        <v>1225</v>
      </c>
      <c r="E483" s="66" t="s">
        <v>1203</v>
      </c>
      <c r="F483" s="13">
        <v>1900</v>
      </c>
      <c r="G483" s="13">
        <v>0</v>
      </c>
      <c r="H483" s="13">
        <v>0</v>
      </c>
      <c r="I483" s="13">
        <v>0</v>
      </c>
      <c r="J483" s="13">
        <v>0</v>
      </c>
      <c r="K483" s="13">
        <v>0</v>
      </c>
      <c r="L483" s="13">
        <v>0</v>
      </c>
      <c r="M483" s="13">
        <v>0</v>
      </c>
      <c r="N483" s="12">
        <f t="shared" si="69"/>
        <v>0</v>
      </c>
      <c r="O483" s="13">
        <v>1900</v>
      </c>
      <c r="P483" s="13">
        <v>0</v>
      </c>
      <c r="Q483" s="13">
        <v>0</v>
      </c>
      <c r="R483" s="14">
        <f t="shared" si="66"/>
        <v>1900</v>
      </c>
      <c r="S483" s="13">
        <f t="shared" si="76"/>
        <v>2000</v>
      </c>
      <c r="T483" s="13">
        <f t="shared" si="77"/>
        <v>2100</v>
      </c>
      <c r="U483" s="13" t="s">
        <v>4181</v>
      </c>
      <c r="V483" s="15" t="s">
        <v>1226</v>
      </c>
    </row>
    <row r="484" spans="1:23" ht="30" customHeight="1">
      <c r="A484" s="78">
        <v>13</v>
      </c>
      <c r="B484" s="8">
        <v>4833</v>
      </c>
      <c r="C484" s="10" t="s">
        <v>146</v>
      </c>
      <c r="D484" s="9" t="s">
        <v>1227</v>
      </c>
      <c r="E484" s="66" t="s">
        <v>1203</v>
      </c>
      <c r="F484" s="13">
        <v>2300</v>
      </c>
      <c r="G484" s="13">
        <v>0</v>
      </c>
      <c r="H484" s="13">
        <v>0</v>
      </c>
      <c r="I484" s="13">
        <v>0</v>
      </c>
      <c r="J484" s="13">
        <v>0</v>
      </c>
      <c r="K484" s="13">
        <v>0</v>
      </c>
      <c r="L484" s="13">
        <v>0</v>
      </c>
      <c r="M484" s="13">
        <v>0</v>
      </c>
      <c r="N484" s="12">
        <f t="shared" si="69"/>
        <v>0</v>
      </c>
      <c r="O484" s="13">
        <v>0</v>
      </c>
      <c r="P484" s="13">
        <v>0</v>
      </c>
      <c r="Q484" s="13">
        <v>0</v>
      </c>
      <c r="R484" s="14">
        <f t="shared" si="66"/>
        <v>0</v>
      </c>
      <c r="S484" s="13">
        <f t="shared" si="76"/>
        <v>100</v>
      </c>
      <c r="T484" s="13">
        <f t="shared" si="77"/>
        <v>200</v>
      </c>
      <c r="U484" s="13" t="s">
        <v>4181</v>
      </c>
      <c r="V484" s="15" t="s">
        <v>1228</v>
      </c>
    </row>
    <row r="485" spans="1:23" ht="30" customHeight="1">
      <c r="A485" s="74">
        <v>14</v>
      </c>
      <c r="B485" s="13">
        <v>4958</v>
      </c>
      <c r="C485" s="9" t="s">
        <v>1229</v>
      </c>
      <c r="D485" s="82" t="s">
        <v>670</v>
      </c>
      <c r="E485" s="66" t="s">
        <v>1203</v>
      </c>
      <c r="F485" s="13">
        <v>2500</v>
      </c>
      <c r="G485" s="13">
        <v>0</v>
      </c>
      <c r="H485" s="13">
        <v>0</v>
      </c>
      <c r="I485" s="13">
        <v>0</v>
      </c>
      <c r="J485" s="13">
        <v>0</v>
      </c>
      <c r="K485" s="13">
        <v>0</v>
      </c>
      <c r="L485" s="13">
        <v>0</v>
      </c>
      <c r="M485" s="13">
        <v>0</v>
      </c>
      <c r="N485" s="12">
        <f t="shared" si="69"/>
        <v>0</v>
      </c>
      <c r="O485" s="13">
        <v>0</v>
      </c>
      <c r="P485" s="13">
        <v>0</v>
      </c>
      <c r="Q485" s="13">
        <v>0</v>
      </c>
      <c r="R485" s="14">
        <f t="shared" si="66"/>
        <v>0</v>
      </c>
      <c r="S485" s="13">
        <f t="shared" si="76"/>
        <v>100</v>
      </c>
      <c r="T485" s="13">
        <f t="shared" si="77"/>
        <v>200</v>
      </c>
      <c r="U485" s="13" t="s">
        <v>4181</v>
      </c>
      <c r="V485" s="15" t="s">
        <v>1230</v>
      </c>
    </row>
    <row r="486" spans="1:23" ht="30" customHeight="1">
      <c r="A486" s="78">
        <v>15</v>
      </c>
      <c r="B486" s="13">
        <v>5075</v>
      </c>
      <c r="C486" s="9" t="s">
        <v>1231</v>
      </c>
      <c r="D486" s="9" t="s">
        <v>839</v>
      </c>
      <c r="E486" s="66" t="s">
        <v>1203</v>
      </c>
      <c r="F486" s="13">
        <v>2500</v>
      </c>
      <c r="G486" s="13">
        <v>0</v>
      </c>
      <c r="H486" s="13">
        <v>0</v>
      </c>
      <c r="I486" s="13">
        <v>0</v>
      </c>
      <c r="J486" s="13">
        <v>0</v>
      </c>
      <c r="K486" s="13">
        <v>0</v>
      </c>
      <c r="L486" s="13">
        <v>0</v>
      </c>
      <c r="M486" s="13">
        <v>0</v>
      </c>
      <c r="N486" s="12">
        <f t="shared" si="69"/>
        <v>0</v>
      </c>
      <c r="O486" s="13">
        <v>0</v>
      </c>
      <c r="P486" s="13">
        <v>0</v>
      </c>
      <c r="Q486" s="13">
        <v>0</v>
      </c>
      <c r="R486" s="14">
        <f t="shared" ref="R486:R517" si="78">(SUM(N486:Q486))</f>
        <v>0</v>
      </c>
      <c r="S486" s="13">
        <f t="shared" si="76"/>
        <v>100</v>
      </c>
      <c r="T486" s="13">
        <f t="shared" si="77"/>
        <v>200</v>
      </c>
      <c r="U486" s="13" t="s">
        <v>4181</v>
      </c>
      <c r="V486" s="15" t="s">
        <v>840</v>
      </c>
    </row>
    <row r="487" spans="1:23" ht="30" customHeight="1">
      <c r="A487" s="74">
        <v>16</v>
      </c>
      <c r="B487" s="13">
        <v>6024</v>
      </c>
      <c r="C487" s="9" t="s">
        <v>1232</v>
      </c>
      <c r="D487" s="9" t="s">
        <v>411</v>
      </c>
      <c r="E487" s="66" t="s">
        <v>1203</v>
      </c>
      <c r="F487" s="13">
        <v>2500</v>
      </c>
      <c r="G487" s="13">
        <v>0</v>
      </c>
      <c r="H487" s="13">
        <v>0</v>
      </c>
      <c r="I487" s="13">
        <v>0</v>
      </c>
      <c r="J487" s="13">
        <v>0</v>
      </c>
      <c r="K487" s="13">
        <v>0</v>
      </c>
      <c r="L487" s="13">
        <v>0</v>
      </c>
      <c r="M487" s="13">
        <v>0</v>
      </c>
      <c r="N487" s="12">
        <f t="shared" ref="N487:N518" si="79">(SUM(G487:M487))</f>
        <v>0</v>
      </c>
      <c r="O487" s="13">
        <v>0</v>
      </c>
      <c r="P487" s="13">
        <v>0</v>
      </c>
      <c r="Q487" s="13">
        <v>0</v>
      </c>
      <c r="R487" s="14">
        <f t="shared" si="78"/>
        <v>0</v>
      </c>
      <c r="S487" s="13">
        <f t="shared" si="76"/>
        <v>100</v>
      </c>
      <c r="T487" s="13">
        <f t="shared" si="77"/>
        <v>200</v>
      </c>
      <c r="U487" s="13" t="s">
        <v>4181</v>
      </c>
      <c r="V487" s="15" t="s">
        <v>1233</v>
      </c>
    </row>
    <row r="488" spans="1:23" ht="30" customHeight="1">
      <c r="A488" s="78">
        <v>17</v>
      </c>
      <c r="B488" s="13">
        <v>6025</v>
      </c>
      <c r="C488" s="9" t="s">
        <v>1234</v>
      </c>
      <c r="D488" s="9" t="s">
        <v>305</v>
      </c>
      <c r="E488" s="66" t="s">
        <v>1203</v>
      </c>
      <c r="F488" s="13">
        <v>2500</v>
      </c>
      <c r="G488" s="13">
        <v>0</v>
      </c>
      <c r="H488" s="13">
        <v>0</v>
      </c>
      <c r="I488" s="13">
        <v>0</v>
      </c>
      <c r="J488" s="13">
        <v>0</v>
      </c>
      <c r="K488" s="13">
        <v>0</v>
      </c>
      <c r="L488" s="13">
        <v>0</v>
      </c>
      <c r="M488" s="13">
        <v>0</v>
      </c>
      <c r="N488" s="12">
        <f t="shared" si="79"/>
        <v>0</v>
      </c>
      <c r="O488" s="13">
        <v>0</v>
      </c>
      <c r="P488" s="13">
        <v>0</v>
      </c>
      <c r="Q488" s="13">
        <v>0</v>
      </c>
      <c r="R488" s="14">
        <f t="shared" si="78"/>
        <v>0</v>
      </c>
      <c r="S488" s="13">
        <f t="shared" si="76"/>
        <v>100</v>
      </c>
      <c r="T488" s="13">
        <f t="shared" si="77"/>
        <v>200</v>
      </c>
      <c r="U488" s="13" t="s">
        <v>4181</v>
      </c>
      <c r="V488" s="15" t="s">
        <v>1235</v>
      </c>
    </row>
    <row r="489" spans="1:23" ht="30" customHeight="1">
      <c r="A489" s="74">
        <v>18</v>
      </c>
      <c r="B489" s="13">
        <v>6110</v>
      </c>
      <c r="C489" s="9" t="s">
        <v>1236</v>
      </c>
      <c r="D489" s="9" t="s">
        <v>1237</v>
      </c>
      <c r="E489" s="66" t="s">
        <v>1203</v>
      </c>
      <c r="F489" s="13">
        <v>2500</v>
      </c>
      <c r="G489" s="13">
        <v>0</v>
      </c>
      <c r="H489" s="13">
        <v>0</v>
      </c>
      <c r="I489" s="13">
        <v>0</v>
      </c>
      <c r="J489" s="13">
        <v>0</v>
      </c>
      <c r="K489" s="13">
        <v>0</v>
      </c>
      <c r="L489" s="13">
        <v>0</v>
      </c>
      <c r="M489" s="13">
        <v>0</v>
      </c>
      <c r="N489" s="12">
        <f t="shared" si="79"/>
        <v>0</v>
      </c>
      <c r="O489" s="13">
        <v>0</v>
      </c>
      <c r="P489" s="13">
        <v>0</v>
      </c>
      <c r="Q489" s="13">
        <v>0</v>
      </c>
      <c r="R489" s="14">
        <f t="shared" si="78"/>
        <v>0</v>
      </c>
      <c r="S489" s="13">
        <f t="shared" si="76"/>
        <v>100</v>
      </c>
      <c r="T489" s="13">
        <f t="shared" si="77"/>
        <v>200</v>
      </c>
      <c r="U489" s="13" t="s">
        <v>4181</v>
      </c>
      <c r="V489" s="15" t="s">
        <v>1238</v>
      </c>
    </row>
    <row r="490" spans="1:23" ht="30" customHeight="1">
      <c r="A490" s="78">
        <v>19</v>
      </c>
      <c r="B490" s="13">
        <v>6140</v>
      </c>
      <c r="C490" s="63" t="s">
        <v>1239</v>
      </c>
      <c r="D490" s="63" t="s">
        <v>1240</v>
      </c>
      <c r="E490" s="66" t="s">
        <v>1203</v>
      </c>
      <c r="F490" s="60">
        <v>2500</v>
      </c>
      <c r="G490" s="60">
        <v>0</v>
      </c>
      <c r="H490" s="60">
        <v>0</v>
      </c>
      <c r="I490" s="60">
        <v>0</v>
      </c>
      <c r="J490" s="60">
        <v>0</v>
      </c>
      <c r="K490" s="60">
        <v>0</v>
      </c>
      <c r="L490" s="60">
        <v>0</v>
      </c>
      <c r="M490" s="60">
        <v>0</v>
      </c>
      <c r="N490" s="12">
        <f t="shared" si="79"/>
        <v>0</v>
      </c>
      <c r="O490" s="60">
        <v>0</v>
      </c>
      <c r="P490" s="13">
        <v>0</v>
      </c>
      <c r="Q490" s="13">
        <v>0</v>
      </c>
      <c r="R490" s="14">
        <f t="shared" si="78"/>
        <v>0</v>
      </c>
      <c r="S490" s="13">
        <f t="shared" si="76"/>
        <v>100</v>
      </c>
      <c r="T490" s="13">
        <f t="shared" si="77"/>
        <v>200</v>
      </c>
      <c r="U490" s="13" t="s">
        <v>4181</v>
      </c>
      <c r="V490" s="29" t="s">
        <v>1241</v>
      </c>
    </row>
    <row r="491" spans="1:23" ht="30" customHeight="1">
      <c r="A491" s="74">
        <v>20</v>
      </c>
      <c r="B491" s="13">
        <v>6346</v>
      </c>
      <c r="C491" s="9" t="s">
        <v>181</v>
      </c>
      <c r="D491" s="9" t="s">
        <v>1243</v>
      </c>
      <c r="E491" s="66" t="s">
        <v>1203</v>
      </c>
      <c r="F491" s="13">
        <v>2300</v>
      </c>
      <c r="G491" s="13">
        <v>0</v>
      </c>
      <c r="H491" s="13">
        <v>0</v>
      </c>
      <c r="I491" s="13">
        <v>0</v>
      </c>
      <c r="J491" s="13">
        <v>0</v>
      </c>
      <c r="K491" s="13">
        <v>0</v>
      </c>
      <c r="L491" s="13">
        <v>0</v>
      </c>
      <c r="M491" s="13">
        <v>0</v>
      </c>
      <c r="N491" s="12">
        <f t="shared" si="79"/>
        <v>0</v>
      </c>
      <c r="O491" s="13">
        <v>2300</v>
      </c>
      <c r="P491" s="13">
        <v>0</v>
      </c>
      <c r="Q491" s="13">
        <v>0</v>
      </c>
      <c r="R491" s="14">
        <f t="shared" si="78"/>
        <v>2300</v>
      </c>
      <c r="S491" s="13">
        <f t="shared" si="76"/>
        <v>2400</v>
      </c>
      <c r="T491" s="13">
        <f t="shared" si="77"/>
        <v>2500</v>
      </c>
      <c r="U491" s="13" t="s">
        <v>4181</v>
      </c>
      <c r="V491" s="83" t="s">
        <v>521</v>
      </c>
    </row>
    <row r="492" spans="1:23" ht="30" customHeight="1">
      <c r="A492" s="78">
        <v>21</v>
      </c>
      <c r="B492" s="13">
        <v>6359</v>
      </c>
      <c r="C492" s="9" t="s">
        <v>1244</v>
      </c>
      <c r="D492" s="9" t="s">
        <v>753</v>
      </c>
      <c r="E492" s="66" t="s">
        <v>1203</v>
      </c>
      <c r="F492" s="13">
        <v>2500</v>
      </c>
      <c r="G492" s="13">
        <v>0</v>
      </c>
      <c r="H492" s="13">
        <v>0</v>
      </c>
      <c r="I492" s="13">
        <v>0</v>
      </c>
      <c r="J492" s="13">
        <v>0</v>
      </c>
      <c r="K492" s="13">
        <v>0</v>
      </c>
      <c r="L492" s="13">
        <v>0</v>
      </c>
      <c r="M492" s="13">
        <v>0</v>
      </c>
      <c r="N492" s="12">
        <f t="shared" si="79"/>
        <v>0</v>
      </c>
      <c r="O492" s="13">
        <v>0</v>
      </c>
      <c r="P492" s="13">
        <v>0</v>
      </c>
      <c r="Q492" s="13">
        <v>0</v>
      </c>
      <c r="R492" s="14">
        <f t="shared" si="78"/>
        <v>0</v>
      </c>
      <c r="S492" s="13">
        <f t="shared" si="76"/>
        <v>100</v>
      </c>
      <c r="T492" s="13">
        <f t="shared" si="77"/>
        <v>200</v>
      </c>
      <c r="U492" s="13" t="s">
        <v>4181</v>
      </c>
      <c r="V492" s="83" t="s">
        <v>1245</v>
      </c>
    </row>
    <row r="493" spans="1:23" ht="30" customHeight="1">
      <c r="A493" s="74">
        <v>22</v>
      </c>
      <c r="B493" s="13">
        <v>6383</v>
      </c>
      <c r="C493" s="63" t="s">
        <v>1246</v>
      </c>
      <c r="D493" s="63" t="s">
        <v>942</v>
      </c>
      <c r="E493" s="66" t="s">
        <v>1203</v>
      </c>
      <c r="F493" s="60">
        <v>2500</v>
      </c>
      <c r="G493" s="60">
        <v>0</v>
      </c>
      <c r="H493" s="60">
        <v>0</v>
      </c>
      <c r="I493" s="60">
        <v>0</v>
      </c>
      <c r="J493" s="60">
        <v>0</v>
      </c>
      <c r="K493" s="60">
        <v>0</v>
      </c>
      <c r="L493" s="60">
        <v>0</v>
      </c>
      <c r="M493" s="60">
        <v>0</v>
      </c>
      <c r="N493" s="12">
        <f t="shared" si="79"/>
        <v>0</v>
      </c>
      <c r="O493" s="60">
        <v>2500</v>
      </c>
      <c r="P493" s="13">
        <v>0</v>
      </c>
      <c r="Q493" s="13">
        <v>0</v>
      </c>
      <c r="R493" s="14">
        <f t="shared" si="78"/>
        <v>2500</v>
      </c>
      <c r="S493" s="13">
        <f t="shared" si="76"/>
        <v>2600</v>
      </c>
      <c r="T493" s="13">
        <f t="shared" si="77"/>
        <v>2700</v>
      </c>
      <c r="U493" s="13" t="s">
        <v>4181</v>
      </c>
      <c r="V493" s="29" t="s">
        <v>943</v>
      </c>
      <c r="W493" t="s">
        <v>1138</v>
      </c>
    </row>
    <row r="494" spans="1:23" ht="30" customHeight="1">
      <c r="A494" s="78">
        <v>23</v>
      </c>
      <c r="B494" s="13">
        <v>6385</v>
      </c>
      <c r="C494" s="63" t="s">
        <v>1247</v>
      </c>
      <c r="D494" s="63" t="s">
        <v>178</v>
      </c>
      <c r="E494" s="66" t="s">
        <v>1203</v>
      </c>
      <c r="F494" s="60">
        <v>2500</v>
      </c>
      <c r="G494" s="60">
        <v>0</v>
      </c>
      <c r="H494" s="60">
        <v>0</v>
      </c>
      <c r="I494" s="60">
        <v>0</v>
      </c>
      <c r="J494" s="60">
        <v>0</v>
      </c>
      <c r="K494" s="60">
        <v>0</v>
      </c>
      <c r="L494" s="60">
        <v>0</v>
      </c>
      <c r="M494" s="60">
        <v>0</v>
      </c>
      <c r="N494" s="12">
        <f t="shared" si="79"/>
        <v>0</v>
      </c>
      <c r="O494" s="60">
        <v>2500</v>
      </c>
      <c r="P494" s="13">
        <v>0</v>
      </c>
      <c r="Q494" s="13">
        <v>0</v>
      </c>
      <c r="R494" s="14">
        <f t="shared" si="78"/>
        <v>2500</v>
      </c>
      <c r="S494" s="13">
        <f t="shared" si="76"/>
        <v>2600</v>
      </c>
      <c r="T494" s="13">
        <f t="shared" si="77"/>
        <v>2700</v>
      </c>
      <c r="U494" s="13" t="s">
        <v>4181</v>
      </c>
      <c r="V494" s="29" t="s">
        <v>756</v>
      </c>
    </row>
    <row r="495" spans="1:23" ht="30" customHeight="1">
      <c r="A495" s="74">
        <v>24</v>
      </c>
      <c r="B495" s="13">
        <v>6478</v>
      </c>
      <c r="C495" s="9" t="s">
        <v>146</v>
      </c>
      <c r="D495" s="9" t="s">
        <v>1248</v>
      </c>
      <c r="E495" s="66" t="s">
        <v>1203</v>
      </c>
      <c r="F495" s="13">
        <v>1500</v>
      </c>
      <c r="G495" s="13">
        <v>0</v>
      </c>
      <c r="H495" s="13">
        <v>0</v>
      </c>
      <c r="I495" s="13">
        <v>0</v>
      </c>
      <c r="J495" s="13">
        <v>0</v>
      </c>
      <c r="K495" s="13">
        <v>0</v>
      </c>
      <c r="L495" s="13">
        <v>0</v>
      </c>
      <c r="M495" s="13">
        <v>0</v>
      </c>
      <c r="N495" s="12">
        <f t="shared" si="79"/>
        <v>0</v>
      </c>
      <c r="O495" s="13">
        <v>0</v>
      </c>
      <c r="P495" s="13">
        <v>0</v>
      </c>
      <c r="Q495" s="13">
        <v>0</v>
      </c>
      <c r="R495" s="14">
        <f t="shared" si="78"/>
        <v>0</v>
      </c>
      <c r="S495" s="13">
        <f t="shared" si="76"/>
        <v>100</v>
      </c>
      <c r="T495" s="13">
        <f t="shared" si="77"/>
        <v>200</v>
      </c>
      <c r="U495" s="13" t="s">
        <v>4181</v>
      </c>
      <c r="V495" s="72" t="s">
        <v>1249</v>
      </c>
    </row>
    <row r="496" spans="1:23" ht="30" customHeight="1">
      <c r="A496" s="78">
        <v>25</v>
      </c>
      <c r="B496" s="13">
        <v>6496</v>
      </c>
      <c r="C496" s="9" t="s">
        <v>1250</v>
      </c>
      <c r="D496" s="9" t="s">
        <v>1181</v>
      </c>
      <c r="E496" s="66" t="s">
        <v>1203</v>
      </c>
      <c r="F496" s="13">
        <v>2500</v>
      </c>
      <c r="G496" s="13">
        <v>0</v>
      </c>
      <c r="H496" s="13">
        <v>0</v>
      </c>
      <c r="I496" s="13">
        <v>0</v>
      </c>
      <c r="J496" s="13">
        <v>0</v>
      </c>
      <c r="K496" s="13">
        <v>0</v>
      </c>
      <c r="L496" s="13">
        <v>0</v>
      </c>
      <c r="M496" s="13">
        <v>0</v>
      </c>
      <c r="N496" s="12">
        <f t="shared" si="79"/>
        <v>0</v>
      </c>
      <c r="O496" s="13">
        <v>0</v>
      </c>
      <c r="P496" s="13">
        <v>0</v>
      </c>
      <c r="Q496" s="13">
        <v>0</v>
      </c>
      <c r="R496" s="14">
        <f t="shared" si="78"/>
        <v>0</v>
      </c>
      <c r="S496" s="13">
        <f t="shared" si="76"/>
        <v>100</v>
      </c>
      <c r="T496" s="13">
        <f t="shared" si="77"/>
        <v>200</v>
      </c>
      <c r="U496" s="13" t="s">
        <v>4181</v>
      </c>
      <c r="V496" s="72" t="s">
        <v>1251</v>
      </c>
      <c r="W496" t="s">
        <v>1252</v>
      </c>
    </row>
    <row r="497" spans="1:23" ht="30" customHeight="1">
      <c r="A497" s="74">
        <v>26</v>
      </c>
      <c r="B497" s="13">
        <v>6598</v>
      </c>
      <c r="C497" s="63" t="s">
        <v>1253</v>
      </c>
      <c r="D497" s="63" t="s">
        <v>1254</v>
      </c>
      <c r="E497" s="66" t="s">
        <v>1203</v>
      </c>
      <c r="F497" s="60">
        <v>2500</v>
      </c>
      <c r="G497" s="60">
        <v>0</v>
      </c>
      <c r="H497" s="60">
        <v>0</v>
      </c>
      <c r="I497" s="60">
        <v>0</v>
      </c>
      <c r="J497" s="60">
        <v>0</v>
      </c>
      <c r="K497" s="60">
        <v>2200</v>
      </c>
      <c r="L497" s="60">
        <v>2500</v>
      </c>
      <c r="M497" s="60">
        <v>2500</v>
      </c>
      <c r="N497" s="12">
        <f t="shared" si="79"/>
        <v>7200</v>
      </c>
      <c r="O497" s="60">
        <v>2500</v>
      </c>
      <c r="P497" s="13">
        <v>0</v>
      </c>
      <c r="Q497" s="13">
        <v>0</v>
      </c>
      <c r="R497" s="14">
        <f t="shared" si="78"/>
        <v>9700</v>
      </c>
      <c r="S497" s="13">
        <f t="shared" si="76"/>
        <v>9800</v>
      </c>
      <c r="T497" s="13">
        <f t="shared" si="77"/>
        <v>9900</v>
      </c>
      <c r="U497" s="13" t="s">
        <v>4181</v>
      </c>
      <c r="V497" s="51" t="s">
        <v>702</v>
      </c>
      <c r="W497" s="80"/>
    </row>
    <row r="498" spans="1:23" ht="30" customHeight="1">
      <c r="A498" s="78">
        <v>27</v>
      </c>
      <c r="B498" s="13">
        <v>6723</v>
      </c>
      <c r="C498" s="63" t="s">
        <v>1255</v>
      </c>
      <c r="D498" s="63" t="s">
        <v>1256</v>
      </c>
      <c r="E498" s="66" t="s">
        <v>1203</v>
      </c>
      <c r="F498" s="60">
        <v>2000</v>
      </c>
      <c r="G498" s="60">
        <v>0</v>
      </c>
      <c r="H498" s="60">
        <v>0</v>
      </c>
      <c r="I498" s="60">
        <v>0</v>
      </c>
      <c r="J498" s="60">
        <v>0</v>
      </c>
      <c r="K498" s="60">
        <v>0</v>
      </c>
      <c r="L498" s="60">
        <v>0</v>
      </c>
      <c r="M498" s="60">
        <v>0</v>
      </c>
      <c r="N498" s="12">
        <f t="shared" si="79"/>
        <v>0</v>
      </c>
      <c r="O498" s="60">
        <v>0</v>
      </c>
      <c r="P498" s="13">
        <v>0</v>
      </c>
      <c r="Q498" s="13">
        <v>0</v>
      </c>
      <c r="R498" s="14">
        <f t="shared" si="78"/>
        <v>0</v>
      </c>
      <c r="S498" s="13">
        <f t="shared" si="76"/>
        <v>100</v>
      </c>
      <c r="T498" s="13">
        <f t="shared" si="77"/>
        <v>200</v>
      </c>
      <c r="U498" s="13" t="s">
        <v>4181</v>
      </c>
      <c r="V498" s="51" t="s">
        <v>1257</v>
      </c>
      <c r="W498" s="80"/>
    </row>
    <row r="499" spans="1:23" ht="30" customHeight="1">
      <c r="A499" s="74">
        <v>28</v>
      </c>
      <c r="B499" s="13">
        <v>6850</v>
      </c>
      <c r="C499" s="63" t="s">
        <v>4075</v>
      </c>
      <c r="D499" s="63" t="s">
        <v>3269</v>
      </c>
      <c r="E499" s="66" t="s">
        <v>1203</v>
      </c>
      <c r="F499" s="60">
        <v>2500</v>
      </c>
      <c r="G499" s="60">
        <v>0</v>
      </c>
      <c r="H499" s="60">
        <v>0</v>
      </c>
      <c r="I499" s="60">
        <v>0</v>
      </c>
      <c r="J499" s="60">
        <v>0</v>
      </c>
      <c r="K499" s="60">
        <v>0</v>
      </c>
      <c r="L499" s="60">
        <v>0</v>
      </c>
      <c r="M499" s="60">
        <v>0</v>
      </c>
      <c r="N499" s="12">
        <f t="shared" si="79"/>
        <v>0</v>
      </c>
      <c r="O499" s="60">
        <v>0</v>
      </c>
      <c r="P499" s="13">
        <v>0</v>
      </c>
      <c r="Q499" s="13">
        <v>0</v>
      </c>
      <c r="R499" s="14">
        <f t="shared" si="78"/>
        <v>0</v>
      </c>
      <c r="S499" s="13">
        <f t="shared" si="76"/>
        <v>100</v>
      </c>
      <c r="T499" s="13">
        <f t="shared" si="77"/>
        <v>200</v>
      </c>
      <c r="U499" s="13" t="s">
        <v>4181</v>
      </c>
      <c r="V499" s="51" t="s">
        <v>4076</v>
      </c>
      <c r="W499" s="80" t="s">
        <v>4079</v>
      </c>
    </row>
    <row r="500" spans="1:23" ht="30" customHeight="1">
      <c r="A500" s="74">
        <v>1</v>
      </c>
      <c r="B500" s="13">
        <v>6894</v>
      </c>
      <c r="C500" s="63" t="s">
        <v>4220</v>
      </c>
      <c r="D500" s="63" t="s">
        <v>4218</v>
      </c>
      <c r="E500" s="66" t="s">
        <v>4221</v>
      </c>
      <c r="F500" s="60">
        <v>2500</v>
      </c>
      <c r="G500" s="60">
        <v>0</v>
      </c>
      <c r="H500" s="60">
        <v>0</v>
      </c>
      <c r="I500" s="60">
        <v>0</v>
      </c>
      <c r="J500" s="60">
        <v>0</v>
      </c>
      <c r="K500" s="60">
        <v>0</v>
      </c>
      <c r="L500" s="60">
        <v>0</v>
      </c>
      <c r="M500" s="60">
        <v>0</v>
      </c>
      <c r="N500" s="12">
        <f t="shared" ref="N500" si="80">(SUM(G500:M500))</f>
        <v>0</v>
      </c>
      <c r="O500" s="60">
        <v>0</v>
      </c>
      <c r="P500" s="13">
        <v>0</v>
      </c>
      <c r="Q500" s="13">
        <v>0</v>
      </c>
      <c r="R500" s="14">
        <f t="shared" ref="R500" si="81">(SUM(N500:Q500))</f>
        <v>0</v>
      </c>
      <c r="S500" s="13">
        <f t="shared" ref="S500" si="82">R500+100</f>
        <v>100</v>
      </c>
      <c r="T500" s="13">
        <f t="shared" ref="T500" si="83">R500+200</f>
        <v>200</v>
      </c>
      <c r="U500" s="13" t="s">
        <v>4181</v>
      </c>
      <c r="V500" s="51" t="s">
        <v>4219</v>
      </c>
      <c r="W500" s="80" t="s">
        <v>4213</v>
      </c>
    </row>
    <row r="501" spans="1:23" ht="30" customHeight="1">
      <c r="A501" s="84">
        <v>1</v>
      </c>
      <c r="B501" s="13">
        <v>4278</v>
      </c>
      <c r="C501" s="9" t="s">
        <v>1258</v>
      </c>
      <c r="D501" s="9" t="s">
        <v>96</v>
      </c>
      <c r="E501" s="66" t="s">
        <v>1259</v>
      </c>
      <c r="F501" s="13">
        <v>2300</v>
      </c>
      <c r="G501" s="13">
        <v>0</v>
      </c>
      <c r="H501" s="13">
        <v>0</v>
      </c>
      <c r="I501" s="13">
        <v>0</v>
      </c>
      <c r="J501" s="13">
        <v>0</v>
      </c>
      <c r="K501" s="13">
        <v>0</v>
      </c>
      <c r="L501" s="13">
        <v>0</v>
      </c>
      <c r="M501" s="13">
        <v>0</v>
      </c>
      <c r="N501" s="12">
        <f t="shared" si="79"/>
        <v>0</v>
      </c>
      <c r="O501" s="13">
        <v>0</v>
      </c>
      <c r="P501" s="13">
        <v>0</v>
      </c>
      <c r="Q501" s="13">
        <v>0</v>
      </c>
      <c r="R501" s="14">
        <f t="shared" si="78"/>
        <v>0</v>
      </c>
      <c r="S501" s="13">
        <f t="shared" si="76"/>
        <v>100</v>
      </c>
      <c r="T501" s="13">
        <f t="shared" si="77"/>
        <v>200</v>
      </c>
      <c r="U501" s="13" t="s">
        <v>4181</v>
      </c>
      <c r="V501" s="72" t="s">
        <v>1260</v>
      </c>
    </row>
    <row r="502" spans="1:23" ht="30" customHeight="1">
      <c r="A502" s="49">
        <v>2</v>
      </c>
      <c r="B502" s="13">
        <v>4284</v>
      </c>
      <c r="C502" s="63" t="s">
        <v>1261</v>
      </c>
      <c r="D502" s="63" t="s">
        <v>1262</v>
      </c>
      <c r="E502" s="66" t="s">
        <v>1259</v>
      </c>
      <c r="F502" s="60">
        <v>2500</v>
      </c>
      <c r="G502" s="60">
        <v>0</v>
      </c>
      <c r="H502" s="60">
        <v>0</v>
      </c>
      <c r="I502" s="60">
        <v>0</v>
      </c>
      <c r="J502" s="60">
        <v>0</v>
      </c>
      <c r="K502" s="60">
        <v>0</v>
      </c>
      <c r="L502" s="60">
        <v>0</v>
      </c>
      <c r="M502" s="60">
        <v>0</v>
      </c>
      <c r="N502" s="12">
        <f t="shared" si="79"/>
        <v>0</v>
      </c>
      <c r="O502" s="60">
        <v>0</v>
      </c>
      <c r="P502" s="60">
        <v>0</v>
      </c>
      <c r="Q502" s="13">
        <v>0</v>
      </c>
      <c r="R502" s="14">
        <f t="shared" si="78"/>
        <v>0</v>
      </c>
      <c r="S502" s="13">
        <f t="shared" si="76"/>
        <v>100</v>
      </c>
      <c r="T502" s="13">
        <f t="shared" si="77"/>
        <v>200</v>
      </c>
      <c r="U502" s="13" t="s">
        <v>4181</v>
      </c>
      <c r="V502" s="51" t="s">
        <v>1263</v>
      </c>
    </row>
    <row r="503" spans="1:23" ht="30" customHeight="1">
      <c r="A503" s="84">
        <v>3</v>
      </c>
      <c r="B503" s="13">
        <v>4291</v>
      </c>
      <c r="C503" s="9" t="s">
        <v>31</v>
      </c>
      <c r="D503" s="9" t="s">
        <v>774</v>
      </c>
      <c r="E503" s="66" t="s">
        <v>1259</v>
      </c>
      <c r="F503" s="13">
        <v>1200</v>
      </c>
      <c r="G503" s="13">
        <v>0</v>
      </c>
      <c r="H503" s="13">
        <v>0</v>
      </c>
      <c r="I503" s="13">
        <v>0</v>
      </c>
      <c r="J503" s="13">
        <v>0</v>
      </c>
      <c r="K503" s="13">
        <v>0</v>
      </c>
      <c r="L503" s="13">
        <v>0</v>
      </c>
      <c r="M503" s="13">
        <v>0</v>
      </c>
      <c r="N503" s="12">
        <f t="shared" si="79"/>
        <v>0</v>
      </c>
      <c r="O503" s="13">
        <v>0</v>
      </c>
      <c r="P503" s="13">
        <v>0</v>
      </c>
      <c r="Q503" s="13">
        <v>0</v>
      </c>
      <c r="R503" s="14">
        <f t="shared" si="78"/>
        <v>0</v>
      </c>
      <c r="S503" s="13">
        <f t="shared" si="76"/>
        <v>100</v>
      </c>
      <c r="T503" s="13">
        <f t="shared" si="77"/>
        <v>200</v>
      </c>
      <c r="U503" s="13" t="s">
        <v>4181</v>
      </c>
      <c r="V503" s="15" t="s">
        <v>1264</v>
      </c>
    </row>
    <row r="504" spans="1:23" ht="30" customHeight="1">
      <c r="A504" s="49">
        <v>4</v>
      </c>
      <c r="B504" s="13">
        <v>4318</v>
      </c>
      <c r="C504" s="9" t="s">
        <v>1210</v>
      </c>
      <c r="D504" s="9" t="s">
        <v>1265</v>
      </c>
      <c r="E504" s="66" t="s">
        <v>1259</v>
      </c>
      <c r="F504" s="13">
        <v>1700</v>
      </c>
      <c r="G504" s="13">
        <v>0</v>
      </c>
      <c r="H504" s="13">
        <v>0</v>
      </c>
      <c r="I504" s="13">
        <v>0</v>
      </c>
      <c r="J504" s="13">
        <v>0</v>
      </c>
      <c r="K504" s="13">
        <v>0</v>
      </c>
      <c r="L504" s="13">
        <v>0</v>
      </c>
      <c r="M504" s="13">
        <v>0</v>
      </c>
      <c r="N504" s="12">
        <f t="shared" si="79"/>
        <v>0</v>
      </c>
      <c r="O504" s="13">
        <v>0</v>
      </c>
      <c r="P504" s="13">
        <v>0</v>
      </c>
      <c r="Q504" s="13">
        <v>0</v>
      </c>
      <c r="R504" s="14">
        <f t="shared" si="78"/>
        <v>0</v>
      </c>
      <c r="S504" s="13">
        <f t="shared" si="76"/>
        <v>100</v>
      </c>
      <c r="T504" s="13">
        <f t="shared" si="77"/>
        <v>200</v>
      </c>
      <c r="U504" s="13" t="s">
        <v>4181</v>
      </c>
      <c r="V504" s="15" t="s">
        <v>1266</v>
      </c>
    </row>
    <row r="505" spans="1:23" ht="30" customHeight="1">
      <c r="A505" s="84">
        <v>5</v>
      </c>
      <c r="B505" s="13">
        <v>4320</v>
      </c>
      <c r="C505" s="9" t="s">
        <v>990</v>
      </c>
      <c r="D505" s="9" t="s">
        <v>1267</v>
      </c>
      <c r="E505" s="66" t="s">
        <v>1259</v>
      </c>
      <c r="F505" s="13">
        <v>2500</v>
      </c>
      <c r="G505" s="13">
        <v>0</v>
      </c>
      <c r="H505" s="13">
        <v>0</v>
      </c>
      <c r="I505" s="13">
        <v>0</v>
      </c>
      <c r="J505" s="13">
        <v>0</v>
      </c>
      <c r="K505" s="13">
        <v>0</v>
      </c>
      <c r="L505" s="13">
        <v>0</v>
      </c>
      <c r="M505" s="13">
        <v>0</v>
      </c>
      <c r="N505" s="12">
        <f t="shared" si="79"/>
        <v>0</v>
      </c>
      <c r="O505" s="13">
        <v>2500</v>
      </c>
      <c r="P505" s="13">
        <v>0</v>
      </c>
      <c r="Q505" s="13">
        <v>0</v>
      </c>
      <c r="R505" s="14">
        <f t="shared" si="78"/>
        <v>2500</v>
      </c>
      <c r="S505" s="13">
        <f t="shared" si="76"/>
        <v>2600</v>
      </c>
      <c r="T505" s="13">
        <f t="shared" si="77"/>
        <v>2700</v>
      </c>
      <c r="U505" s="13" t="s">
        <v>4181</v>
      </c>
      <c r="V505" s="15" t="s">
        <v>1268</v>
      </c>
    </row>
    <row r="506" spans="1:23" ht="30" customHeight="1">
      <c r="A506" s="49">
        <v>6</v>
      </c>
      <c r="B506" s="13">
        <v>4326</v>
      </c>
      <c r="C506" s="9" t="s">
        <v>1269</v>
      </c>
      <c r="D506" s="9" t="s">
        <v>1270</v>
      </c>
      <c r="E506" s="66" t="s">
        <v>1259</v>
      </c>
      <c r="F506" s="13">
        <v>0</v>
      </c>
      <c r="G506" s="13">
        <v>0</v>
      </c>
      <c r="H506" s="13">
        <v>0</v>
      </c>
      <c r="I506" s="13">
        <v>0</v>
      </c>
      <c r="J506" s="13">
        <v>0</v>
      </c>
      <c r="K506" s="13">
        <v>0</v>
      </c>
      <c r="L506" s="13">
        <v>0</v>
      </c>
      <c r="M506" s="13">
        <v>0</v>
      </c>
      <c r="N506" s="12">
        <f t="shared" si="79"/>
        <v>0</v>
      </c>
      <c r="O506" s="13">
        <v>0</v>
      </c>
      <c r="P506" s="13">
        <v>0</v>
      </c>
      <c r="Q506" s="13">
        <v>0</v>
      </c>
      <c r="R506" s="14">
        <f t="shared" si="78"/>
        <v>0</v>
      </c>
      <c r="S506" s="13">
        <f t="shared" si="76"/>
        <v>100</v>
      </c>
      <c r="T506" s="13">
        <f t="shared" si="77"/>
        <v>200</v>
      </c>
      <c r="U506" s="13" t="s">
        <v>4181</v>
      </c>
      <c r="V506" s="15" t="s">
        <v>1271</v>
      </c>
    </row>
    <row r="507" spans="1:23" ht="30" customHeight="1">
      <c r="A507" s="84">
        <v>7</v>
      </c>
      <c r="B507" s="13">
        <v>4376</v>
      </c>
      <c r="C507" s="9" t="s">
        <v>722</v>
      </c>
      <c r="D507" s="9" t="s">
        <v>121</v>
      </c>
      <c r="E507" s="66" t="s">
        <v>1259</v>
      </c>
      <c r="F507" s="13">
        <v>2000</v>
      </c>
      <c r="G507" s="13">
        <v>0</v>
      </c>
      <c r="H507" s="13">
        <v>0</v>
      </c>
      <c r="I507" s="13">
        <v>0</v>
      </c>
      <c r="J507" s="13">
        <v>0</v>
      </c>
      <c r="K507" s="13">
        <v>0</v>
      </c>
      <c r="L507" s="13">
        <v>0</v>
      </c>
      <c r="M507" s="13">
        <v>0</v>
      </c>
      <c r="N507" s="12">
        <f t="shared" si="79"/>
        <v>0</v>
      </c>
      <c r="O507" s="13">
        <v>2000</v>
      </c>
      <c r="P507" s="13">
        <v>0</v>
      </c>
      <c r="Q507" s="13">
        <v>0</v>
      </c>
      <c r="R507" s="14">
        <f t="shared" si="78"/>
        <v>2000</v>
      </c>
      <c r="S507" s="13">
        <f t="shared" si="76"/>
        <v>2100</v>
      </c>
      <c r="T507" s="13">
        <f t="shared" si="77"/>
        <v>2200</v>
      </c>
      <c r="U507" s="13" t="s">
        <v>4181</v>
      </c>
      <c r="V507" s="15" t="s">
        <v>1272</v>
      </c>
    </row>
    <row r="508" spans="1:23" ht="30" customHeight="1">
      <c r="A508" s="49">
        <v>8</v>
      </c>
      <c r="B508" s="13">
        <v>4407</v>
      </c>
      <c r="C508" s="9" t="s">
        <v>1273</v>
      </c>
      <c r="D508" s="9" t="s">
        <v>382</v>
      </c>
      <c r="E508" s="66" t="s">
        <v>1259</v>
      </c>
      <c r="F508" s="13">
        <v>2500</v>
      </c>
      <c r="G508" s="13">
        <v>0</v>
      </c>
      <c r="H508" s="13">
        <v>0</v>
      </c>
      <c r="I508" s="13">
        <v>0</v>
      </c>
      <c r="J508" s="13">
        <v>0</v>
      </c>
      <c r="K508" s="13">
        <v>0</v>
      </c>
      <c r="L508" s="13">
        <v>0</v>
      </c>
      <c r="M508" s="13">
        <v>0</v>
      </c>
      <c r="N508" s="12">
        <f t="shared" si="79"/>
        <v>0</v>
      </c>
      <c r="O508" s="13">
        <v>0</v>
      </c>
      <c r="P508" s="13">
        <v>0</v>
      </c>
      <c r="Q508" s="13">
        <v>0</v>
      </c>
      <c r="R508" s="14">
        <f t="shared" si="78"/>
        <v>0</v>
      </c>
      <c r="S508" s="13">
        <f t="shared" si="76"/>
        <v>100</v>
      </c>
      <c r="T508" s="13">
        <f t="shared" si="77"/>
        <v>200</v>
      </c>
      <c r="U508" s="13" t="s">
        <v>4181</v>
      </c>
      <c r="V508" s="15" t="s">
        <v>1274</v>
      </c>
    </row>
    <row r="509" spans="1:23" ht="30" customHeight="1">
      <c r="A509" s="84">
        <v>9</v>
      </c>
      <c r="B509" s="13">
        <v>4408</v>
      </c>
      <c r="C509" s="9" t="s">
        <v>640</v>
      </c>
      <c r="D509" s="9" t="s">
        <v>92</v>
      </c>
      <c r="E509" s="66" t="s">
        <v>1259</v>
      </c>
      <c r="F509" s="13">
        <v>1800</v>
      </c>
      <c r="G509" s="13">
        <v>0</v>
      </c>
      <c r="H509" s="13">
        <v>0</v>
      </c>
      <c r="I509" s="13">
        <v>0</v>
      </c>
      <c r="J509" s="13">
        <v>0</v>
      </c>
      <c r="K509" s="13">
        <v>0</v>
      </c>
      <c r="L509" s="13">
        <v>0</v>
      </c>
      <c r="M509" s="13">
        <v>0</v>
      </c>
      <c r="N509" s="12">
        <f t="shared" si="79"/>
        <v>0</v>
      </c>
      <c r="O509" s="13">
        <v>0</v>
      </c>
      <c r="P509" s="13">
        <v>0</v>
      </c>
      <c r="Q509" s="13">
        <v>0</v>
      </c>
      <c r="R509" s="14">
        <f t="shared" si="78"/>
        <v>0</v>
      </c>
      <c r="S509" s="13">
        <f t="shared" si="76"/>
        <v>100</v>
      </c>
      <c r="T509" s="13">
        <f t="shared" si="77"/>
        <v>200</v>
      </c>
      <c r="U509" s="13" t="s">
        <v>4181</v>
      </c>
      <c r="V509" s="15" t="s">
        <v>1274</v>
      </c>
    </row>
    <row r="510" spans="1:23" ht="30" customHeight="1">
      <c r="A510" s="49">
        <v>10</v>
      </c>
      <c r="B510" s="13">
        <v>4416</v>
      </c>
      <c r="C510" s="9" t="s">
        <v>1275</v>
      </c>
      <c r="D510" s="9" t="s">
        <v>1058</v>
      </c>
      <c r="E510" s="66" t="s">
        <v>1259</v>
      </c>
      <c r="F510" s="13">
        <v>2500</v>
      </c>
      <c r="G510" s="13">
        <v>0</v>
      </c>
      <c r="H510" s="13">
        <v>0</v>
      </c>
      <c r="I510" s="13">
        <v>0</v>
      </c>
      <c r="J510" s="13">
        <v>0</v>
      </c>
      <c r="K510" s="13">
        <v>0</v>
      </c>
      <c r="L510" s="13">
        <v>0</v>
      </c>
      <c r="M510" s="13">
        <v>0</v>
      </c>
      <c r="N510" s="12">
        <f t="shared" si="79"/>
        <v>0</v>
      </c>
      <c r="O510" s="13">
        <v>2500</v>
      </c>
      <c r="P510" s="13">
        <v>0</v>
      </c>
      <c r="Q510" s="13">
        <v>0</v>
      </c>
      <c r="R510" s="14">
        <f t="shared" si="78"/>
        <v>2500</v>
      </c>
      <c r="S510" s="13">
        <f t="shared" si="76"/>
        <v>2600</v>
      </c>
      <c r="T510" s="13">
        <f t="shared" si="77"/>
        <v>2700</v>
      </c>
      <c r="U510" s="13" t="s">
        <v>4181</v>
      </c>
      <c r="V510" s="85" t="s">
        <v>1276</v>
      </c>
    </row>
    <row r="511" spans="1:23" ht="30" customHeight="1">
      <c r="A511" s="84">
        <v>11</v>
      </c>
      <c r="B511" s="13">
        <v>4426</v>
      </c>
      <c r="C511" s="9" t="s">
        <v>1277</v>
      </c>
      <c r="D511" s="9" t="s">
        <v>1278</v>
      </c>
      <c r="E511" s="66" t="s">
        <v>1259</v>
      </c>
      <c r="F511" s="13">
        <v>2050</v>
      </c>
      <c r="G511" s="13">
        <v>0</v>
      </c>
      <c r="H511" s="13">
        <v>0</v>
      </c>
      <c r="I511" s="13">
        <v>0</v>
      </c>
      <c r="J511" s="13">
        <v>0</v>
      </c>
      <c r="K511" s="13">
        <v>0</v>
      </c>
      <c r="L511" s="13">
        <v>0</v>
      </c>
      <c r="M511" s="13">
        <v>0</v>
      </c>
      <c r="N511" s="12">
        <f t="shared" si="79"/>
        <v>0</v>
      </c>
      <c r="O511" s="13">
        <v>0</v>
      </c>
      <c r="P511" s="13">
        <v>0</v>
      </c>
      <c r="Q511" s="13">
        <v>0</v>
      </c>
      <c r="R511" s="14">
        <f t="shared" si="78"/>
        <v>0</v>
      </c>
      <c r="S511" s="13">
        <f t="shared" si="76"/>
        <v>100</v>
      </c>
      <c r="T511" s="13">
        <f t="shared" si="77"/>
        <v>200</v>
      </c>
      <c r="U511" s="13" t="s">
        <v>4181</v>
      </c>
      <c r="V511" s="15" t="s">
        <v>1274</v>
      </c>
    </row>
    <row r="512" spans="1:23" ht="30" customHeight="1">
      <c r="A512" s="49">
        <v>12</v>
      </c>
      <c r="B512" s="8">
        <v>4429</v>
      </c>
      <c r="C512" s="10" t="s">
        <v>1279</v>
      </c>
      <c r="D512" s="10" t="s">
        <v>1280</v>
      </c>
      <c r="E512" s="66" t="s">
        <v>1259</v>
      </c>
      <c r="F512" s="13">
        <v>2500</v>
      </c>
      <c r="G512" s="13">
        <v>0</v>
      </c>
      <c r="H512" s="13">
        <v>0</v>
      </c>
      <c r="I512" s="13">
        <v>0</v>
      </c>
      <c r="J512" s="13">
        <v>0</v>
      </c>
      <c r="K512" s="13">
        <v>0</v>
      </c>
      <c r="L512" s="13">
        <v>0</v>
      </c>
      <c r="M512" s="13">
        <v>0</v>
      </c>
      <c r="N512" s="12">
        <f t="shared" si="79"/>
        <v>0</v>
      </c>
      <c r="O512" s="13">
        <v>0</v>
      </c>
      <c r="P512" s="13">
        <v>0</v>
      </c>
      <c r="Q512" s="13">
        <v>0</v>
      </c>
      <c r="R512" s="14">
        <f t="shared" si="78"/>
        <v>0</v>
      </c>
      <c r="S512" s="13">
        <f t="shared" si="76"/>
        <v>100</v>
      </c>
      <c r="T512" s="13">
        <f t="shared" si="77"/>
        <v>200</v>
      </c>
      <c r="U512" s="13" t="s">
        <v>4181</v>
      </c>
      <c r="V512" s="15" t="s">
        <v>1274</v>
      </c>
    </row>
    <row r="513" spans="1:23" ht="30" customHeight="1">
      <c r="A513" s="84">
        <v>13</v>
      </c>
      <c r="B513" s="8">
        <v>4739</v>
      </c>
      <c r="C513" s="10" t="s">
        <v>410</v>
      </c>
      <c r="D513" s="9" t="s">
        <v>1281</v>
      </c>
      <c r="E513" s="66" t="s">
        <v>1259</v>
      </c>
      <c r="F513" s="13">
        <v>2200</v>
      </c>
      <c r="G513" s="13">
        <v>0</v>
      </c>
      <c r="H513" s="13">
        <v>0</v>
      </c>
      <c r="I513" s="13">
        <v>0</v>
      </c>
      <c r="J513" s="13">
        <v>0</v>
      </c>
      <c r="K513" s="13">
        <v>0</v>
      </c>
      <c r="L513" s="13">
        <v>0</v>
      </c>
      <c r="M513" s="13">
        <v>0</v>
      </c>
      <c r="N513" s="12">
        <f t="shared" si="79"/>
        <v>0</v>
      </c>
      <c r="O513" s="13">
        <v>0</v>
      </c>
      <c r="P513" s="13">
        <v>0</v>
      </c>
      <c r="Q513" s="13">
        <v>0</v>
      </c>
      <c r="R513" s="14">
        <f t="shared" si="78"/>
        <v>0</v>
      </c>
      <c r="S513" s="13">
        <f t="shared" si="76"/>
        <v>100</v>
      </c>
      <c r="T513" s="13">
        <f t="shared" si="77"/>
        <v>200</v>
      </c>
      <c r="U513" s="13" t="s">
        <v>4181</v>
      </c>
      <c r="V513" s="15" t="s">
        <v>1282</v>
      </c>
    </row>
    <row r="514" spans="1:23" ht="30" customHeight="1">
      <c r="A514" s="49">
        <v>14</v>
      </c>
      <c r="B514" s="13">
        <v>4926</v>
      </c>
      <c r="C514" s="9" t="s">
        <v>1283</v>
      </c>
      <c r="D514" s="57" t="s">
        <v>732</v>
      </c>
      <c r="E514" s="66" t="s">
        <v>1259</v>
      </c>
      <c r="F514" s="13">
        <v>2200</v>
      </c>
      <c r="G514" s="13">
        <v>0</v>
      </c>
      <c r="H514" s="13">
        <v>0</v>
      </c>
      <c r="I514" s="13">
        <v>0</v>
      </c>
      <c r="J514" s="13">
        <v>0</v>
      </c>
      <c r="K514" s="13">
        <v>0</v>
      </c>
      <c r="L514" s="13">
        <v>0</v>
      </c>
      <c r="M514" s="13">
        <v>0</v>
      </c>
      <c r="N514" s="12">
        <f t="shared" si="79"/>
        <v>0</v>
      </c>
      <c r="O514" s="13">
        <v>0</v>
      </c>
      <c r="P514" s="13">
        <v>0</v>
      </c>
      <c r="Q514" s="13">
        <v>0</v>
      </c>
      <c r="R514" s="14">
        <f t="shared" si="78"/>
        <v>0</v>
      </c>
      <c r="S514" s="13">
        <f t="shared" si="76"/>
        <v>100</v>
      </c>
      <c r="T514" s="13">
        <f t="shared" si="77"/>
        <v>200</v>
      </c>
      <c r="U514" s="13" t="s">
        <v>4181</v>
      </c>
      <c r="V514" s="72" t="s">
        <v>1284</v>
      </c>
    </row>
    <row r="515" spans="1:23" ht="30" customHeight="1">
      <c r="A515" s="84">
        <v>15</v>
      </c>
      <c r="B515" s="13">
        <v>4947</v>
      </c>
      <c r="C515" s="9" t="s">
        <v>1285</v>
      </c>
      <c r="D515" s="57" t="s">
        <v>440</v>
      </c>
      <c r="E515" s="66" t="s">
        <v>1259</v>
      </c>
      <c r="F515" s="13">
        <v>2100</v>
      </c>
      <c r="G515" s="13">
        <v>0</v>
      </c>
      <c r="H515" s="13">
        <v>0</v>
      </c>
      <c r="I515" s="13">
        <v>0</v>
      </c>
      <c r="J515" s="13">
        <v>0</v>
      </c>
      <c r="K515" s="13">
        <v>0</v>
      </c>
      <c r="L515" s="13">
        <v>0</v>
      </c>
      <c r="M515" s="13">
        <v>0</v>
      </c>
      <c r="N515" s="12">
        <f t="shared" si="79"/>
        <v>0</v>
      </c>
      <c r="O515" s="13">
        <v>0</v>
      </c>
      <c r="P515" s="13">
        <v>0</v>
      </c>
      <c r="Q515" s="13">
        <v>0</v>
      </c>
      <c r="R515" s="14">
        <f t="shared" si="78"/>
        <v>0</v>
      </c>
      <c r="S515" s="13">
        <f t="shared" si="76"/>
        <v>100</v>
      </c>
      <c r="T515" s="13">
        <f t="shared" si="77"/>
        <v>200</v>
      </c>
      <c r="U515" s="13" t="s">
        <v>4181</v>
      </c>
      <c r="V515" s="23" t="s">
        <v>1286</v>
      </c>
    </row>
    <row r="516" spans="1:23" ht="30" customHeight="1">
      <c r="A516" s="49">
        <v>16</v>
      </c>
      <c r="B516" s="13">
        <v>4974</v>
      </c>
      <c r="C516" s="9" t="s">
        <v>1287</v>
      </c>
      <c r="D516" s="57" t="s">
        <v>1288</v>
      </c>
      <c r="E516" s="66" t="s">
        <v>1259</v>
      </c>
      <c r="F516" s="13">
        <v>2500</v>
      </c>
      <c r="G516" s="13">
        <v>0</v>
      </c>
      <c r="H516" s="13">
        <v>0</v>
      </c>
      <c r="I516" s="13">
        <v>0</v>
      </c>
      <c r="J516" s="13">
        <v>0</v>
      </c>
      <c r="K516" s="13">
        <v>0</v>
      </c>
      <c r="L516" s="13">
        <v>0</v>
      </c>
      <c r="M516" s="13">
        <v>0</v>
      </c>
      <c r="N516" s="12">
        <f t="shared" si="79"/>
        <v>0</v>
      </c>
      <c r="O516" s="13">
        <v>0</v>
      </c>
      <c r="P516" s="13">
        <v>0</v>
      </c>
      <c r="Q516" s="13">
        <v>0</v>
      </c>
      <c r="R516" s="14">
        <f t="shared" si="78"/>
        <v>0</v>
      </c>
      <c r="S516" s="13">
        <f t="shared" si="76"/>
        <v>100</v>
      </c>
      <c r="T516" s="13">
        <f t="shared" si="77"/>
        <v>200</v>
      </c>
      <c r="U516" s="13" t="s">
        <v>4181</v>
      </c>
      <c r="V516" s="15" t="s">
        <v>1289</v>
      </c>
    </row>
    <row r="517" spans="1:23" ht="30" customHeight="1">
      <c r="A517" s="84">
        <v>17</v>
      </c>
      <c r="B517" s="13">
        <v>5000</v>
      </c>
      <c r="C517" s="9" t="s">
        <v>1290</v>
      </c>
      <c r="D517" s="57" t="s">
        <v>456</v>
      </c>
      <c r="E517" s="66" t="s">
        <v>1259</v>
      </c>
      <c r="F517" s="13">
        <v>2500</v>
      </c>
      <c r="G517" s="13">
        <v>0</v>
      </c>
      <c r="H517" s="13">
        <v>0</v>
      </c>
      <c r="I517" s="13">
        <v>0</v>
      </c>
      <c r="J517" s="13">
        <v>0</v>
      </c>
      <c r="K517" s="13">
        <v>0</v>
      </c>
      <c r="L517" s="13">
        <v>0</v>
      </c>
      <c r="M517" s="13">
        <v>2500</v>
      </c>
      <c r="N517" s="12">
        <f t="shared" si="79"/>
        <v>2500</v>
      </c>
      <c r="O517" s="13">
        <v>2500</v>
      </c>
      <c r="P517" s="13">
        <v>0</v>
      </c>
      <c r="Q517" s="13">
        <v>0</v>
      </c>
      <c r="R517" s="14">
        <f t="shared" si="78"/>
        <v>5000</v>
      </c>
      <c r="S517" s="13">
        <f t="shared" si="76"/>
        <v>5100</v>
      </c>
      <c r="T517" s="13">
        <f t="shared" si="77"/>
        <v>5200</v>
      </c>
      <c r="U517" s="13" t="s">
        <v>4181</v>
      </c>
      <c r="V517" s="56" t="s">
        <v>457</v>
      </c>
    </row>
    <row r="518" spans="1:23" ht="30" customHeight="1">
      <c r="A518" s="84">
        <v>19</v>
      </c>
      <c r="B518" s="13">
        <v>5099</v>
      </c>
      <c r="C518" s="9" t="s">
        <v>689</v>
      </c>
      <c r="D518" s="9" t="s">
        <v>916</v>
      </c>
      <c r="E518" s="66" t="s">
        <v>1259</v>
      </c>
      <c r="F518" s="13">
        <v>2500</v>
      </c>
      <c r="G518" s="13">
        <v>0</v>
      </c>
      <c r="H518" s="13">
        <v>0</v>
      </c>
      <c r="I518" s="13">
        <v>0</v>
      </c>
      <c r="J518" s="13">
        <v>0</v>
      </c>
      <c r="K518" s="13">
        <v>0</v>
      </c>
      <c r="L518" s="13">
        <v>0</v>
      </c>
      <c r="M518" s="13">
        <v>0</v>
      </c>
      <c r="N518" s="12">
        <f t="shared" si="79"/>
        <v>0</v>
      </c>
      <c r="O518" s="13">
        <v>0</v>
      </c>
      <c r="P518" s="13">
        <v>0</v>
      </c>
      <c r="Q518" s="13">
        <v>0</v>
      </c>
      <c r="R518" s="14">
        <f t="shared" ref="R518:R581" si="84">(SUM(N518:Q518))</f>
        <v>0</v>
      </c>
      <c r="S518" s="13">
        <f t="shared" si="76"/>
        <v>100</v>
      </c>
      <c r="T518" s="13">
        <f t="shared" si="77"/>
        <v>200</v>
      </c>
      <c r="U518" s="13" t="s">
        <v>4181</v>
      </c>
      <c r="V518" s="72" t="s">
        <v>1293</v>
      </c>
    </row>
    <row r="519" spans="1:23" ht="30" customHeight="1">
      <c r="A519" s="49">
        <v>20</v>
      </c>
      <c r="B519" s="13">
        <v>6008</v>
      </c>
      <c r="C519" s="9" t="s">
        <v>458</v>
      </c>
      <c r="D519" s="9" t="s">
        <v>991</v>
      </c>
      <c r="E519" s="66" t="s">
        <v>1259</v>
      </c>
      <c r="F519" s="13">
        <v>2500</v>
      </c>
      <c r="G519" s="13">
        <v>0</v>
      </c>
      <c r="H519" s="13">
        <v>0</v>
      </c>
      <c r="I519" s="13">
        <v>0</v>
      </c>
      <c r="J519" s="13">
        <v>0</v>
      </c>
      <c r="K519" s="13">
        <v>0</v>
      </c>
      <c r="L519" s="13">
        <v>0</v>
      </c>
      <c r="M519" s="13">
        <v>0</v>
      </c>
      <c r="N519" s="12">
        <f t="shared" ref="N519:N582" si="85">(SUM(G519:M519))</f>
        <v>0</v>
      </c>
      <c r="O519" s="13">
        <v>0</v>
      </c>
      <c r="P519" s="13">
        <v>0</v>
      </c>
      <c r="Q519" s="13">
        <v>0</v>
      </c>
      <c r="R519" s="14">
        <f t="shared" si="84"/>
        <v>0</v>
      </c>
      <c r="S519" s="13">
        <f t="shared" ref="S519:S582" si="86">R519+100</f>
        <v>100</v>
      </c>
      <c r="T519" s="13">
        <f t="shared" ref="T519:T582" si="87">R519+200</f>
        <v>200</v>
      </c>
      <c r="U519" s="13" t="s">
        <v>4181</v>
      </c>
      <c r="V519" s="24" t="s">
        <v>992</v>
      </c>
    </row>
    <row r="520" spans="1:23" ht="30" customHeight="1">
      <c r="A520" s="84">
        <v>21</v>
      </c>
      <c r="B520" s="13">
        <v>6100</v>
      </c>
      <c r="C520" s="9" t="s">
        <v>444</v>
      </c>
      <c r="D520" s="9" t="s">
        <v>1294</v>
      </c>
      <c r="E520" s="66" t="s">
        <v>1259</v>
      </c>
      <c r="F520" s="13">
        <v>2500</v>
      </c>
      <c r="G520" s="13">
        <v>0</v>
      </c>
      <c r="H520" s="13">
        <v>0</v>
      </c>
      <c r="I520" s="13">
        <v>0</v>
      </c>
      <c r="J520" s="13">
        <v>0</v>
      </c>
      <c r="K520" s="13">
        <v>0</v>
      </c>
      <c r="L520" s="13">
        <v>0</v>
      </c>
      <c r="M520" s="13">
        <v>0</v>
      </c>
      <c r="N520" s="12">
        <f t="shared" si="85"/>
        <v>0</v>
      </c>
      <c r="O520" s="13">
        <v>0</v>
      </c>
      <c r="P520" s="13">
        <v>0</v>
      </c>
      <c r="Q520" s="13">
        <v>0</v>
      </c>
      <c r="R520" s="14">
        <f t="shared" si="84"/>
        <v>0</v>
      </c>
      <c r="S520" s="13">
        <f t="shared" si="86"/>
        <v>100</v>
      </c>
      <c r="T520" s="13">
        <f t="shared" si="87"/>
        <v>200</v>
      </c>
      <c r="U520" s="13" t="s">
        <v>4181</v>
      </c>
      <c r="V520" s="15" t="s">
        <v>299</v>
      </c>
      <c r="W520" t="s">
        <v>1295</v>
      </c>
    </row>
    <row r="521" spans="1:23" ht="30" customHeight="1">
      <c r="A521" s="49">
        <v>22</v>
      </c>
      <c r="B521" s="13">
        <v>6200</v>
      </c>
      <c r="C521" s="9" t="s">
        <v>1296</v>
      </c>
      <c r="D521" s="9" t="s">
        <v>1297</v>
      </c>
      <c r="E521" s="66" t="s">
        <v>1259</v>
      </c>
      <c r="F521" s="13">
        <v>1250</v>
      </c>
      <c r="G521" s="13">
        <v>0</v>
      </c>
      <c r="H521" s="13">
        <v>0</v>
      </c>
      <c r="I521" s="13">
        <v>0</v>
      </c>
      <c r="J521" s="13">
        <v>0</v>
      </c>
      <c r="K521" s="13">
        <v>0</v>
      </c>
      <c r="L521" s="13">
        <v>0</v>
      </c>
      <c r="M521" s="13">
        <v>0</v>
      </c>
      <c r="N521" s="12">
        <f t="shared" si="85"/>
        <v>0</v>
      </c>
      <c r="O521" s="13">
        <v>0</v>
      </c>
      <c r="P521" s="13">
        <v>0</v>
      </c>
      <c r="Q521" s="13">
        <v>0</v>
      </c>
      <c r="R521" s="14">
        <f t="shared" si="84"/>
        <v>0</v>
      </c>
      <c r="S521" s="13">
        <f t="shared" si="86"/>
        <v>100</v>
      </c>
      <c r="T521" s="13">
        <f t="shared" si="87"/>
        <v>200</v>
      </c>
      <c r="U521" s="13" t="s">
        <v>4181</v>
      </c>
      <c r="V521" s="15" t="s">
        <v>1298</v>
      </c>
    </row>
    <row r="522" spans="1:23" ht="30" customHeight="1">
      <c r="A522" s="84">
        <v>23</v>
      </c>
      <c r="B522" s="13">
        <v>6386</v>
      </c>
      <c r="C522" s="63" t="s">
        <v>1299</v>
      </c>
      <c r="D522" s="63" t="s">
        <v>1300</v>
      </c>
      <c r="E522" s="66" t="s">
        <v>1259</v>
      </c>
      <c r="F522" s="60">
        <v>0</v>
      </c>
      <c r="G522" s="60">
        <v>0</v>
      </c>
      <c r="H522" s="60">
        <v>0</v>
      </c>
      <c r="I522" s="60">
        <v>0</v>
      </c>
      <c r="J522" s="60">
        <v>0</v>
      </c>
      <c r="K522" s="60">
        <v>0</v>
      </c>
      <c r="L522" s="60">
        <v>0</v>
      </c>
      <c r="M522" s="60">
        <v>0</v>
      </c>
      <c r="N522" s="12">
        <f t="shared" si="85"/>
        <v>0</v>
      </c>
      <c r="O522" s="60">
        <v>0</v>
      </c>
      <c r="P522" s="13">
        <v>0</v>
      </c>
      <c r="Q522" s="13">
        <v>0</v>
      </c>
      <c r="R522" s="14">
        <f t="shared" si="84"/>
        <v>0</v>
      </c>
      <c r="S522" s="13">
        <f t="shared" si="86"/>
        <v>100</v>
      </c>
      <c r="T522" s="13">
        <f t="shared" si="87"/>
        <v>200</v>
      </c>
      <c r="U522" s="13" t="s">
        <v>4181</v>
      </c>
      <c r="V522" s="29" t="s">
        <v>1301</v>
      </c>
    </row>
    <row r="523" spans="1:23" ht="30" customHeight="1">
      <c r="A523" s="49">
        <v>24</v>
      </c>
      <c r="B523" s="13">
        <v>6412</v>
      </c>
      <c r="C523" s="9" t="s">
        <v>1302</v>
      </c>
      <c r="D523" s="9" t="s">
        <v>129</v>
      </c>
      <c r="E523" s="66" t="s">
        <v>1259</v>
      </c>
      <c r="F523" s="13">
        <v>0</v>
      </c>
      <c r="G523" s="13">
        <v>0</v>
      </c>
      <c r="H523" s="13">
        <v>0</v>
      </c>
      <c r="I523" s="13">
        <v>0</v>
      </c>
      <c r="J523" s="13">
        <v>0</v>
      </c>
      <c r="K523" s="13">
        <v>0</v>
      </c>
      <c r="L523" s="13">
        <v>0</v>
      </c>
      <c r="M523" s="13">
        <v>0</v>
      </c>
      <c r="N523" s="12">
        <f t="shared" si="85"/>
        <v>0</v>
      </c>
      <c r="O523" s="13">
        <v>0</v>
      </c>
      <c r="P523" s="13">
        <v>0</v>
      </c>
      <c r="Q523" s="13">
        <v>0</v>
      </c>
      <c r="R523" s="14">
        <f t="shared" si="84"/>
        <v>0</v>
      </c>
      <c r="S523" s="13">
        <f t="shared" si="86"/>
        <v>100</v>
      </c>
      <c r="T523" s="13">
        <f t="shared" si="87"/>
        <v>200</v>
      </c>
      <c r="U523" s="13" t="s">
        <v>4181</v>
      </c>
      <c r="V523" s="72" t="s">
        <v>758</v>
      </c>
    </row>
    <row r="524" spans="1:23" ht="30" customHeight="1">
      <c r="A524" s="84">
        <v>25</v>
      </c>
      <c r="B524" s="13">
        <v>6413</v>
      </c>
      <c r="C524" s="9" t="s">
        <v>1303</v>
      </c>
      <c r="D524" s="9" t="s">
        <v>129</v>
      </c>
      <c r="E524" s="66" t="s">
        <v>1259</v>
      </c>
      <c r="F524" s="13">
        <v>2500</v>
      </c>
      <c r="G524" s="13">
        <v>0</v>
      </c>
      <c r="H524" s="13">
        <v>0</v>
      </c>
      <c r="I524" s="13">
        <v>0</v>
      </c>
      <c r="J524" s="13">
        <v>0</v>
      </c>
      <c r="K524" s="13">
        <v>0</v>
      </c>
      <c r="L524" s="13">
        <v>0</v>
      </c>
      <c r="M524" s="13">
        <v>0</v>
      </c>
      <c r="N524" s="12">
        <f t="shared" si="85"/>
        <v>0</v>
      </c>
      <c r="O524" s="13">
        <v>0</v>
      </c>
      <c r="P524" s="13">
        <v>0</v>
      </c>
      <c r="Q524" s="13">
        <v>0</v>
      </c>
      <c r="R524" s="14">
        <f t="shared" si="84"/>
        <v>0</v>
      </c>
      <c r="S524" s="13">
        <f t="shared" si="86"/>
        <v>100</v>
      </c>
      <c r="T524" s="13">
        <f t="shared" si="87"/>
        <v>200</v>
      </c>
      <c r="U524" s="13" t="s">
        <v>4181</v>
      </c>
      <c r="V524" s="72" t="s">
        <v>758</v>
      </c>
    </row>
    <row r="525" spans="1:23" ht="30" customHeight="1">
      <c r="A525" s="49">
        <v>26</v>
      </c>
      <c r="B525" s="13">
        <v>6442</v>
      </c>
      <c r="C525" s="9" t="s">
        <v>784</v>
      </c>
      <c r="D525" s="9" t="s">
        <v>92</v>
      </c>
      <c r="E525" s="66" t="s">
        <v>1259</v>
      </c>
      <c r="F525" s="13">
        <v>1100</v>
      </c>
      <c r="G525" s="13">
        <v>0</v>
      </c>
      <c r="H525" s="13">
        <v>0</v>
      </c>
      <c r="I525" s="13">
        <v>0</v>
      </c>
      <c r="J525" s="13">
        <v>0</v>
      </c>
      <c r="K525" s="13">
        <v>0</v>
      </c>
      <c r="L525" s="13">
        <v>0</v>
      </c>
      <c r="M525" s="13">
        <v>0</v>
      </c>
      <c r="N525" s="12">
        <f t="shared" si="85"/>
        <v>0</v>
      </c>
      <c r="O525" s="13">
        <v>0</v>
      </c>
      <c r="P525" s="13">
        <v>0</v>
      </c>
      <c r="Q525" s="13">
        <v>0</v>
      </c>
      <c r="R525" s="14">
        <f t="shared" si="84"/>
        <v>0</v>
      </c>
      <c r="S525" s="13">
        <f t="shared" si="86"/>
        <v>100</v>
      </c>
      <c r="T525" s="13">
        <f t="shared" si="87"/>
        <v>200</v>
      </c>
      <c r="U525" s="13" t="s">
        <v>4181</v>
      </c>
      <c r="V525" s="72" t="s">
        <v>1304</v>
      </c>
    </row>
    <row r="526" spans="1:23" ht="30" customHeight="1">
      <c r="A526" s="84">
        <v>27</v>
      </c>
      <c r="B526" s="13">
        <v>6661</v>
      </c>
      <c r="C526" s="63" t="s">
        <v>1305</v>
      </c>
      <c r="D526" s="63" t="s">
        <v>1306</v>
      </c>
      <c r="E526" s="66" t="s">
        <v>1259</v>
      </c>
      <c r="F526" s="60">
        <v>2500</v>
      </c>
      <c r="G526" s="60">
        <v>0</v>
      </c>
      <c r="H526" s="60">
        <v>0</v>
      </c>
      <c r="I526" s="60">
        <v>0</v>
      </c>
      <c r="J526" s="60">
        <v>0</v>
      </c>
      <c r="K526" s="60">
        <v>0</v>
      </c>
      <c r="L526" s="60">
        <v>0</v>
      </c>
      <c r="M526" s="60">
        <v>0</v>
      </c>
      <c r="N526" s="12">
        <f t="shared" si="85"/>
        <v>0</v>
      </c>
      <c r="O526" s="60">
        <v>0</v>
      </c>
      <c r="P526" s="13">
        <v>0</v>
      </c>
      <c r="Q526" s="13">
        <v>0</v>
      </c>
      <c r="R526" s="14">
        <f t="shared" si="84"/>
        <v>0</v>
      </c>
      <c r="S526" s="13">
        <f t="shared" si="86"/>
        <v>100</v>
      </c>
      <c r="T526" s="13">
        <f t="shared" si="87"/>
        <v>200</v>
      </c>
      <c r="U526" s="13" t="s">
        <v>4181</v>
      </c>
      <c r="V526" s="51" t="s">
        <v>1307</v>
      </c>
      <c r="W526" s="80"/>
    </row>
    <row r="527" spans="1:23" ht="30" customHeight="1">
      <c r="A527" s="49">
        <v>28</v>
      </c>
      <c r="B527" s="13">
        <v>6664</v>
      </c>
      <c r="C527" s="63" t="s">
        <v>1308</v>
      </c>
      <c r="D527" s="63" t="s">
        <v>139</v>
      </c>
      <c r="E527" s="66" t="s">
        <v>1259</v>
      </c>
      <c r="F527" s="60">
        <v>2000</v>
      </c>
      <c r="G527" s="60">
        <v>0</v>
      </c>
      <c r="H527" s="60">
        <v>0</v>
      </c>
      <c r="I527" s="60">
        <v>0</v>
      </c>
      <c r="J527" s="60">
        <v>0</v>
      </c>
      <c r="K527" s="60">
        <v>0</v>
      </c>
      <c r="L527" s="60">
        <v>0</v>
      </c>
      <c r="M527" s="60">
        <v>0</v>
      </c>
      <c r="N527" s="12">
        <f t="shared" si="85"/>
        <v>0</v>
      </c>
      <c r="O527" s="60">
        <v>0</v>
      </c>
      <c r="P527" s="13">
        <v>0</v>
      </c>
      <c r="Q527" s="13">
        <v>0</v>
      </c>
      <c r="R527" s="14">
        <f t="shared" si="84"/>
        <v>0</v>
      </c>
      <c r="S527" s="13">
        <f t="shared" si="86"/>
        <v>100</v>
      </c>
      <c r="T527" s="13">
        <f t="shared" si="87"/>
        <v>200</v>
      </c>
      <c r="U527" s="13" t="s">
        <v>4181</v>
      </c>
      <c r="V527" s="51" t="s">
        <v>648</v>
      </c>
      <c r="W527" s="80"/>
    </row>
    <row r="528" spans="1:23" ht="30" customHeight="1">
      <c r="A528" s="84">
        <v>29</v>
      </c>
      <c r="B528" s="13">
        <v>6665</v>
      </c>
      <c r="C528" s="9" t="s">
        <v>41</v>
      </c>
      <c r="D528" s="9" t="s">
        <v>1309</v>
      </c>
      <c r="E528" s="66" t="s">
        <v>1259</v>
      </c>
      <c r="F528" s="13">
        <v>2200</v>
      </c>
      <c r="G528" s="13">
        <v>0</v>
      </c>
      <c r="H528" s="13">
        <v>0</v>
      </c>
      <c r="I528" s="13">
        <v>0</v>
      </c>
      <c r="J528" s="13">
        <v>0</v>
      </c>
      <c r="K528" s="13">
        <v>0</v>
      </c>
      <c r="L528" s="13">
        <v>0</v>
      </c>
      <c r="M528" s="13">
        <v>0</v>
      </c>
      <c r="N528" s="12">
        <f t="shared" si="85"/>
        <v>0</v>
      </c>
      <c r="O528" s="13">
        <v>0</v>
      </c>
      <c r="P528" s="13">
        <v>0</v>
      </c>
      <c r="Q528" s="13">
        <v>0</v>
      </c>
      <c r="R528" s="14">
        <f t="shared" si="84"/>
        <v>0</v>
      </c>
      <c r="S528" s="13">
        <f t="shared" si="86"/>
        <v>100</v>
      </c>
      <c r="T528" s="13">
        <f t="shared" si="87"/>
        <v>200</v>
      </c>
      <c r="U528" s="13" t="s">
        <v>4181</v>
      </c>
      <c r="V528" s="72" t="s">
        <v>1310</v>
      </c>
    </row>
    <row r="529" spans="1:23" ht="30" customHeight="1">
      <c r="A529" s="49">
        <v>30</v>
      </c>
      <c r="B529" s="13">
        <v>6666</v>
      </c>
      <c r="C529" s="9" t="s">
        <v>496</v>
      </c>
      <c r="D529" s="9" t="s">
        <v>1311</v>
      </c>
      <c r="E529" s="66" t="s">
        <v>1259</v>
      </c>
      <c r="F529" s="13">
        <v>2500</v>
      </c>
      <c r="G529" s="13">
        <v>0</v>
      </c>
      <c r="H529" s="13">
        <v>0</v>
      </c>
      <c r="I529" s="13">
        <v>0</v>
      </c>
      <c r="J529" s="13">
        <v>0</v>
      </c>
      <c r="K529" s="13">
        <v>0</v>
      </c>
      <c r="L529" s="13">
        <v>0</v>
      </c>
      <c r="M529" s="13">
        <v>1600</v>
      </c>
      <c r="N529" s="12">
        <f t="shared" si="85"/>
        <v>1600</v>
      </c>
      <c r="O529" s="13">
        <v>2500</v>
      </c>
      <c r="P529" s="13">
        <v>0</v>
      </c>
      <c r="Q529" s="13">
        <v>0</v>
      </c>
      <c r="R529" s="14">
        <f t="shared" si="84"/>
        <v>4100</v>
      </c>
      <c r="S529" s="13">
        <f t="shared" si="86"/>
        <v>4200</v>
      </c>
      <c r="T529" s="13">
        <f t="shared" si="87"/>
        <v>4300</v>
      </c>
      <c r="U529" s="13" t="s">
        <v>4181</v>
      </c>
      <c r="V529" s="72" t="s">
        <v>55</v>
      </c>
      <c r="W529" t="s">
        <v>1312</v>
      </c>
    </row>
    <row r="530" spans="1:23" ht="30" customHeight="1">
      <c r="A530" s="84">
        <v>31</v>
      </c>
      <c r="B530" s="13">
        <v>6667</v>
      </c>
      <c r="C530" s="9" t="s">
        <v>1313</v>
      </c>
      <c r="D530" s="9" t="s">
        <v>1309</v>
      </c>
      <c r="E530" s="66" t="s">
        <v>1259</v>
      </c>
      <c r="F530" s="13">
        <v>2500</v>
      </c>
      <c r="G530" s="13">
        <v>0</v>
      </c>
      <c r="H530" s="13">
        <v>0</v>
      </c>
      <c r="I530" s="13">
        <v>0</v>
      </c>
      <c r="J530" s="13">
        <v>0</v>
      </c>
      <c r="K530" s="13">
        <v>0</v>
      </c>
      <c r="L530" s="13">
        <v>0</v>
      </c>
      <c r="M530" s="13">
        <v>0</v>
      </c>
      <c r="N530" s="12">
        <f t="shared" si="85"/>
        <v>0</v>
      </c>
      <c r="O530" s="13">
        <v>0</v>
      </c>
      <c r="P530" s="13">
        <v>0</v>
      </c>
      <c r="Q530" s="13">
        <v>0</v>
      </c>
      <c r="R530" s="14">
        <f t="shared" si="84"/>
        <v>0</v>
      </c>
      <c r="S530" s="13">
        <f t="shared" si="86"/>
        <v>100</v>
      </c>
      <c r="T530" s="13">
        <f t="shared" si="87"/>
        <v>200</v>
      </c>
      <c r="U530" s="13" t="s">
        <v>4181</v>
      </c>
      <c r="V530" s="72" t="s">
        <v>1310</v>
      </c>
    </row>
    <row r="531" spans="1:23" ht="30" customHeight="1">
      <c r="A531" s="49">
        <v>32</v>
      </c>
      <c r="B531" s="13">
        <v>6722</v>
      </c>
      <c r="C531" s="63" t="s">
        <v>1314</v>
      </c>
      <c r="D531" s="63" t="s">
        <v>1315</v>
      </c>
      <c r="E531" s="66" t="s">
        <v>1259</v>
      </c>
      <c r="F531" s="60">
        <v>2500</v>
      </c>
      <c r="G531" s="60">
        <v>0</v>
      </c>
      <c r="H531" s="60">
        <v>0</v>
      </c>
      <c r="I531" s="60">
        <v>0</v>
      </c>
      <c r="J531" s="60">
        <v>0</v>
      </c>
      <c r="K531" s="60">
        <v>0</v>
      </c>
      <c r="L531" s="60">
        <v>0</v>
      </c>
      <c r="M531" s="60">
        <v>0</v>
      </c>
      <c r="N531" s="12">
        <f t="shared" si="85"/>
        <v>0</v>
      </c>
      <c r="O531" s="60">
        <v>0</v>
      </c>
      <c r="P531" s="13">
        <v>0</v>
      </c>
      <c r="Q531" s="13">
        <v>0</v>
      </c>
      <c r="R531" s="14">
        <f t="shared" si="84"/>
        <v>0</v>
      </c>
      <c r="S531" s="13">
        <f t="shared" si="86"/>
        <v>100</v>
      </c>
      <c r="T531" s="13">
        <f t="shared" si="87"/>
        <v>200</v>
      </c>
      <c r="U531" s="13" t="s">
        <v>4181</v>
      </c>
      <c r="V531" s="51" t="s">
        <v>1316</v>
      </c>
      <c r="W531" s="80" t="s">
        <v>1317</v>
      </c>
    </row>
    <row r="532" spans="1:23" ht="30" customHeight="1">
      <c r="A532" s="84">
        <v>33</v>
      </c>
      <c r="B532" s="13">
        <v>6744</v>
      </c>
      <c r="C532" s="9" t="s">
        <v>1318</v>
      </c>
      <c r="D532" s="9" t="s">
        <v>1319</v>
      </c>
      <c r="E532" s="66" t="s">
        <v>1259</v>
      </c>
      <c r="F532" s="13">
        <v>2000</v>
      </c>
      <c r="G532" s="13">
        <v>0</v>
      </c>
      <c r="H532" s="13">
        <v>0</v>
      </c>
      <c r="I532" s="13">
        <v>0</v>
      </c>
      <c r="J532" s="13">
        <v>0</v>
      </c>
      <c r="K532" s="13">
        <v>0</v>
      </c>
      <c r="L532" s="13">
        <v>0</v>
      </c>
      <c r="M532" s="13">
        <v>0</v>
      </c>
      <c r="N532" s="12">
        <f t="shared" si="85"/>
        <v>0</v>
      </c>
      <c r="O532" s="13">
        <v>2000</v>
      </c>
      <c r="P532" s="13">
        <v>0</v>
      </c>
      <c r="Q532" s="13">
        <v>3000</v>
      </c>
      <c r="R532" s="14">
        <f t="shared" si="84"/>
        <v>5000</v>
      </c>
      <c r="S532" s="13">
        <f t="shared" si="86"/>
        <v>5100</v>
      </c>
      <c r="T532" s="13">
        <f t="shared" si="87"/>
        <v>5200</v>
      </c>
      <c r="U532" s="13" t="s">
        <v>4181</v>
      </c>
      <c r="V532" s="72" t="s">
        <v>1320</v>
      </c>
      <c r="W532" t="s">
        <v>78</v>
      </c>
    </row>
    <row r="533" spans="1:23" ht="30" customHeight="1">
      <c r="A533" s="49">
        <v>34</v>
      </c>
      <c r="B533" s="13">
        <v>6804</v>
      </c>
      <c r="C533" s="9" t="s">
        <v>40</v>
      </c>
      <c r="D533" s="9" t="s">
        <v>1321</v>
      </c>
      <c r="E533" s="66" t="s">
        <v>1259</v>
      </c>
      <c r="F533" s="13">
        <v>2500</v>
      </c>
      <c r="G533" s="13">
        <v>0</v>
      </c>
      <c r="H533" s="13">
        <v>0</v>
      </c>
      <c r="I533" s="13">
        <v>0</v>
      </c>
      <c r="J533" s="13">
        <v>0</v>
      </c>
      <c r="K533" s="13">
        <v>0</v>
      </c>
      <c r="L533" s="13">
        <v>0</v>
      </c>
      <c r="M533" s="13">
        <v>0</v>
      </c>
      <c r="N533" s="12">
        <f t="shared" si="85"/>
        <v>0</v>
      </c>
      <c r="O533" s="13">
        <v>0</v>
      </c>
      <c r="P533" s="13">
        <v>0</v>
      </c>
      <c r="Q533" s="13">
        <v>0</v>
      </c>
      <c r="R533" s="14">
        <f t="shared" si="84"/>
        <v>0</v>
      </c>
      <c r="S533" s="13">
        <f t="shared" si="86"/>
        <v>100</v>
      </c>
      <c r="T533" s="13">
        <f t="shared" si="87"/>
        <v>200</v>
      </c>
      <c r="U533" s="13" t="s">
        <v>4181</v>
      </c>
      <c r="V533" s="72" t="s">
        <v>1322</v>
      </c>
    </row>
    <row r="534" spans="1:23" ht="30" customHeight="1">
      <c r="A534" s="84">
        <v>35</v>
      </c>
      <c r="B534" s="13">
        <v>6817</v>
      </c>
      <c r="C534" s="9" t="s">
        <v>1323</v>
      </c>
      <c r="D534" s="9" t="s">
        <v>1324</v>
      </c>
      <c r="E534" s="66" t="s">
        <v>1259</v>
      </c>
      <c r="F534" s="13">
        <v>2500</v>
      </c>
      <c r="G534" s="13">
        <v>0</v>
      </c>
      <c r="H534" s="13">
        <v>0</v>
      </c>
      <c r="I534" s="13">
        <v>0</v>
      </c>
      <c r="J534" s="13">
        <v>0</v>
      </c>
      <c r="K534" s="13">
        <v>0</v>
      </c>
      <c r="L534" s="13">
        <v>0</v>
      </c>
      <c r="M534" s="13">
        <v>0</v>
      </c>
      <c r="N534" s="12">
        <f t="shared" si="85"/>
        <v>0</v>
      </c>
      <c r="O534" s="13">
        <v>0</v>
      </c>
      <c r="P534" s="13">
        <v>0</v>
      </c>
      <c r="Q534" s="13">
        <v>0</v>
      </c>
      <c r="R534" s="14">
        <f t="shared" si="84"/>
        <v>0</v>
      </c>
      <c r="S534" s="13">
        <f t="shared" si="86"/>
        <v>100</v>
      </c>
      <c r="T534" s="13">
        <f t="shared" si="87"/>
        <v>200</v>
      </c>
      <c r="U534" s="13" t="s">
        <v>4181</v>
      </c>
      <c r="V534" s="72" t="s">
        <v>1325</v>
      </c>
    </row>
    <row r="535" spans="1:23" ht="30" customHeight="1">
      <c r="A535" s="74">
        <v>1</v>
      </c>
      <c r="B535" s="13">
        <v>4070</v>
      </c>
      <c r="C535" s="9" t="s">
        <v>1326</v>
      </c>
      <c r="D535" s="9" t="s">
        <v>1067</v>
      </c>
      <c r="E535" s="66" t="s">
        <v>1327</v>
      </c>
      <c r="F535" s="13">
        <v>2500</v>
      </c>
      <c r="G535" s="13">
        <v>0</v>
      </c>
      <c r="H535" s="13">
        <v>0</v>
      </c>
      <c r="I535" s="13">
        <v>0</v>
      </c>
      <c r="J535" s="13">
        <v>0</v>
      </c>
      <c r="K535" s="13">
        <v>0</v>
      </c>
      <c r="L535" s="13">
        <v>0</v>
      </c>
      <c r="M535" s="13">
        <v>0</v>
      </c>
      <c r="N535" s="12">
        <f t="shared" si="85"/>
        <v>0</v>
      </c>
      <c r="O535" s="13">
        <v>0</v>
      </c>
      <c r="P535" s="13">
        <v>0</v>
      </c>
      <c r="Q535" s="13">
        <v>3000</v>
      </c>
      <c r="R535" s="14">
        <f t="shared" si="84"/>
        <v>3000</v>
      </c>
      <c r="S535" s="13">
        <f t="shared" si="86"/>
        <v>3100</v>
      </c>
      <c r="T535" s="13">
        <f t="shared" si="87"/>
        <v>3200</v>
      </c>
      <c r="U535" s="13" t="s">
        <v>4181</v>
      </c>
      <c r="V535" s="15" t="s">
        <v>1328</v>
      </c>
    </row>
    <row r="536" spans="1:23" ht="30" customHeight="1">
      <c r="A536" s="74">
        <v>2</v>
      </c>
      <c r="B536" s="13">
        <v>4071</v>
      </c>
      <c r="C536" s="9" t="s">
        <v>689</v>
      </c>
      <c r="D536" s="9" t="s">
        <v>806</v>
      </c>
      <c r="E536" s="66" t="s">
        <v>1327</v>
      </c>
      <c r="F536" s="13">
        <v>2500</v>
      </c>
      <c r="G536" s="13">
        <v>0</v>
      </c>
      <c r="H536" s="13">
        <v>0</v>
      </c>
      <c r="I536" s="13">
        <v>0</v>
      </c>
      <c r="J536" s="13">
        <v>0</v>
      </c>
      <c r="K536" s="13">
        <v>0</v>
      </c>
      <c r="L536" s="13">
        <v>0</v>
      </c>
      <c r="M536" s="13">
        <v>0</v>
      </c>
      <c r="N536" s="12">
        <f t="shared" si="85"/>
        <v>0</v>
      </c>
      <c r="O536" s="13">
        <v>0</v>
      </c>
      <c r="P536" s="13">
        <v>0</v>
      </c>
      <c r="Q536" s="13">
        <v>0</v>
      </c>
      <c r="R536" s="14">
        <f t="shared" si="84"/>
        <v>0</v>
      </c>
      <c r="S536" s="13">
        <f t="shared" si="86"/>
        <v>100</v>
      </c>
      <c r="T536" s="13">
        <f t="shared" si="87"/>
        <v>200</v>
      </c>
      <c r="U536" s="13" t="s">
        <v>4181</v>
      </c>
      <c r="V536" s="24" t="s">
        <v>4070</v>
      </c>
    </row>
    <row r="537" spans="1:23" ht="30" customHeight="1">
      <c r="A537" s="74">
        <v>3</v>
      </c>
      <c r="B537" s="13">
        <v>4072</v>
      </c>
      <c r="C537" s="9" t="s">
        <v>1329</v>
      </c>
      <c r="D537" s="9" t="s">
        <v>1330</v>
      </c>
      <c r="E537" s="66" t="s">
        <v>1327</v>
      </c>
      <c r="F537" s="13">
        <v>1350</v>
      </c>
      <c r="G537" s="13">
        <v>0</v>
      </c>
      <c r="H537" s="13">
        <v>0</v>
      </c>
      <c r="I537" s="13">
        <v>0</v>
      </c>
      <c r="J537" s="13">
        <v>0</v>
      </c>
      <c r="K537" s="13">
        <v>0</v>
      </c>
      <c r="L537" s="13">
        <v>0</v>
      </c>
      <c r="M537" s="13">
        <v>0</v>
      </c>
      <c r="N537" s="12">
        <f t="shared" si="85"/>
        <v>0</v>
      </c>
      <c r="O537" s="13">
        <v>0</v>
      </c>
      <c r="P537" s="13">
        <v>0</v>
      </c>
      <c r="Q537" s="13">
        <v>0</v>
      </c>
      <c r="R537" s="14">
        <f t="shared" si="84"/>
        <v>0</v>
      </c>
      <c r="S537" s="13">
        <f t="shared" si="86"/>
        <v>100</v>
      </c>
      <c r="T537" s="13">
        <f t="shared" si="87"/>
        <v>200</v>
      </c>
      <c r="U537" s="13" t="s">
        <v>4181</v>
      </c>
      <c r="V537" s="15" t="s">
        <v>1331</v>
      </c>
    </row>
    <row r="538" spans="1:23" ht="30" customHeight="1">
      <c r="A538" s="74">
        <v>4</v>
      </c>
      <c r="B538" s="13">
        <v>4073</v>
      </c>
      <c r="C538" s="9" t="s">
        <v>1332</v>
      </c>
      <c r="D538" s="9" t="s">
        <v>1333</v>
      </c>
      <c r="E538" s="66" t="s">
        <v>1327</v>
      </c>
      <c r="F538" s="13">
        <v>2500</v>
      </c>
      <c r="G538" s="13">
        <v>0</v>
      </c>
      <c r="H538" s="13">
        <v>0</v>
      </c>
      <c r="I538" s="13">
        <v>0</v>
      </c>
      <c r="J538" s="13">
        <v>0</v>
      </c>
      <c r="K538" s="13">
        <v>0</v>
      </c>
      <c r="L538" s="13">
        <v>0</v>
      </c>
      <c r="M538" s="13">
        <v>0</v>
      </c>
      <c r="N538" s="12">
        <f t="shared" si="85"/>
        <v>0</v>
      </c>
      <c r="O538" s="13">
        <v>0</v>
      </c>
      <c r="P538" s="13">
        <v>0</v>
      </c>
      <c r="Q538" s="13">
        <v>0</v>
      </c>
      <c r="R538" s="14">
        <f t="shared" si="84"/>
        <v>0</v>
      </c>
      <c r="S538" s="13">
        <f t="shared" si="86"/>
        <v>100</v>
      </c>
      <c r="T538" s="13">
        <f t="shared" si="87"/>
        <v>200</v>
      </c>
      <c r="U538" s="13" t="s">
        <v>4181</v>
      </c>
      <c r="V538" s="77" t="s">
        <v>1334</v>
      </c>
    </row>
    <row r="539" spans="1:23" ht="30" customHeight="1">
      <c r="A539" s="74">
        <v>5</v>
      </c>
      <c r="B539" s="13">
        <v>4081</v>
      </c>
      <c r="C539" s="9" t="s">
        <v>1335</v>
      </c>
      <c r="D539" s="9" t="s">
        <v>2372</v>
      </c>
      <c r="E539" s="66" t="s">
        <v>1327</v>
      </c>
      <c r="F539" s="13">
        <v>2500</v>
      </c>
      <c r="G539" s="13">
        <v>0</v>
      </c>
      <c r="H539" s="13">
        <v>0</v>
      </c>
      <c r="I539" s="13">
        <v>0</v>
      </c>
      <c r="J539" s="13">
        <v>0</v>
      </c>
      <c r="K539" s="13">
        <v>0</v>
      </c>
      <c r="L539" s="13">
        <v>0</v>
      </c>
      <c r="M539" s="13">
        <v>0</v>
      </c>
      <c r="N539" s="12">
        <f t="shared" si="85"/>
        <v>0</v>
      </c>
      <c r="O539" s="13">
        <v>0</v>
      </c>
      <c r="P539" s="13">
        <v>0</v>
      </c>
      <c r="Q539" s="13">
        <v>0</v>
      </c>
      <c r="R539" s="14">
        <f t="shared" si="84"/>
        <v>0</v>
      </c>
      <c r="S539" s="13">
        <f t="shared" si="86"/>
        <v>100</v>
      </c>
      <c r="T539" s="13">
        <f t="shared" si="87"/>
        <v>200</v>
      </c>
      <c r="U539" s="13" t="s">
        <v>4181</v>
      </c>
      <c r="V539" s="15" t="s">
        <v>1336</v>
      </c>
    </row>
    <row r="540" spans="1:23" ht="30" customHeight="1">
      <c r="A540" s="74">
        <v>6</v>
      </c>
      <c r="B540" s="13">
        <v>4132</v>
      </c>
      <c r="C540" s="9" t="s">
        <v>1337</v>
      </c>
      <c r="D540" s="9" t="s">
        <v>263</v>
      </c>
      <c r="E540" s="66" t="s">
        <v>1327</v>
      </c>
      <c r="F540" s="13">
        <v>2200</v>
      </c>
      <c r="G540" s="13">
        <v>0</v>
      </c>
      <c r="H540" s="13">
        <v>0</v>
      </c>
      <c r="I540" s="13">
        <v>0</v>
      </c>
      <c r="J540" s="13">
        <v>0</v>
      </c>
      <c r="K540" s="13">
        <v>0</v>
      </c>
      <c r="L540" s="13">
        <v>0</v>
      </c>
      <c r="M540" s="13">
        <v>0</v>
      </c>
      <c r="N540" s="12">
        <f t="shared" si="85"/>
        <v>0</v>
      </c>
      <c r="O540" s="13">
        <v>0</v>
      </c>
      <c r="P540" s="13">
        <v>0</v>
      </c>
      <c r="Q540" s="13">
        <v>0</v>
      </c>
      <c r="R540" s="14">
        <f t="shared" si="84"/>
        <v>0</v>
      </c>
      <c r="S540" s="13">
        <f t="shared" si="86"/>
        <v>100</v>
      </c>
      <c r="T540" s="13">
        <f t="shared" si="87"/>
        <v>200</v>
      </c>
      <c r="U540" s="13" t="s">
        <v>4181</v>
      </c>
      <c r="V540" s="15" t="s">
        <v>1338</v>
      </c>
    </row>
    <row r="541" spans="1:23" ht="30" customHeight="1">
      <c r="A541" s="74">
        <v>7</v>
      </c>
      <c r="B541" s="13">
        <v>4215</v>
      </c>
      <c r="C541" s="9" t="s">
        <v>1339</v>
      </c>
      <c r="D541" s="86" t="s">
        <v>584</v>
      </c>
      <c r="E541" s="66" t="s">
        <v>1327</v>
      </c>
      <c r="F541" s="13">
        <v>2000</v>
      </c>
      <c r="G541" s="13">
        <v>0</v>
      </c>
      <c r="H541" s="13">
        <v>0</v>
      </c>
      <c r="I541" s="13">
        <v>0</v>
      </c>
      <c r="J541" s="13">
        <v>0</v>
      </c>
      <c r="K541" s="13">
        <v>0</v>
      </c>
      <c r="L541" s="13">
        <v>0</v>
      </c>
      <c r="M541" s="13">
        <v>0</v>
      </c>
      <c r="N541" s="12">
        <f t="shared" si="85"/>
        <v>0</v>
      </c>
      <c r="O541" s="13">
        <v>0</v>
      </c>
      <c r="P541" s="13">
        <v>0</v>
      </c>
      <c r="Q541" s="13">
        <v>0</v>
      </c>
      <c r="R541" s="14">
        <f t="shared" si="84"/>
        <v>0</v>
      </c>
      <c r="S541" s="13">
        <f t="shared" si="86"/>
        <v>100</v>
      </c>
      <c r="T541" s="13">
        <f t="shared" si="87"/>
        <v>200</v>
      </c>
      <c r="U541" s="13" t="s">
        <v>4181</v>
      </c>
      <c r="V541" s="15" t="s">
        <v>585</v>
      </c>
    </row>
    <row r="542" spans="1:23" ht="30" customHeight="1">
      <c r="A542" s="74">
        <v>8</v>
      </c>
      <c r="B542" s="13">
        <v>4216</v>
      </c>
      <c r="C542" s="9" t="s">
        <v>1340</v>
      </c>
      <c r="D542" s="9" t="s">
        <v>816</v>
      </c>
      <c r="E542" s="66" t="s">
        <v>1327</v>
      </c>
      <c r="F542" s="13">
        <v>2500</v>
      </c>
      <c r="G542" s="13">
        <v>0</v>
      </c>
      <c r="H542" s="13">
        <v>0</v>
      </c>
      <c r="I542" s="13">
        <v>0</v>
      </c>
      <c r="J542" s="13">
        <v>0</v>
      </c>
      <c r="K542" s="13">
        <v>0</v>
      </c>
      <c r="L542" s="13">
        <v>0</v>
      </c>
      <c r="M542" s="13">
        <v>0</v>
      </c>
      <c r="N542" s="12">
        <f t="shared" si="85"/>
        <v>0</v>
      </c>
      <c r="O542" s="13">
        <v>0</v>
      </c>
      <c r="P542" s="13">
        <v>0</v>
      </c>
      <c r="Q542" s="13">
        <v>0</v>
      </c>
      <c r="R542" s="14">
        <f t="shared" si="84"/>
        <v>0</v>
      </c>
      <c r="S542" s="13">
        <f t="shared" si="86"/>
        <v>100</v>
      </c>
      <c r="T542" s="13">
        <f t="shared" si="87"/>
        <v>200</v>
      </c>
      <c r="U542" s="13" t="s">
        <v>4181</v>
      </c>
      <c r="V542" s="72" t="s">
        <v>1257</v>
      </c>
    </row>
    <row r="543" spans="1:23" ht="30" customHeight="1">
      <c r="A543" s="74">
        <v>9</v>
      </c>
      <c r="B543" s="13">
        <v>4217</v>
      </c>
      <c r="C543" s="9" t="s">
        <v>1341</v>
      </c>
      <c r="D543" s="9" t="s">
        <v>1342</v>
      </c>
      <c r="E543" s="66" t="s">
        <v>1327</v>
      </c>
      <c r="F543" s="13">
        <v>1250</v>
      </c>
      <c r="G543" s="13">
        <v>0</v>
      </c>
      <c r="H543" s="13">
        <v>0</v>
      </c>
      <c r="I543" s="13">
        <v>0</v>
      </c>
      <c r="J543" s="13">
        <v>0</v>
      </c>
      <c r="K543" s="13">
        <v>0</v>
      </c>
      <c r="L543" s="13">
        <v>0</v>
      </c>
      <c r="M543" s="13">
        <v>0</v>
      </c>
      <c r="N543" s="12">
        <f t="shared" si="85"/>
        <v>0</v>
      </c>
      <c r="O543" s="13">
        <v>0</v>
      </c>
      <c r="P543" s="13">
        <v>0</v>
      </c>
      <c r="Q543" s="13">
        <v>0</v>
      </c>
      <c r="R543" s="14">
        <f t="shared" si="84"/>
        <v>0</v>
      </c>
      <c r="S543" s="13">
        <f t="shared" si="86"/>
        <v>100</v>
      </c>
      <c r="T543" s="13">
        <f t="shared" si="87"/>
        <v>200</v>
      </c>
      <c r="U543" s="13" t="s">
        <v>4181</v>
      </c>
      <c r="V543" s="72" t="s">
        <v>1343</v>
      </c>
    </row>
    <row r="544" spans="1:23" ht="30" customHeight="1">
      <c r="A544" s="74">
        <v>10</v>
      </c>
      <c r="B544" s="13">
        <v>4219</v>
      </c>
      <c r="C544" s="9" t="s">
        <v>1344</v>
      </c>
      <c r="D544" s="9" t="s">
        <v>272</v>
      </c>
      <c r="E544" s="66" t="s">
        <v>1327</v>
      </c>
      <c r="F544" s="13">
        <v>2500</v>
      </c>
      <c r="G544" s="13">
        <v>0</v>
      </c>
      <c r="H544" s="13">
        <v>0</v>
      </c>
      <c r="I544" s="13">
        <v>0</v>
      </c>
      <c r="J544" s="13">
        <v>0</v>
      </c>
      <c r="K544" s="13">
        <v>0</v>
      </c>
      <c r="L544" s="13">
        <v>0</v>
      </c>
      <c r="M544" s="13">
        <v>0</v>
      </c>
      <c r="N544" s="12">
        <f t="shared" si="85"/>
        <v>0</v>
      </c>
      <c r="O544" s="13">
        <v>0</v>
      </c>
      <c r="P544" s="13">
        <v>0</v>
      </c>
      <c r="Q544" s="13">
        <v>0</v>
      </c>
      <c r="R544" s="14">
        <f t="shared" si="84"/>
        <v>0</v>
      </c>
      <c r="S544" s="13">
        <f t="shared" si="86"/>
        <v>100</v>
      </c>
      <c r="T544" s="13">
        <f t="shared" si="87"/>
        <v>200</v>
      </c>
      <c r="U544" s="13" t="s">
        <v>4181</v>
      </c>
      <c r="V544" s="72" t="s">
        <v>273</v>
      </c>
      <c r="W544" t="s">
        <v>1345</v>
      </c>
    </row>
    <row r="545" spans="1:23" ht="30" customHeight="1">
      <c r="A545" s="74">
        <v>11</v>
      </c>
      <c r="B545" s="13">
        <v>4288</v>
      </c>
      <c r="C545" s="9" t="s">
        <v>1346</v>
      </c>
      <c r="D545" s="9" t="s">
        <v>598</v>
      </c>
      <c r="E545" s="66" t="s">
        <v>1327</v>
      </c>
      <c r="F545" s="13">
        <v>2500</v>
      </c>
      <c r="G545" s="13">
        <v>0</v>
      </c>
      <c r="H545" s="13">
        <v>0</v>
      </c>
      <c r="I545" s="13">
        <v>0</v>
      </c>
      <c r="J545" s="13">
        <v>0</v>
      </c>
      <c r="K545" s="13">
        <v>0</v>
      </c>
      <c r="L545" s="13">
        <v>0</v>
      </c>
      <c r="M545" s="13">
        <v>0</v>
      </c>
      <c r="N545" s="12">
        <f t="shared" si="85"/>
        <v>0</v>
      </c>
      <c r="O545" s="13">
        <v>0</v>
      </c>
      <c r="P545" s="13">
        <v>0</v>
      </c>
      <c r="Q545" s="13">
        <v>0</v>
      </c>
      <c r="R545" s="14">
        <f t="shared" si="84"/>
        <v>0</v>
      </c>
      <c r="S545" s="13">
        <f t="shared" si="86"/>
        <v>100</v>
      </c>
      <c r="T545" s="13">
        <f t="shared" si="87"/>
        <v>200</v>
      </c>
      <c r="U545" s="13" t="s">
        <v>4181</v>
      </c>
      <c r="V545" s="72" t="s">
        <v>599</v>
      </c>
    </row>
    <row r="546" spans="1:23" ht="30" customHeight="1">
      <c r="A546" s="74">
        <v>12</v>
      </c>
      <c r="B546" s="13">
        <v>4290</v>
      </c>
      <c r="C546" s="9" t="s">
        <v>1347</v>
      </c>
      <c r="D546" s="9" t="s">
        <v>1348</v>
      </c>
      <c r="E546" s="66" t="s">
        <v>1327</v>
      </c>
      <c r="F546" s="13">
        <v>2500</v>
      </c>
      <c r="G546" s="13">
        <v>0</v>
      </c>
      <c r="H546" s="13">
        <v>0</v>
      </c>
      <c r="I546" s="13">
        <v>0</v>
      </c>
      <c r="J546" s="13">
        <v>0</v>
      </c>
      <c r="K546" s="13">
        <v>0</v>
      </c>
      <c r="L546" s="13">
        <v>0</v>
      </c>
      <c r="M546" s="13">
        <v>0</v>
      </c>
      <c r="N546" s="12">
        <f t="shared" si="85"/>
        <v>0</v>
      </c>
      <c r="O546" s="13">
        <v>0</v>
      </c>
      <c r="P546" s="13">
        <v>0</v>
      </c>
      <c r="Q546" s="13">
        <v>0</v>
      </c>
      <c r="R546" s="14">
        <f t="shared" si="84"/>
        <v>0</v>
      </c>
      <c r="S546" s="13">
        <f t="shared" si="86"/>
        <v>100</v>
      </c>
      <c r="T546" s="13">
        <f t="shared" si="87"/>
        <v>200</v>
      </c>
      <c r="U546" s="13" t="s">
        <v>4181</v>
      </c>
      <c r="V546" s="15" t="s">
        <v>1349</v>
      </c>
    </row>
    <row r="547" spans="1:23" ht="30" customHeight="1">
      <c r="A547" s="74">
        <v>13</v>
      </c>
      <c r="B547" s="13">
        <v>4295</v>
      </c>
      <c r="C547" s="9" t="s">
        <v>1350</v>
      </c>
      <c r="D547" s="9" t="s">
        <v>1055</v>
      </c>
      <c r="E547" s="66" t="s">
        <v>1327</v>
      </c>
      <c r="F547" s="13">
        <v>1200</v>
      </c>
      <c r="G547" s="13">
        <v>0</v>
      </c>
      <c r="H547" s="13">
        <v>0</v>
      </c>
      <c r="I547" s="13">
        <v>0</v>
      </c>
      <c r="J547" s="13">
        <v>0</v>
      </c>
      <c r="K547" s="13">
        <v>0</v>
      </c>
      <c r="L547" s="13">
        <v>0</v>
      </c>
      <c r="M547" s="13">
        <v>0</v>
      </c>
      <c r="N547" s="12">
        <f t="shared" si="85"/>
        <v>0</v>
      </c>
      <c r="O547" s="13">
        <v>0</v>
      </c>
      <c r="P547" s="13">
        <v>0</v>
      </c>
      <c r="Q547" s="13">
        <v>0</v>
      </c>
      <c r="R547" s="14">
        <f t="shared" si="84"/>
        <v>0</v>
      </c>
      <c r="S547" s="13">
        <f t="shared" si="86"/>
        <v>100</v>
      </c>
      <c r="T547" s="13">
        <f t="shared" si="87"/>
        <v>200</v>
      </c>
      <c r="U547" s="13" t="s">
        <v>4181</v>
      </c>
      <c r="V547" s="72" t="s">
        <v>1351</v>
      </c>
    </row>
    <row r="548" spans="1:23" ht="30" customHeight="1">
      <c r="A548" s="74">
        <v>14</v>
      </c>
      <c r="B548" s="13">
        <v>4403</v>
      </c>
      <c r="C548" s="9" t="s">
        <v>1352</v>
      </c>
      <c r="D548" s="9" t="s">
        <v>1353</v>
      </c>
      <c r="E548" s="66" t="s">
        <v>1327</v>
      </c>
      <c r="F548" s="13">
        <v>2500</v>
      </c>
      <c r="G548" s="13">
        <v>0</v>
      </c>
      <c r="H548" s="13">
        <v>0</v>
      </c>
      <c r="I548" s="13">
        <v>0</v>
      </c>
      <c r="J548" s="13">
        <v>0</v>
      </c>
      <c r="K548" s="13">
        <v>0</v>
      </c>
      <c r="L548" s="13">
        <v>0</v>
      </c>
      <c r="M548" s="13">
        <v>0</v>
      </c>
      <c r="N548" s="12">
        <f t="shared" si="85"/>
        <v>0</v>
      </c>
      <c r="O548" s="13">
        <v>2500</v>
      </c>
      <c r="P548" s="13">
        <v>0</v>
      </c>
      <c r="Q548" s="13">
        <v>0</v>
      </c>
      <c r="R548" s="14">
        <f t="shared" si="84"/>
        <v>2500</v>
      </c>
      <c r="S548" s="13">
        <f t="shared" si="86"/>
        <v>2600</v>
      </c>
      <c r="T548" s="13">
        <f t="shared" si="87"/>
        <v>2700</v>
      </c>
      <c r="U548" s="13" t="s">
        <v>4181</v>
      </c>
      <c r="V548" s="72" t="s">
        <v>1354</v>
      </c>
    </row>
    <row r="549" spans="1:23" ht="30" customHeight="1">
      <c r="A549" s="74">
        <v>15</v>
      </c>
      <c r="B549" s="13">
        <v>4428</v>
      </c>
      <c r="C549" s="9" t="s">
        <v>1355</v>
      </c>
      <c r="D549" s="9" t="s">
        <v>1356</v>
      </c>
      <c r="E549" s="66" t="s">
        <v>1327</v>
      </c>
      <c r="F549" s="13">
        <v>2500</v>
      </c>
      <c r="G549" s="13">
        <v>0</v>
      </c>
      <c r="H549" s="13">
        <v>0</v>
      </c>
      <c r="I549" s="13">
        <v>0</v>
      </c>
      <c r="J549" s="13">
        <v>0</v>
      </c>
      <c r="K549" s="13">
        <v>0</v>
      </c>
      <c r="L549" s="13">
        <v>0</v>
      </c>
      <c r="M549" s="13">
        <v>0</v>
      </c>
      <c r="N549" s="12">
        <f t="shared" si="85"/>
        <v>0</v>
      </c>
      <c r="O549" s="13">
        <v>0</v>
      </c>
      <c r="P549" s="13">
        <v>0</v>
      </c>
      <c r="Q549" s="13">
        <v>0</v>
      </c>
      <c r="R549" s="14">
        <f t="shared" si="84"/>
        <v>0</v>
      </c>
      <c r="S549" s="13">
        <f t="shared" si="86"/>
        <v>100</v>
      </c>
      <c r="T549" s="13">
        <f t="shared" si="87"/>
        <v>200</v>
      </c>
      <c r="U549" s="13" t="s">
        <v>4181</v>
      </c>
      <c r="V549" s="15" t="s">
        <v>1357</v>
      </c>
    </row>
    <row r="550" spans="1:23" ht="30" customHeight="1">
      <c r="A550" s="74">
        <v>16</v>
      </c>
      <c r="B550" s="13">
        <v>4433</v>
      </c>
      <c r="C550" s="9" t="s">
        <v>1358</v>
      </c>
      <c r="D550" s="82" t="s">
        <v>1058</v>
      </c>
      <c r="E550" s="66" t="s">
        <v>1327</v>
      </c>
      <c r="F550" s="13">
        <v>2500</v>
      </c>
      <c r="G550" s="13">
        <v>0</v>
      </c>
      <c r="H550" s="13">
        <v>0</v>
      </c>
      <c r="I550" s="13">
        <v>0</v>
      </c>
      <c r="J550" s="13">
        <v>0</v>
      </c>
      <c r="K550" s="13">
        <v>0</v>
      </c>
      <c r="L550" s="13">
        <v>0</v>
      </c>
      <c r="M550" s="13">
        <v>0</v>
      </c>
      <c r="N550" s="12">
        <f t="shared" si="85"/>
        <v>0</v>
      </c>
      <c r="O550" s="13">
        <v>2500</v>
      </c>
      <c r="P550" s="13">
        <v>0</v>
      </c>
      <c r="Q550" s="13">
        <v>0</v>
      </c>
      <c r="R550" s="14">
        <f t="shared" si="84"/>
        <v>2500</v>
      </c>
      <c r="S550" s="13">
        <f t="shared" si="86"/>
        <v>2600</v>
      </c>
      <c r="T550" s="13">
        <f t="shared" si="87"/>
        <v>2700</v>
      </c>
      <c r="U550" s="13" t="s">
        <v>4181</v>
      </c>
      <c r="V550" s="72" t="s">
        <v>1359</v>
      </c>
    </row>
    <row r="551" spans="1:23" ht="30" customHeight="1">
      <c r="A551" s="74">
        <v>17</v>
      </c>
      <c r="B551" s="13">
        <v>4484</v>
      </c>
      <c r="C551" s="9" t="s">
        <v>1360</v>
      </c>
      <c r="D551" s="9" t="s">
        <v>1361</v>
      </c>
      <c r="E551" s="66" t="s">
        <v>1327</v>
      </c>
      <c r="F551" s="13">
        <v>2500</v>
      </c>
      <c r="G551" s="13">
        <v>0</v>
      </c>
      <c r="H551" s="13">
        <v>0</v>
      </c>
      <c r="I551" s="13">
        <v>0</v>
      </c>
      <c r="J551" s="13">
        <v>0</v>
      </c>
      <c r="K551" s="13">
        <v>0</v>
      </c>
      <c r="L551" s="13">
        <v>0</v>
      </c>
      <c r="M551" s="13">
        <v>0</v>
      </c>
      <c r="N551" s="12">
        <f t="shared" si="85"/>
        <v>0</v>
      </c>
      <c r="O551" s="13">
        <v>0</v>
      </c>
      <c r="P551" s="13">
        <v>0</v>
      </c>
      <c r="Q551" s="13">
        <v>0</v>
      </c>
      <c r="R551" s="14">
        <f t="shared" si="84"/>
        <v>0</v>
      </c>
      <c r="S551" s="13">
        <f t="shared" si="86"/>
        <v>100</v>
      </c>
      <c r="T551" s="13">
        <f t="shared" si="87"/>
        <v>200</v>
      </c>
      <c r="U551" s="13" t="s">
        <v>4181</v>
      </c>
      <c r="V551" s="72" t="s">
        <v>4148</v>
      </c>
      <c r="W551" t="s">
        <v>1362</v>
      </c>
    </row>
    <row r="552" spans="1:23" ht="30" customHeight="1">
      <c r="A552" s="74">
        <v>18</v>
      </c>
      <c r="B552" s="13">
        <v>4493</v>
      </c>
      <c r="C552" s="9" t="s">
        <v>1363</v>
      </c>
      <c r="D552" s="9" t="s">
        <v>1364</v>
      </c>
      <c r="E552" s="66" t="s">
        <v>1327</v>
      </c>
      <c r="F552" s="13">
        <v>1600</v>
      </c>
      <c r="G552" s="13">
        <v>0</v>
      </c>
      <c r="H552" s="13">
        <v>0</v>
      </c>
      <c r="I552" s="13">
        <v>0</v>
      </c>
      <c r="J552" s="13">
        <v>0</v>
      </c>
      <c r="K552" s="13">
        <v>0</v>
      </c>
      <c r="L552" s="13">
        <v>0</v>
      </c>
      <c r="M552" s="13">
        <v>0</v>
      </c>
      <c r="N552" s="12">
        <f t="shared" si="85"/>
        <v>0</v>
      </c>
      <c r="O552" s="13">
        <v>0</v>
      </c>
      <c r="P552" s="13">
        <v>0</v>
      </c>
      <c r="Q552" s="13">
        <v>0</v>
      </c>
      <c r="R552" s="14">
        <f t="shared" si="84"/>
        <v>0</v>
      </c>
      <c r="S552" s="13">
        <f t="shared" si="86"/>
        <v>100</v>
      </c>
      <c r="T552" s="13">
        <f t="shared" si="87"/>
        <v>200</v>
      </c>
      <c r="U552" s="13" t="s">
        <v>4181</v>
      </c>
      <c r="V552" s="72" t="s">
        <v>1365</v>
      </c>
    </row>
    <row r="553" spans="1:23" ht="30" customHeight="1">
      <c r="A553" s="74">
        <v>19</v>
      </c>
      <c r="B553" s="13">
        <v>4600</v>
      </c>
      <c r="C553" s="9" t="s">
        <v>410</v>
      </c>
      <c r="D553" s="9" t="s">
        <v>1366</v>
      </c>
      <c r="E553" s="66" t="s">
        <v>1327</v>
      </c>
      <c r="F553" s="13">
        <v>2500</v>
      </c>
      <c r="G553" s="13">
        <v>0</v>
      </c>
      <c r="H553" s="13">
        <v>0</v>
      </c>
      <c r="I553" s="13">
        <v>0</v>
      </c>
      <c r="J553" s="13">
        <v>0</v>
      </c>
      <c r="K553" s="13">
        <v>0</v>
      </c>
      <c r="L553" s="13">
        <v>0</v>
      </c>
      <c r="M553" s="13">
        <v>0</v>
      </c>
      <c r="N553" s="12">
        <f t="shared" si="85"/>
        <v>0</v>
      </c>
      <c r="O553" s="13">
        <v>0</v>
      </c>
      <c r="P553" s="13">
        <v>0</v>
      </c>
      <c r="Q553" s="13">
        <v>0</v>
      </c>
      <c r="R553" s="14">
        <f t="shared" si="84"/>
        <v>0</v>
      </c>
      <c r="S553" s="13">
        <f t="shared" si="86"/>
        <v>100</v>
      </c>
      <c r="T553" s="13">
        <f t="shared" si="87"/>
        <v>200</v>
      </c>
      <c r="U553" s="13" t="s">
        <v>4181</v>
      </c>
      <c r="V553" s="15" t="s">
        <v>1367</v>
      </c>
    </row>
    <row r="554" spans="1:23" ht="30" customHeight="1">
      <c r="A554" s="74">
        <v>20</v>
      </c>
      <c r="B554" s="13">
        <v>4708</v>
      </c>
      <c r="C554" s="9" t="s">
        <v>1368</v>
      </c>
      <c r="D554" s="9" t="s">
        <v>1369</v>
      </c>
      <c r="E554" s="66" t="s">
        <v>1327</v>
      </c>
      <c r="F554" s="13">
        <v>2100</v>
      </c>
      <c r="G554" s="13">
        <v>0</v>
      </c>
      <c r="H554" s="13">
        <v>0</v>
      </c>
      <c r="I554" s="13">
        <v>0</v>
      </c>
      <c r="J554" s="13">
        <v>0</v>
      </c>
      <c r="K554" s="13">
        <v>0</v>
      </c>
      <c r="L554" s="13">
        <v>0</v>
      </c>
      <c r="M554" s="13">
        <v>0</v>
      </c>
      <c r="N554" s="12">
        <f t="shared" si="85"/>
        <v>0</v>
      </c>
      <c r="O554" s="13">
        <v>0</v>
      </c>
      <c r="P554" s="13">
        <v>0</v>
      </c>
      <c r="Q554" s="13">
        <v>0</v>
      </c>
      <c r="R554" s="14">
        <f t="shared" si="84"/>
        <v>0</v>
      </c>
      <c r="S554" s="13">
        <f t="shared" si="86"/>
        <v>100</v>
      </c>
      <c r="T554" s="13">
        <f t="shared" si="87"/>
        <v>200</v>
      </c>
      <c r="U554" s="13" t="s">
        <v>4181</v>
      </c>
      <c r="V554" s="15" t="s">
        <v>804</v>
      </c>
    </row>
    <row r="555" spans="1:23" ht="30" customHeight="1">
      <c r="A555" s="74">
        <v>21</v>
      </c>
      <c r="B555" s="13">
        <v>4855</v>
      </c>
      <c r="C555" s="9" t="s">
        <v>1370</v>
      </c>
      <c r="D555" s="9" t="s">
        <v>746</v>
      </c>
      <c r="E555" s="66" t="s">
        <v>1327</v>
      </c>
      <c r="F555" s="13">
        <v>2100</v>
      </c>
      <c r="G555" s="13">
        <v>0</v>
      </c>
      <c r="H555" s="13">
        <v>0</v>
      </c>
      <c r="I555" s="13">
        <v>0</v>
      </c>
      <c r="J555" s="13">
        <v>0</v>
      </c>
      <c r="K555" s="13">
        <v>0</v>
      </c>
      <c r="L555" s="13">
        <v>0</v>
      </c>
      <c r="M555" s="13">
        <v>0</v>
      </c>
      <c r="N555" s="12">
        <f t="shared" si="85"/>
        <v>0</v>
      </c>
      <c r="O555" s="13">
        <v>0</v>
      </c>
      <c r="P555" s="13">
        <v>0</v>
      </c>
      <c r="Q555" s="13">
        <v>0</v>
      </c>
      <c r="R555" s="14">
        <f t="shared" si="84"/>
        <v>0</v>
      </c>
      <c r="S555" s="13">
        <f t="shared" si="86"/>
        <v>100</v>
      </c>
      <c r="T555" s="13">
        <f t="shared" si="87"/>
        <v>200</v>
      </c>
      <c r="U555" s="13" t="s">
        <v>4181</v>
      </c>
      <c r="V555" s="72" t="s">
        <v>1371</v>
      </c>
    </row>
    <row r="556" spans="1:23" ht="30" customHeight="1">
      <c r="A556" s="74">
        <v>22</v>
      </c>
      <c r="B556" s="13">
        <v>4861</v>
      </c>
      <c r="C556" s="9" t="s">
        <v>1372</v>
      </c>
      <c r="D556" s="9" t="s">
        <v>1373</v>
      </c>
      <c r="E556" s="66" t="s">
        <v>1327</v>
      </c>
      <c r="F556" s="13">
        <v>2500</v>
      </c>
      <c r="G556" s="13">
        <v>0</v>
      </c>
      <c r="H556" s="13">
        <v>0</v>
      </c>
      <c r="I556" s="13">
        <v>0</v>
      </c>
      <c r="J556" s="13">
        <v>0</v>
      </c>
      <c r="K556" s="13">
        <v>0</v>
      </c>
      <c r="L556" s="13">
        <v>0</v>
      </c>
      <c r="M556" s="13">
        <v>0</v>
      </c>
      <c r="N556" s="12">
        <f t="shared" si="85"/>
        <v>0</v>
      </c>
      <c r="O556" s="13">
        <v>0</v>
      </c>
      <c r="P556" s="13">
        <v>0</v>
      </c>
      <c r="Q556" s="13">
        <v>0</v>
      </c>
      <c r="R556" s="14">
        <f t="shared" si="84"/>
        <v>0</v>
      </c>
      <c r="S556" s="13">
        <f t="shared" si="86"/>
        <v>100</v>
      </c>
      <c r="T556" s="13">
        <f t="shared" si="87"/>
        <v>200</v>
      </c>
      <c r="U556" s="13" t="s">
        <v>4181</v>
      </c>
      <c r="V556" s="15" t="s">
        <v>1374</v>
      </c>
    </row>
    <row r="557" spans="1:23" ht="30" customHeight="1">
      <c r="A557" s="74">
        <v>23</v>
      </c>
      <c r="B557" s="13">
        <v>5001</v>
      </c>
      <c r="C557" s="9" t="s">
        <v>1377</v>
      </c>
      <c r="D557" s="9" t="s">
        <v>456</v>
      </c>
      <c r="E557" s="66" t="s">
        <v>1327</v>
      </c>
      <c r="F557" s="13">
        <v>2500</v>
      </c>
      <c r="G557" s="13">
        <v>0</v>
      </c>
      <c r="H557" s="13">
        <v>0</v>
      </c>
      <c r="I557" s="13">
        <v>0</v>
      </c>
      <c r="J557" s="13">
        <v>0</v>
      </c>
      <c r="K557" s="13">
        <v>0</v>
      </c>
      <c r="L557" s="13">
        <v>0</v>
      </c>
      <c r="M557" s="13">
        <v>0</v>
      </c>
      <c r="N557" s="12">
        <f t="shared" si="85"/>
        <v>0</v>
      </c>
      <c r="O557" s="13">
        <v>2500</v>
      </c>
      <c r="P557" s="13">
        <v>0</v>
      </c>
      <c r="Q557" s="13">
        <v>0</v>
      </c>
      <c r="R557" s="14">
        <f t="shared" si="84"/>
        <v>2500</v>
      </c>
      <c r="S557" s="13">
        <f t="shared" si="86"/>
        <v>2600</v>
      </c>
      <c r="T557" s="13">
        <f t="shared" si="87"/>
        <v>2700</v>
      </c>
      <c r="U557" s="13" t="s">
        <v>4181</v>
      </c>
      <c r="V557" s="72" t="s">
        <v>457</v>
      </c>
    </row>
    <row r="558" spans="1:23" ht="30" customHeight="1">
      <c r="A558" s="74">
        <v>24</v>
      </c>
      <c r="B558" s="13">
        <v>5021</v>
      </c>
      <c r="C558" s="9" t="s">
        <v>1378</v>
      </c>
      <c r="D558" s="9" t="s">
        <v>1379</v>
      </c>
      <c r="E558" s="66" t="s">
        <v>1327</v>
      </c>
      <c r="F558" s="13">
        <v>1200</v>
      </c>
      <c r="G558" s="13">
        <v>0</v>
      </c>
      <c r="H558" s="13">
        <v>0</v>
      </c>
      <c r="I558" s="13">
        <v>0</v>
      </c>
      <c r="J558" s="13">
        <v>0</v>
      </c>
      <c r="K558" s="13">
        <v>0</v>
      </c>
      <c r="L558" s="13">
        <v>0</v>
      </c>
      <c r="M558" s="13">
        <v>0</v>
      </c>
      <c r="N558" s="12">
        <f t="shared" si="85"/>
        <v>0</v>
      </c>
      <c r="O558" s="13">
        <v>0</v>
      </c>
      <c r="P558" s="13">
        <v>0</v>
      </c>
      <c r="Q558" s="13">
        <v>0</v>
      </c>
      <c r="R558" s="14">
        <f t="shared" si="84"/>
        <v>0</v>
      </c>
      <c r="S558" s="13">
        <f t="shared" si="86"/>
        <v>100</v>
      </c>
      <c r="T558" s="13">
        <f t="shared" si="87"/>
        <v>200</v>
      </c>
      <c r="U558" s="13" t="s">
        <v>4181</v>
      </c>
      <c r="V558" s="15" t="s">
        <v>1380</v>
      </c>
    </row>
    <row r="559" spans="1:23" ht="30" customHeight="1">
      <c r="A559" s="74">
        <v>25</v>
      </c>
      <c r="B559" s="13">
        <v>6121</v>
      </c>
      <c r="C559" s="9" t="s">
        <v>640</v>
      </c>
      <c r="D559" s="9" t="s">
        <v>528</v>
      </c>
      <c r="E559" s="66" t="s">
        <v>1327</v>
      </c>
      <c r="F559" s="13">
        <v>2500</v>
      </c>
      <c r="G559" s="13">
        <v>0</v>
      </c>
      <c r="H559" s="13">
        <v>0</v>
      </c>
      <c r="I559" s="13">
        <v>0</v>
      </c>
      <c r="J559" s="13">
        <v>0</v>
      </c>
      <c r="K559" s="13">
        <v>0</v>
      </c>
      <c r="L559" s="13">
        <v>0</v>
      </c>
      <c r="M559" s="13">
        <v>0</v>
      </c>
      <c r="N559" s="12">
        <f t="shared" si="85"/>
        <v>0</v>
      </c>
      <c r="O559" s="13">
        <v>0</v>
      </c>
      <c r="P559" s="13">
        <v>0</v>
      </c>
      <c r="Q559" s="13">
        <v>0</v>
      </c>
      <c r="R559" s="14">
        <f t="shared" si="84"/>
        <v>0</v>
      </c>
      <c r="S559" s="13">
        <f t="shared" si="86"/>
        <v>100</v>
      </c>
      <c r="T559" s="13">
        <f t="shared" si="87"/>
        <v>200</v>
      </c>
      <c r="U559" s="13" t="s">
        <v>4181</v>
      </c>
      <c r="V559" s="72" t="s">
        <v>1381</v>
      </c>
    </row>
    <row r="560" spans="1:23" ht="30" customHeight="1">
      <c r="A560" s="74">
        <v>26</v>
      </c>
      <c r="B560" s="13">
        <v>6384</v>
      </c>
      <c r="C560" s="9" t="s">
        <v>1382</v>
      </c>
      <c r="D560" s="9" t="s">
        <v>753</v>
      </c>
      <c r="E560" s="66" t="s">
        <v>1327</v>
      </c>
      <c r="F560" s="13">
        <v>2500</v>
      </c>
      <c r="G560" s="13">
        <v>0</v>
      </c>
      <c r="H560" s="13">
        <v>0</v>
      </c>
      <c r="I560" s="13">
        <v>0</v>
      </c>
      <c r="J560" s="13">
        <v>0</v>
      </c>
      <c r="K560" s="13">
        <v>0</v>
      </c>
      <c r="L560" s="13">
        <v>0</v>
      </c>
      <c r="M560" s="13">
        <v>0</v>
      </c>
      <c r="N560" s="12">
        <f t="shared" si="85"/>
        <v>0</v>
      </c>
      <c r="O560" s="13">
        <v>0</v>
      </c>
      <c r="P560" s="13">
        <v>0</v>
      </c>
      <c r="Q560" s="13">
        <v>0</v>
      </c>
      <c r="R560" s="14">
        <f t="shared" si="84"/>
        <v>0</v>
      </c>
      <c r="S560" s="13">
        <f t="shared" si="86"/>
        <v>100</v>
      </c>
      <c r="T560" s="13">
        <f t="shared" si="87"/>
        <v>200</v>
      </c>
      <c r="U560" s="13" t="s">
        <v>4181</v>
      </c>
      <c r="V560" s="72" t="s">
        <v>1383</v>
      </c>
    </row>
    <row r="561" spans="1:23" ht="30" customHeight="1">
      <c r="A561" s="74">
        <v>27</v>
      </c>
      <c r="B561" s="13">
        <v>6388</v>
      </c>
      <c r="C561" s="9" t="s">
        <v>1384</v>
      </c>
      <c r="D561" s="9" t="s">
        <v>1385</v>
      </c>
      <c r="E561" s="66" t="s">
        <v>1327</v>
      </c>
      <c r="F561" s="13">
        <v>1400</v>
      </c>
      <c r="G561" s="13">
        <v>0</v>
      </c>
      <c r="H561" s="13">
        <v>0</v>
      </c>
      <c r="I561" s="13">
        <v>0</v>
      </c>
      <c r="J561" s="13">
        <v>0</v>
      </c>
      <c r="K561" s="13">
        <v>0</v>
      </c>
      <c r="L561" s="13">
        <v>0</v>
      </c>
      <c r="M561" s="13">
        <v>0</v>
      </c>
      <c r="N561" s="12">
        <f t="shared" si="85"/>
        <v>0</v>
      </c>
      <c r="O561" s="13">
        <v>1400</v>
      </c>
      <c r="P561" s="13">
        <v>0</v>
      </c>
      <c r="Q561" s="13">
        <v>0</v>
      </c>
      <c r="R561" s="14">
        <f t="shared" si="84"/>
        <v>1400</v>
      </c>
      <c r="S561" s="13">
        <f t="shared" si="86"/>
        <v>1500</v>
      </c>
      <c r="T561" s="13">
        <f t="shared" si="87"/>
        <v>1600</v>
      </c>
      <c r="U561" s="13" t="s">
        <v>4181</v>
      </c>
      <c r="V561" s="15" t="s">
        <v>945</v>
      </c>
      <c r="W561" s="80"/>
    </row>
    <row r="562" spans="1:23" ht="30" customHeight="1">
      <c r="A562" s="74">
        <v>28</v>
      </c>
      <c r="B562" s="13">
        <v>6638</v>
      </c>
      <c r="C562" s="9" t="s">
        <v>1386</v>
      </c>
      <c r="D562" s="9" t="s">
        <v>1387</v>
      </c>
      <c r="E562" s="66" t="s">
        <v>1327</v>
      </c>
      <c r="F562" s="13">
        <v>2500</v>
      </c>
      <c r="G562" s="13">
        <v>0</v>
      </c>
      <c r="H562" s="13">
        <v>0</v>
      </c>
      <c r="I562" s="13">
        <v>0</v>
      </c>
      <c r="J562" s="13">
        <v>0</v>
      </c>
      <c r="K562" s="13">
        <v>0</v>
      </c>
      <c r="L562" s="13">
        <v>0</v>
      </c>
      <c r="M562" s="13">
        <v>0</v>
      </c>
      <c r="N562" s="12">
        <f t="shared" si="85"/>
        <v>0</v>
      </c>
      <c r="O562" s="13">
        <v>0</v>
      </c>
      <c r="P562" s="13">
        <v>0</v>
      </c>
      <c r="Q562" s="13">
        <v>0</v>
      </c>
      <c r="R562" s="14">
        <f t="shared" si="84"/>
        <v>0</v>
      </c>
      <c r="S562" s="13">
        <f t="shared" si="86"/>
        <v>100</v>
      </c>
      <c r="T562" s="13">
        <f t="shared" si="87"/>
        <v>200</v>
      </c>
      <c r="U562" s="13" t="s">
        <v>4181</v>
      </c>
      <c r="V562" s="15" t="s">
        <v>1388</v>
      </c>
      <c r="W562" s="80" t="s">
        <v>1389</v>
      </c>
    </row>
    <row r="563" spans="1:23" ht="30" customHeight="1">
      <c r="A563" s="74">
        <v>29</v>
      </c>
      <c r="B563" s="13">
        <v>6639</v>
      </c>
      <c r="C563" s="9" t="s">
        <v>1390</v>
      </c>
      <c r="D563" s="9" t="s">
        <v>1391</v>
      </c>
      <c r="E563" s="66" t="s">
        <v>1327</v>
      </c>
      <c r="F563" s="13">
        <v>2500</v>
      </c>
      <c r="G563" s="13">
        <v>0</v>
      </c>
      <c r="H563" s="13">
        <v>0</v>
      </c>
      <c r="I563" s="13">
        <v>0</v>
      </c>
      <c r="J563" s="13">
        <v>0</v>
      </c>
      <c r="K563" s="13">
        <v>0</v>
      </c>
      <c r="L563" s="13">
        <v>0</v>
      </c>
      <c r="M563" s="13">
        <v>0</v>
      </c>
      <c r="N563" s="12">
        <f t="shared" si="85"/>
        <v>0</v>
      </c>
      <c r="O563" s="13">
        <v>0</v>
      </c>
      <c r="P563" s="13">
        <v>0</v>
      </c>
      <c r="Q563" s="13">
        <v>0</v>
      </c>
      <c r="R563" s="14">
        <f t="shared" si="84"/>
        <v>0</v>
      </c>
      <c r="S563" s="13">
        <f t="shared" si="86"/>
        <v>100</v>
      </c>
      <c r="T563" s="13">
        <f t="shared" si="87"/>
        <v>200</v>
      </c>
      <c r="U563" s="13" t="s">
        <v>4181</v>
      </c>
      <c r="V563" s="15" t="s">
        <v>1392</v>
      </c>
      <c r="W563" s="80"/>
    </row>
    <row r="564" spans="1:23" ht="30" customHeight="1">
      <c r="A564" s="74">
        <v>30</v>
      </c>
      <c r="B564" s="13">
        <v>6669</v>
      </c>
      <c r="C564" s="9" t="s">
        <v>1393</v>
      </c>
      <c r="D564" s="9" t="s">
        <v>1394</v>
      </c>
      <c r="E564" s="66" t="s">
        <v>1327</v>
      </c>
      <c r="F564" s="13">
        <v>2500</v>
      </c>
      <c r="G564" s="13">
        <v>0</v>
      </c>
      <c r="H564" s="13">
        <v>0</v>
      </c>
      <c r="I564" s="13">
        <v>0</v>
      </c>
      <c r="J564" s="13">
        <v>0</v>
      </c>
      <c r="K564" s="13">
        <v>0</v>
      </c>
      <c r="L564" s="13">
        <v>0</v>
      </c>
      <c r="M564" s="13">
        <v>0</v>
      </c>
      <c r="N564" s="12">
        <f t="shared" si="85"/>
        <v>0</v>
      </c>
      <c r="O564" s="13">
        <v>0</v>
      </c>
      <c r="P564" s="13">
        <v>0</v>
      </c>
      <c r="Q564" s="13">
        <v>0</v>
      </c>
      <c r="R564" s="14">
        <f t="shared" si="84"/>
        <v>0</v>
      </c>
      <c r="S564" s="13">
        <f t="shared" si="86"/>
        <v>100</v>
      </c>
      <c r="T564" s="13">
        <f t="shared" si="87"/>
        <v>200</v>
      </c>
      <c r="U564" s="13" t="s">
        <v>4181</v>
      </c>
      <c r="V564" s="15" t="s">
        <v>1395</v>
      </c>
      <c r="W564" s="80"/>
    </row>
    <row r="565" spans="1:23" ht="30" customHeight="1">
      <c r="A565" s="74">
        <v>31</v>
      </c>
      <c r="B565" s="13">
        <v>6685</v>
      </c>
      <c r="C565" s="9" t="s">
        <v>1396</v>
      </c>
      <c r="D565" s="9" t="s">
        <v>709</v>
      </c>
      <c r="E565" s="66" t="s">
        <v>1327</v>
      </c>
      <c r="F565" s="13">
        <v>2200</v>
      </c>
      <c r="G565" s="13">
        <v>0</v>
      </c>
      <c r="H565" s="13">
        <v>0</v>
      </c>
      <c r="I565" s="13">
        <v>0</v>
      </c>
      <c r="J565" s="13">
        <v>0</v>
      </c>
      <c r="K565" s="13">
        <v>0</v>
      </c>
      <c r="L565" s="13">
        <v>0</v>
      </c>
      <c r="M565" s="13">
        <v>0</v>
      </c>
      <c r="N565" s="12">
        <f t="shared" si="85"/>
        <v>0</v>
      </c>
      <c r="O565" s="13">
        <v>0</v>
      </c>
      <c r="P565" s="13">
        <v>0</v>
      </c>
      <c r="Q565" s="13">
        <v>0</v>
      </c>
      <c r="R565" s="14">
        <f t="shared" si="84"/>
        <v>0</v>
      </c>
      <c r="S565" s="13">
        <f t="shared" si="86"/>
        <v>100</v>
      </c>
      <c r="T565" s="13">
        <f t="shared" si="87"/>
        <v>200</v>
      </c>
      <c r="U565" s="13" t="s">
        <v>4181</v>
      </c>
      <c r="V565" s="15" t="s">
        <v>710</v>
      </c>
      <c r="W565" s="80"/>
    </row>
    <row r="566" spans="1:23" ht="30" customHeight="1">
      <c r="A566" s="74">
        <v>32</v>
      </c>
      <c r="B566" s="13">
        <v>6715</v>
      </c>
      <c r="C566" s="9" t="s">
        <v>1397</v>
      </c>
      <c r="D566" s="9" t="s">
        <v>1333</v>
      </c>
      <c r="E566" s="66" t="s">
        <v>1327</v>
      </c>
      <c r="F566" s="13">
        <v>2400</v>
      </c>
      <c r="G566" s="13">
        <v>0</v>
      </c>
      <c r="H566" s="13">
        <v>0</v>
      </c>
      <c r="I566" s="13">
        <v>0</v>
      </c>
      <c r="J566" s="13">
        <v>0</v>
      </c>
      <c r="K566" s="13">
        <v>0</v>
      </c>
      <c r="L566" s="13">
        <v>0</v>
      </c>
      <c r="M566" s="13">
        <v>0</v>
      </c>
      <c r="N566" s="12">
        <f t="shared" si="85"/>
        <v>0</v>
      </c>
      <c r="O566" s="13">
        <v>0</v>
      </c>
      <c r="P566" s="13">
        <v>0</v>
      </c>
      <c r="Q566" s="13">
        <v>0</v>
      </c>
      <c r="R566" s="14">
        <f t="shared" si="84"/>
        <v>0</v>
      </c>
      <c r="S566" s="13">
        <f t="shared" si="86"/>
        <v>100</v>
      </c>
      <c r="T566" s="13">
        <f t="shared" si="87"/>
        <v>200</v>
      </c>
      <c r="U566" s="13" t="s">
        <v>4181</v>
      </c>
      <c r="V566" s="15" t="s">
        <v>1398</v>
      </c>
      <c r="W566" s="80" t="s">
        <v>1317</v>
      </c>
    </row>
    <row r="567" spans="1:23" ht="30" customHeight="1">
      <c r="A567" s="74">
        <v>33</v>
      </c>
      <c r="B567" s="13">
        <v>6716</v>
      </c>
      <c r="C567" s="9" t="s">
        <v>1399</v>
      </c>
      <c r="D567" s="9" t="s">
        <v>1400</v>
      </c>
      <c r="E567" s="66" t="s">
        <v>1327</v>
      </c>
      <c r="F567" s="13">
        <v>1400</v>
      </c>
      <c r="G567" s="13">
        <v>0</v>
      </c>
      <c r="H567" s="13">
        <v>0</v>
      </c>
      <c r="I567" s="13">
        <v>0</v>
      </c>
      <c r="J567" s="13">
        <v>0</v>
      </c>
      <c r="K567" s="13">
        <v>0</v>
      </c>
      <c r="L567" s="13">
        <v>0</v>
      </c>
      <c r="M567" s="13">
        <v>0</v>
      </c>
      <c r="N567" s="12">
        <f t="shared" si="85"/>
        <v>0</v>
      </c>
      <c r="O567" s="13">
        <v>1400</v>
      </c>
      <c r="P567" s="13">
        <v>0</v>
      </c>
      <c r="Q567" s="13">
        <v>0</v>
      </c>
      <c r="R567" s="14">
        <f t="shared" si="84"/>
        <v>1400</v>
      </c>
      <c r="S567" s="13">
        <f t="shared" si="86"/>
        <v>1500</v>
      </c>
      <c r="T567" s="13">
        <f t="shared" si="87"/>
        <v>1600</v>
      </c>
      <c r="U567" s="13" t="s">
        <v>4181</v>
      </c>
      <c r="V567" s="15" t="s">
        <v>1401</v>
      </c>
      <c r="W567" s="80" t="s">
        <v>1402</v>
      </c>
    </row>
    <row r="568" spans="1:23" ht="30" customHeight="1">
      <c r="A568" s="74">
        <v>34</v>
      </c>
      <c r="B568" s="13">
        <v>6766</v>
      </c>
      <c r="C568" s="9" t="s">
        <v>1403</v>
      </c>
      <c r="D568" s="9" t="s">
        <v>92</v>
      </c>
      <c r="E568" s="66" t="s">
        <v>1327</v>
      </c>
      <c r="F568" s="13">
        <v>2500</v>
      </c>
      <c r="G568" s="13">
        <v>0</v>
      </c>
      <c r="H568" s="13">
        <v>0</v>
      </c>
      <c r="I568" s="13">
        <v>0</v>
      </c>
      <c r="J568" s="13">
        <v>0</v>
      </c>
      <c r="K568" s="13">
        <v>0</v>
      </c>
      <c r="L568" s="13">
        <v>0</v>
      </c>
      <c r="M568" s="13">
        <v>0</v>
      </c>
      <c r="N568" s="12">
        <f t="shared" si="85"/>
        <v>0</v>
      </c>
      <c r="O568" s="13">
        <v>0</v>
      </c>
      <c r="P568" s="13">
        <v>0</v>
      </c>
      <c r="Q568" s="13">
        <v>0</v>
      </c>
      <c r="R568" s="14">
        <f t="shared" si="84"/>
        <v>0</v>
      </c>
      <c r="S568" s="13">
        <f t="shared" si="86"/>
        <v>100</v>
      </c>
      <c r="T568" s="13">
        <f t="shared" si="87"/>
        <v>200</v>
      </c>
      <c r="U568" s="13" t="s">
        <v>4181</v>
      </c>
      <c r="V568" s="15" t="s">
        <v>785</v>
      </c>
      <c r="W568" s="80"/>
    </row>
    <row r="569" spans="1:23" ht="30" customHeight="1">
      <c r="A569" s="74">
        <v>35</v>
      </c>
      <c r="B569" s="13">
        <v>6795</v>
      </c>
      <c r="C569" s="9" t="s">
        <v>1404</v>
      </c>
      <c r="D569" s="9" t="s">
        <v>957</v>
      </c>
      <c r="E569" s="66" t="s">
        <v>1327</v>
      </c>
      <c r="F569" s="13">
        <v>2500</v>
      </c>
      <c r="G569" s="13">
        <v>0</v>
      </c>
      <c r="H569" s="13">
        <v>0</v>
      </c>
      <c r="I569" s="13">
        <v>0</v>
      </c>
      <c r="J569" s="13">
        <v>0</v>
      </c>
      <c r="K569" s="13">
        <v>0</v>
      </c>
      <c r="L569" s="13">
        <v>0</v>
      </c>
      <c r="M569" s="13">
        <v>0</v>
      </c>
      <c r="N569" s="12">
        <f t="shared" si="85"/>
        <v>0</v>
      </c>
      <c r="O569" s="13">
        <v>0</v>
      </c>
      <c r="P569" s="13">
        <v>0</v>
      </c>
      <c r="Q569" s="13">
        <v>0</v>
      </c>
      <c r="R569" s="14">
        <f t="shared" si="84"/>
        <v>0</v>
      </c>
      <c r="S569" s="13">
        <f t="shared" si="86"/>
        <v>100</v>
      </c>
      <c r="T569" s="13">
        <f t="shared" si="87"/>
        <v>200</v>
      </c>
      <c r="U569" s="13" t="s">
        <v>4181</v>
      </c>
      <c r="V569" s="15" t="s">
        <v>958</v>
      </c>
      <c r="W569" s="80" t="s">
        <v>789</v>
      </c>
    </row>
    <row r="570" spans="1:23" ht="30" customHeight="1">
      <c r="A570" s="42">
        <v>1</v>
      </c>
      <c r="B570" s="13">
        <v>3050</v>
      </c>
      <c r="C570" s="9" t="s">
        <v>1405</v>
      </c>
      <c r="D570" s="9" t="s">
        <v>1406</v>
      </c>
      <c r="E570" s="66" t="s">
        <v>1407</v>
      </c>
      <c r="F570" s="13">
        <v>2300</v>
      </c>
      <c r="G570" s="13">
        <v>0</v>
      </c>
      <c r="H570" s="13">
        <v>0</v>
      </c>
      <c r="I570" s="13">
        <v>0</v>
      </c>
      <c r="J570" s="13">
        <v>0</v>
      </c>
      <c r="K570" s="13">
        <v>0</v>
      </c>
      <c r="L570" s="13">
        <v>0</v>
      </c>
      <c r="M570" s="13">
        <v>0</v>
      </c>
      <c r="N570" s="12">
        <f t="shared" si="85"/>
        <v>0</v>
      </c>
      <c r="O570" s="13">
        <v>0</v>
      </c>
      <c r="P570" s="13">
        <v>0</v>
      </c>
      <c r="Q570" s="13">
        <v>0</v>
      </c>
      <c r="R570" s="14">
        <f t="shared" si="84"/>
        <v>0</v>
      </c>
      <c r="S570" s="13">
        <f t="shared" si="86"/>
        <v>100</v>
      </c>
      <c r="T570" s="13">
        <f t="shared" si="87"/>
        <v>200</v>
      </c>
      <c r="U570" s="13" t="s">
        <v>4181</v>
      </c>
      <c r="V570" s="81" t="s">
        <v>1408</v>
      </c>
      <c r="W570" t="s">
        <v>853</v>
      </c>
    </row>
    <row r="571" spans="1:23" ht="30" customHeight="1">
      <c r="A571" s="42">
        <v>2</v>
      </c>
      <c r="B571" s="13">
        <v>4075</v>
      </c>
      <c r="C571" s="9" t="s">
        <v>1409</v>
      </c>
      <c r="D571" s="9" t="s">
        <v>178</v>
      </c>
      <c r="E571" s="66" t="s">
        <v>1407</v>
      </c>
      <c r="F571" s="13">
        <v>2500</v>
      </c>
      <c r="G571" s="13">
        <v>0</v>
      </c>
      <c r="H571" s="13">
        <v>0</v>
      </c>
      <c r="I571" s="13">
        <v>0</v>
      </c>
      <c r="J571" s="13">
        <v>0</v>
      </c>
      <c r="K571" s="13">
        <v>0</v>
      </c>
      <c r="L571" s="13">
        <v>0</v>
      </c>
      <c r="M571" s="13">
        <v>0</v>
      </c>
      <c r="N571" s="12">
        <f t="shared" si="85"/>
        <v>0</v>
      </c>
      <c r="O571" s="13">
        <v>0</v>
      </c>
      <c r="P571" s="13">
        <v>0</v>
      </c>
      <c r="Q571" s="13">
        <v>0</v>
      </c>
      <c r="R571" s="14">
        <f t="shared" si="84"/>
        <v>0</v>
      </c>
      <c r="S571" s="13">
        <f t="shared" si="86"/>
        <v>100</v>
      </c>
      <c r="T571" s="13">
        <f t="shared" si="87"/>
        <v>200</v>
      </c>
      <c r="U571" s="13" t="s">
        <v>4181</v>
      </c>
      <c r="V571" s="15" t="s">
        <v>1410</v>
      </c>
    </row>
    <row r="572" spans="1:23" ht="30" customHeight="1">
      <c r="A572" s="42">
        <v>3</v>
      </c>
      <c r="B572" s="13">
        <v>4078</v>
      </c>
      <c r="C572" s="63" t="s">
        <v>358</v>
      </c>
      <c r="D572" s="63" t="s">
        <v>1411</v>
      </c>
      <c r="E572" s="66" t="s">
        <v>1407</v>
      </c>
      <c r="F572" s="60">
        <v>2500</v>
      </c>
      <c r="G572" s="60">
        <v>0</v>
      </c>
      <c r="H572" s="60">
        <v>0</v>
      </c>
      <c r="I572" s="60">
        <v>0</v>
      </c>
      <c r="J572" s="60">
        <v>0</v>
      </c>
      <c r="K572" s="60">
        <v>0</v>
      </c>
      <c r="L572" s="60">
        <v>0</v>
      </c>
      <c r="M572" s="60">
        <v>0</v>
      </c>
      <c r="N572" s="12">
        <f t="shared" si="85"/>
        <v>0</v>
      </c>
      <c r="O572" s="60">
        <v>0</v>
      </c>
      <c r="P572" s="13">
        <v>0</v>
      </c>
      <c r="Q572" s="13">
        <v>0</v>
      </c>
      <c r="R572" s="14">
        <f t="shared" si="84"/>
        <v>0</v>
      </c>
      <c r="S572" s="13">
        <f t="shared" si="86"/>
        <v>100</v>
      </c>
      <c r="T572" s="13">
        <f t="shared" si="87"/>
        <v>200</v>
      </c>
      <c r="U572" s="13" t="s">
        <v>4181</v>
      </c>
      <c r="V572" s="79" t="s">
        <v>1412</v>
      </c>
    </row>
    <row r="573" spans="1:23" ht="30" customHeight="1">
      <c r="A573" s="42">
        <v>4</v>
      </c>
      <c r="B573" s="13">
        <v>4079</v>
      </c>
      <c r="C573" s="9" t="s">
        <v>1212</v>
      </c>
      <c r="D573" s="9" t="s">
        <v>1413</v>
      </c>
      <c r="E573" s="66" t="s">
        <v>1407</v>
      </c>
      <c r="F573" s="13">
        <v>2500</v>
      </c>
      <c r="G573" s="13">
        <v>0</v>
      </c>
      <c r="H573" s="13">
        <v>0</v>
      </c>
      <c r="I573" s="13">
        <v>0</v>
      </c>
      <c r="J573" s="13">
        <v>0</v>
      </c>
      <c r="K573" s="13">
        <v>0</v>
      </c>
      <c r="L573" s="13">
        <v>0</v>
      </c>
      <c r="M573" s="13">
        <v>0</v>
      </c>
      <c r="N573" s="12">
        <f t="shared" si="85"/>
        <v>0</v>
      </c>
      <c r="O573" s="13">
        <v>0</v>
      </c>
      <c r="P573" s="13">
        <v>0</v>
      </c>
      <c r="Q573" s="13">
        <v>0</v>
      </c>
      <c r="R573" s="14">
        <f t="shared" si="84"/>
        <v>0</v>
      </c>
      <c r="S573" s="13">
        <f t="shared" si="86"/>
        <v>100</v>
      </c>
      <c r="T573" s="13">
        <f t="shared" si="87"/>
        <v>200</v>
      </c>
      <c r="U573" s="13" t="s">
        <v>4181</v>
      </c>
      <c r="V573" s="15" t="s">
        <v>1414</v>
      </c>
    </row>
    <row r="574" spans="1:23" ht="30" customHeight="1">
      <c r="A574" s="42">
        <v>5</v>
      </c>
      <c r="B574" s="13">
        <v>4184</v>
      </c>
      <c r="C574" s="9" t="s">
        <v>1415</v>
      </c>
      <c r="D574" s="9" t="s">
        <v>1416</v>
      </c>
      <c r="E574" s="66" t="s">
        <v>1407</v>
      </c>
      <c r="F574" s="13">
        <v>1550</v>
      </c>
      <c r="G574" s="13">
        <v>0</v>
      </c>
      <c r="H574" s="13">
        <v>0</v>
      </c>
      <c r="I574" s="13">
        <v>0</v>
      </c>
      <c r="J574" s="13">
        <v>0</v>
      </c>
      <c r="K574" s="13">
        <v>0</v>
      </c>
      <c r="L574" s="13">
        <v>0</v>
      </c>
      <c r="M574" s="13">
        <v>0</v>
      </c>
      <c r="N574" s="12">
        <f t="shared" si="85"/>
        <v>0</v>
      </c>
      <c r="O574" s="13">
        <v>1550</v>
      </c>
      <c r="P574" s="13">
        <v>0</v>
      </c>
      <c r="Q574" s="13">
        <v>0</v>
      </c>
      <c r="R574" s="14">
        <f t="shared" si="84"/>
        <v>1550</v>
      </c>
      <c r="S574" s="13">
        <f t="shared" si="86"/>
        <v>1650</v>
      </c>
      <c r="T574" s="13">
        <f t="shared" si="87"/>
        <v>1750</v>
      </c>
      <c r="U574" s="13" t="s">
        <v>4181</v>
      </c>
      <c r="V574" s="15" t="s">
        <v>1417</v>
      </c>
    </row>
    <row r="575" spans="1:23" ht="30" customHeight="1">
      <c r="A575" s="42">
        <v>6</v>
      </c>
      <c r="B575" s="13">
        <v>4218</v>
      </c>
      <c r="C575" s="9" t="s">
        <v>1418</v>
      </c>
      <c r="D575" s="9" t="s">
        <v>1419</v>
      </c>
      <c r="E575" s="66" t="s">
        <v>1407</v>
      </c>
      <c r="F575" s="13">
        <v>2400</v>
      </c>
      <c r="G575" s="13">
        <v>0</v>
      </c>
      <c r="H575" s="13">
        <v>0</v>
      </c>
      <c r="I575" s="13">
        <v>0</v>
      </c>
      <c r="J575" s="13">
        <v>0</v>
      </c>
      <c r="K575" s="13">
        <v>0</v>
      </c>
      <c r="L575" s="13">
        <v>0</v>
      </c>
      <c r="M575" s="13">
        <v>0</v>
      </c>
      <c r="N575" s="12">
        <f t="shared" si="85"/>
        <v>0</v>
      </c>
      <c r="O575" s="13">
        <v>2400</v>
      </c>
      <c r="P575" s="13">
        <v>0</v>
      </c>
      <c r="Q575" s="13">
        <v>0</v>
      </c>
      <c r="R575" s="14">
        <f t="shared" si="84"/>
        <v>2400</v>
      </c>
      <c r="S575" s="13">
        <f t="shared" si="86"/>
        <v>2500</v>
      </c>
      <c r="T575" s="13">
        <f t="shared" si="87"/>
        <v>2600</v>
      </c>
      <c r="U575" s="13" t="s">
        <v>4181</v>
      </c>
      <c r="V575" s="15" t="s">
        <v>1420</v>
      </c>
    </row>
    <row r="576" spans="1:23" ht="30" customHeight="1">
      <c r="A576" s="42">
        <v>7</v>
      </c>
      <c r="B576" s="13">
        <v>4220</v>
      </c>
      <c r="C576" s="9" t="s">
        <v>1421</v>
      </c>
      <c r="D576" s="9" t="s">
        <v>1422</v>
      </c>
      <c r="E576" s="66" t="s">
        <v>1407</v>
      </c>
      <c r="F576" s="13">
        <v>2500</v>
      </c>
      <c r="G576" s="13">
        <v>0</v>
      </c>
      <c r="H576" s="13">
        <v>0</v>
      </c>
      <c r="I576" s="13">
        <v>0</v>
      </c>
      <c r="J576" s="13">
        <v>0</v>
      </c>
      <c r="K576" s="13">
        <v>0</v>
      </c>
      <c r="L576" s="13">
        <v>0</v>
      </c>
      <c r="M576" s="13">
        <v>0</v>
      </c>
      <c r="N576" s="12">
        <f t="shared" si="85"/>
        <v>0</v>
      </c>
      <c r="O576" s="13">
        <v>0</v>
      </c>
      <c r="P576" s="13">
        <v>0</v>
      </c>
      <c r="Q576" s="13">
        <v>0</v>
      </c>
      <c r="R576" s="14">
        <f t="shared" si="84"/>
        <v>0</v>
      </c>
      <c r="S576" s="13">
        <f t="shared" si="86"/>
        <v>100</v>
      </c>
      <c r="T576" s="13">
        <f t="shared" si="87"/>
        <v>200</v>
      </c>
      <c r="U576" s="13" t="s">
        <v>4181</v>
      </c>
      <c r="V576" s="72" t="s">
        <v>1423</v>
      </c>
    </row>
    <row r="577" spans="1:23" ht="30" customHeight="1">
      <c r="A577" s="42">
        <v>8</v>
      </c>
      <c r="B577" s="13">
        <v>4257</v>
      </c>
      <c r="C577" s="9" t="s">
        <v>1424</v>
      </c>
      <c r="D577" s="9" t="s">
        <v>1425</v>
      </c>
      <c r="E577" s="66" t="s">
        <v>1407</v>
      </c>
      <c r="F577" s="13">
        <v>2500</v>
      </c>
      <c r="G577" s="13">
        <v>0</v>
      </c>
      <c r="H577" s="13">
        <v>0</v>
      </c>
      <c r="I577" s="13">
        <v>0</v>
      </c>
      <c r="J577" s="13">
        <v>0</v>
      </c>
      <c r="K577" s="13">
        <v>0</v>
      </c>
      <c r="L577" s="13">
        <v>0</v>
      </c>
      <c r="M577" s="13">
        <v>0</v>
      </c>
      <c r="N577" s="12">
        <f t="shared" si="85"/>
        <v>0</v>
      </c>
      <c r="O577" s="13">
        <v>2500</v>
      </c>
      <c r="P577" s="13">
        <v>0</v>
      </c>
      <c r="Q577" s="13">
        <v>500</v>
      </c>
      <c r="R577" s="14">
        <f t="shared" si="84"/>
        <v>3000</v>
      </c>
      <c r="S577" s="13">
        <f t="shared" si="86"/>
        <v>3100</v>
      </c>
      <c r="T577" s="13">
        <f t="shared" si="87"/>
        <v>3200</v>
      </c>
      <c r="U577" s="13" t="s">
        <v>4181</v>
      </c>
      <c r="V577" s="72" t="s">
        <v>1426</v>
      </c>
    </row>
    <row r="578" spans="1:23" ht="30" customHeight="1">
      <c r="A578" s="42">
        <v>9</v>
      </c>
      <c r="B578" s="13">
        <v>4287</v>
      </c>
      <c r="C578" s="9" t="s">
        <v>1427</v>
      </c>
      <c r="D578" s="9" t="s">
        <v>1428</v>
      </c>
      <c r="E578" s="66" t="s">
        <v>1407</v>
      </c>
      <c r="F578" s="13">
        <v>2500</v>
      </c>
      <c r="G578" s="13">
        <v>0</v>
      </c>
      <c r="H578" s="13">
        <v>0</v>
      </c>
      <c r="I578" s="13">
        <v>0</v>
      </c>
      <c r="J578" s="13">
        <v>0</v>
      </c>
      <c r="K578" s="13">
        <v>0</v>
      </c>
      <c r="L578" s="13">
        <v>0</v>
      </c>
      <c r="M578" s="13">
        <v>0</v>
      </c>
      <c r="N578" s="12">
        <f t="shared" si="85"/>
        <v>0</v>
      </c>
      <c r="O578" s="13">
        <v>2500</v>
      </c>
      <c r="P578" s="13">
        <v>0</v>
      </c>
      <c r="Q578" s="13">
        <v>0</v>
      </c>
      <c r="R578" s="14">
        <f t="shared" si="84"/>
        <v>2500</v>
      </c>
      <c r="S578" s="13">
        <f t="shared" si="86"/>
        <v>2600</v>
      </c>
      <c r="T578" s="13">
        <f t="shared" si="87"/>
        <v>2700</v>
      </c>
      <c r="U578" s="13" t="s">
        <v>4181</v>
      </c>
      <c r="V578" s="72" t="s">
        <v>1429</v>
      </c>
    </row>
    <row r="579" spans="1:23" ht="30" customHeight="1">
      <c r="A579" s="42">
        <v>10</v>
      </c>
      <c r="B579" s="13">
        <v>4294</v>
      </c>
      <c r="C579" s="9" t="s">
        <v>1430</v>
      </c>
      <c r="D579" s="9" t="s">
        <v>1431</v>
      </c>
      <c r="E579" s="66" t="s">
        <v>1407</v>
      </c>
      <c r="F579" s="13">
        <v>1200</v>
      </c>
      <c r="G579" s="13">
        <v>0</v>
      </c>
      <c r="H579" s="13">
        <v>0</v>
      </c>
      <c r="I579" s="13">
        <v>0</v>
      </c>
      <c r="J579" s="13">
        <v>0</v>
      </c>
      <c r="K579" s="13">
        <v>0</v>
      </c>
      <c r="L579" s="13">
        <v>0</v>
      </c>
      <c r="M579" s="13">
        <v>0</v>
      </c>
      <c r="N579" s="12">
        <f t="shared" si="85"/>
        <v>0</v>
      </c>
      <c r="O579" s="13">
        <v>0</v>
      </c>
      <c r="P579" s="13">
        <v>0</v>
      </c>
      <c r="Q579" s="13">
        <v>0</v>
      </c>
      <c r="R579" s="14">
        <f t="shared" si="84"/>
        <v>0</v>
      </c>
      <c r="S579" s="13">
        <f t="shared" si="86"/>
        <v>100</v>
      </c>
      <c r="T579" s="13">
        <f t="shared" si="87"/>
        <v>200</v>
      </c>
      <c r="U579" s="13" t="s">
        <v>4181</v>
      </c>
      <c r="V579" s="72" t="s">
        <v>1432</v>
      </c>
    </row>
    <row r="580" spans="1:23" ht="30" customHeight="1">
      <c r="A580" s="42">
        <v>11</v>
      </c>
      <c r="B580" s="13">
        <v>4469</v>
      </c>
      <c r="C580" s="9" t="s">
        <v>1433</v>
      </c>
      <c r="D580" s="9" t="s">
        <v>591</v>
      </c>
      <c r="E580" s="66" t="s">
        <v>1407</v>
      </c>
      <c r="F580" s="13">
        <v>2500</v>
      </c>
      <c r="G580" s="13">
        <v>0</v>
      </c>
      <c r="H580" s="13">
        <v>0</v>
      </c>
      <c r="I580" s="13">
        <v>0</v>
      </c>
      <c r="J580" s="13">
        <v>0</v>
      </c>
      <c r="K580" s="13">
        <v>0</v>
      </c>
      <c r="L580" s="13">
        <v>0</v>
      </c>
      <c r="M580" s="13">
        <v>0</v>
      </c>
      <c r="N580" s="12">
        <f t="shared" si="85"/>
        <v>0</v>
      </c>
      <c r="O580" s="13">
        <v>2500</v>
      </c>
      <c r="P580" s="13">
        <v>0</v>
      </c>
      <c r="Q580" s="13">
        <v>0</v>
      </c>
      <c r="R580" s="14">
        <f t="shared" si="84"/>
        <v>2500</v>
      </c>
      <c r="S580" s="13">
        <f t="shared" si="86"/>
        <v>2600</v>
      </c>
      <c r="T580" s="13">
        <f t="shared" si="87"/>
        <v>2700</v>
      </c>
      <c r="U580" s="13" t="s">
        <v>4181</v>
      </c>
      <c r="V580" s="72" t="s">
        <v>1434</v>
      </c>
      <c r="W580" t="s">
        <v>1435</v>
      </c>
    </row>
    <row r="581" spans="1:23" ht="30" customHeight="1">
      <c r="A581" s="42">
        <v>12</v>
      </c>
      <c r="B581" s="13">
        <v>4623</v>
      </c>
      <c r="C581" s="9" t="s">
        <v>1436</v>
      </c>
      <c r="D581" s="9" t="s">
        <v>920</v>
      </c>
      <c r="E581" s="66" t="s">
        <v>1407</v>
      </c>
      <c r="F581" s="13">
        <v>2500</v>
      </c>
      <c r="G581" s="13">
        <v>0</v>
      </c>
      <c r="H581" s="13">
        <v>0</v>
      </c>
      <c r="I581" s="13">
        <v>0</v>
      </c>
      <c r="J581" s="13">
        <v>0</v>
      </c>
      <c r="K581" s="13">
        <v>0</v>
      </c>
      <c r="L581" s="13">
        <v>0</v>
      </c>
      <c r="M581" s="13">
        <v>0</v>
      </c>
      <c r="N581" s="12">
        <f t="shared" si="85"/>
        <v>0</v>
      </c>
      <c r="O581" s="13">
        <v>0</v>
      </c>
      <c r="P581" s="13">
        <v>0</v>
      </c>
      <c r="Q581" s="13">
        <v>0</v>
      </c>
      <c r="R581" s="14">
        <f t="shared" si="84"/>
        <v>0</v>
      </c>
      <c r="S581" s="13">
        <f t="shared" si="86"/>
        <v>100</v>
      </c>
      <c r="T581" s="13">
        <f t="shared" si="87"/>
        <v>200</v>
      </c>
      <c r="U581" s="13" t="s">
        <v>4181</v>
      </c>
      <c r="V581" s="15" t="s">
        <v>1437</v>
      </c>
    </row>
    <row r="582" spans="1:23" ht="30" customHeight="1">
      <c r="A582" s="42">
        <v>13</v>
      </c>
      <c r="B582" s="13">
        <v>4624</v>
      </c>
      <c r="C582" s="9" t="s">
        <v>1438</v>
      </c>
      <c r="D582" s="9" t="s">
        <v>1439</v>
      </c>
      <c r="E582" s="66" t="s">
        <v>1407</v>
      </c>
      <c r="F582" s="13">
        <v>2500</v>
      </c>
      <c r="G582" s="13">
        <v>0</v>
      </c>
      <c r="H582" s="13">
        <v>0</v>
      </c>
      <c r="I582" s="13">
        <v>0</v>
      </c>
      <c r="J582" s="13">
        <v>0</v>
      </c>
      <c r="K582" s="13">
        <v>0</v>
      </c>
      <c r="L582" s="13">
        <v>0</v>
      </c>
      <c r="M582" s="13">
        <v>0</v>
      </c>
      <c r="N582" s="12">
        <f t="shared" si="85"/>
        <v>0</v>
      </c>
      <c r="O582" s="13">
        <v>0</v>
      </c>
      <c r="P582" s="13">
        <v>0</v>
      </c>
      <c r="Q582" s="13">
        <v>0</v>
      </c>
      <c r="R582" s="14">
        <f t="shared" ref="R582:R646" si="88">(SUM(N582:Q582))</f>
        <v>0</v>
      </c>
      <c r="S582" s="13">
        <f t="shared" si="86"/>
        <v>100</v>
      </c>
      <c r="T582" s="13">
        <f t="shared" si="87"/>
        <v>200</v>
      </c>
      <c r="U582" s="13" t="s">
        <v>4181</v>
      </c>
      <c r="V582" s="15" t="s">
        <v>1440</v>
      </c>
    </row>
    <row r="583" spans="1:23" ht="30" customHeight="1">
      <c r="A583" s="42">
        <v>14</v>
      </c>
      <c r="B583" s="13">
        <v>4682</v>
      </c>
      <c r="C583" s="9" t="s">
        <v>1441</v>
      </c>
      <c r="D583" s="9" t="s">
        <v>1442</v>
      </c>
      <c r="E583" s="66" t="s">
        <v>1407</v>
      </c>
      <c r="F583" s="13">
        <v>400</v>
      </c>
      <c r="G583" s="13">
        <v>0</v>
      </c>
      <c r="H583" s="13">
        <v>0</v>
      </c>
      <c r="I583" s="13">
        <v>0</v>
      </c>
      <c r="J583" s="13">
        <v>0</v>
      </c>
      <c r="K583" s="13">
        <v>0</v>
      </c>
      <c r="L583" s="13">
        <v>0</v>
      </c>
      <c r="M583" s="13">
        <v>0</v>
      </c>
      <c r="N583" s="12">
        <f t="shared" ref="N583:N647" si="89">(SUM(G583:M583))</f>
        <v>0</v>
      </c>
      <c r="O583" s="13">
        <v>0</v>
      </c>
      <c r="P583" s="13">
        <v>0</v>
      </c>
      <c r="Q583" s="13">
        <v>0</v>
      </c>
      <c r="R583" s="14">
        <f t="shared" si="88"/>
        <v>0</v>
      </c>
      <c r="S583" s="13">
        <f t="shared" ref="S583:S648" si="90">R583+100</f>
        <v>100</v>
      </c>
      <c r="T583" s="13">
        <f t="shared" ref="T583:T648" si="91">R583+200</f>
        <v>200</v>
      </c>
      <c r="U583" s="13" t="s">
        <v>4181</v>
      </c>
      <c r="V583" s="15" t="s">
        <v>291</v>
      </c>
    </row>
    <row r="584" spans="1:23" ht="30" customHeight="1">
      <c r="A584" s="42">
        <v>15</v>
      </c>
      <c r="B584" s="13">
        <v>4696</v>
      </c>
      <c r="C584" s="9" t="s">
        <v>1443</v>
      </c>
      <c r="D584" s="9" t="s">
        <v>110</v>
      </c>
      <c r="E584" s="66" t="s">
        <v>1407</v>
      </c>
      <c r="F584" s="13">
        <v>1500</v>
      </c>
      <c r="G584" s="13">
        <v>0</v>
      </c>
      <c r="H584" s="13">
        <v>0</v>
      </c>
      <c r="I584" s="13">
        <v>0</v>
      </c>
      <c r="J584" s="13">
        <v>0</v>
      </c>
      <c r="K584" s="13">
        <v>0</v>
      </c>
      <c r="L584" s="13">
        <v>0</v>
      </c>
      <c r="M584" s="13">
        <v>0</v>
      </c>
      <c r="N584" s="12">
        <f t="shared" si="89"/>
        <v>0</v>
      </c>
      <c r="O584" s="13">
        <v>0</v>
      </c>
      <c r="P584" s="13">
        <v>0</v>
      </c>
      <c r="Q584" s="13">
        <v>1200</v>
      </c>
      <c r="R584" s="14">
        <f t="shared" si="88"/>
        <v>1200</v>
      </c>
      <c r="S584" s="13">
        <f t="shared" si="90"/>
        <v>1300</v>
      </c>
      <c r="T584" s="13">
        <f t="shared" si="91"/>
        <v>1400</v>
      </c>
      <c r="U584" s="13" t="s">
        <v>4181</v>
      </c>
      <c r="V584" s="15" t="s">
        <v>1444</v>
      </c>
    </row>
    <row r="585" spans="1:23" ht="30" customHeight="1">
      <c r="A585" s="42">
        <v>16</v>
      </c>
      <c r="B585" s="13">
        <v>4709</v>
      </c>
      <c r="C585" s="9" t="s">
        <v>1445</v>
      </c>
      <c r="D585" s="9" t="s">
        <v>1446</v>
      </c>
      <c r="E585" s="66" t="s">
        <v>1407</v>
      </c>
      <c r="F585" s="13">
        <v>2100</v>
      </c>
      <c r="G585" s="13">
        <v>0</v>
      </c>
      <c r="H585" s="13">
        <v>0</v>
      </c>
      <c r="I585" s="13">
        <v>0</v>
      </c>
      <c r="J585" s="13">
        <v>0</v>
      </c>
      <c r="K585" s="13">
        <v>0</v>
      </c>
      <c r="L585" s="13">
        <v>0</v>
      </c>
      <c r="M585" s="13">
        <v>0</v>
      </c>
      <c r="N585" s="12">
        <f t="shared" si="89"/>
        <v>0</v>
      </c>
      <c r="O585" s="13">
        <v>0</v>
      </c>
      <c r="P585" s="13">
        <v>0</v>
      </c>
      <c r="Q585" s="13">
        <v>0</v>
      </c>
      <c r="R585" s="14">
        <f t="shared" si="88"/>
        <v>0</v>
      </c>
      <c r="S585" s="13">
        <f t="shared" si="90"/>
        <v>100</v>
      </c>
      <c r="T585" s="13">
        <f t="shared" si="91"/>
        <v>200</v>
      </c>
      <c r="U585" s="13" t="s">
        <v>4181</v>
      </c>
      <c r="V585" s="72" t="s">
        <v>1163</v>
      </c>
    </row>
    <row r="586" spans="1:23" ht="30" customHeight="1">
      <c r="A586" s="42">
        <v>17</v>
      </c>
      <c r="B586" s="13">
        <v>4742</v>
      </c>
      <c r="C586" s="9" t="s">
        <v>1447</v>
      </c>
      <c r="D586" s="9" t="s">
        <v>1448</v>
      </c>
      <c r="E586" s="66" t="s">
        <v>1407</v>
      </c>
      <c r="F586" s="13">
        <v>2200</v>
      </c>
      <c r="G586" s="13">
        <v>0</v>
      </c>
      <c r="H586" s="13">
        <v>0</v>
      </c>
      <c r="I586" s="13">
        <v>0</v>
      </c>
      <c r="J586" s="13">
        <v>0</v>
      </c>
      <c r="K586" s="13">
        <v>0</v>
      </c>
      <c r="L586" s="13">
        <v>0</v>
      </c>
      <c r="M586" s="13">
        <v>0</v>
      </c>
      <c r="N586" s="12">
        <f t="shared" si="89"/>
        <v>0</v>
      </c>
      <c r="O586" s="13">
        <v>0</v>
      </c>
      <c r="P586" s="13">
        <v>0</v>
      </c>
      <c r="Q586" s="13">
        <v>0</v>
      </c>
      <c r="R586" s="14">
        <f t="shared" si="88"/>
        <v>0</v>
      </c>
      <c r="S586" s="13">
        <f t="shared" si="90"/>
        <v>100</v>
      </c>
      <c r="T586" s="13">
        <f t="shared" si="91"/>
        <v>200</v>
      </c>
      <c r="U586" s="13" t="s">
        <v>4181</v>
      </c>
      <c r="V586" s="72" t="s">
        <v>1163</v>
      </c>
    </row>
    <row r="587" spans="1:23" ht="30" customHeight="1">
      <c r="A587" s="42">
        <v>18</v>
      </c>
      <c r="B587" s="13">
        <v>4856</v>
      </c>
      <c r="C587" s="9" t="s">
        <v>1449</v>
      </c>
      <c r="D587" s="87" t="s">
        <v>746</v>
      </c>
      <c r="E587" s="66" t="s">
        <v>1407</v>
      </c>
      <c r="F587" s="13">
        <v>2500</v>
      </c>
      <c r="G587" s="13">
        <v>0</v>
      </c>
      <c r="H587" s="13">
        <v>0</v>
      </c>
      <c r="I587" s="13">
        <v>0</v>
      </c>
      <c r="J587" s="13">
        <v>0</v>
      </c>
      <c r="K587" s="13">
        <v>0</v>
      </c>
      <c r="L587" s="13">
        <v>0</v>
      </c>
      <c r="M587" s="13">
        <v>0</v>
      </c>
      <c r="N587" s="12">
        <f t="shared" si="89"/>
        <v>0</v>
      </c>
      <c r="O587" s="13">
        <v>0</v>
      </c>
      <c r="P587" s="13">
        <v>0</v>
      </c>
      <c r="Q587" s="13">
        <v>0</v>
      </c>
      <c r="R587" s="14">
        <f t="shared" si="88"/>
        <v>0</v>
      </c>
      <c r="S587" s="13">
        <f t="shared" si="90"/>
        <v>100</v>
      </c>
      <c r="T587" s="13">
        <f t="shared" si="91"/>
        <v>200</v>
      </c>
      <c r="U587" s="13" t="s">
        <v>4181</v>
      </c>
      <c r="V587" s="24" t="s">
        <v>1450</v>
      </c>
    </row>
    <row r="588" spans="1:23" ht="30" customHeight="1">
      <c r="A588" s="42">
        <v>19</v>
      </c>
      <c r="B588" s="13">
        <v>4983</v>
      </c>
      <c r="C588" s="9" t="s">
        <v>1451</v>
      </c>
      <c r="D588" s="9" t="s">
        <v>668</v>
      </c>
      <c r="E588" s="66" t="s">
        <v>1407</v>
      </c>
      <c r="F588" s="13">
        <v>2500</v>
      </c>
      <c r="G588" s="13">
        <v>0</v>
      </c>
      <c r="H588" s="13">
        <v>0</v>
      </c>
      <c r="I588" s="13">
        <v>0</v>
      </c>
      <c r="J588" s="13">
        <v>0</v>
      </c>
      <c r="K588" s="13">
        <v>0</v>
      </c>
      <c r="L588" s="13">
        <v>0</v>
      </c>
      <c r="M588" s="13">
        <v>0</v>
      </c>
      <c r="N588" s="12">
        <f t="shared" si="89"/>
        <v>0</v>
      </c>
      <c r="O588" s="13">
        <v>0</v>
      </c>
      <c r="P588" s="13">
        <v>0</v>
      </c>
      <c r="Q588" s="13">
        <v>0</v>
      </c>
      <c r="R588" s="14">
        <f t="shared" si="88"/>
        <v>0</v>
      </c>
      <c r="S588" s="13">
        <f t="shared" si="90"/>
        <v>100</v>
      </c>
      <c r="T588" s="13">
        <f t="shared" si="91"/>
        <v>200</v>
      </c>
      <c r="U588" s="13" t="s">
        <v>4181</v>
      </c>
      <c r="V588" s="24" t="s">
        <v>1452</v>
      </c>
    </row>
    <row r="589" spans="1:23" ht="30" customHeight="1">
      <c r="A589" s="42">
        <v>20</v>
      </c>
      <c r="B589" s="13">
        <v>5022</v>
      </c>
      <c r="C589" s="9" t="s">
        <v>1453</v>
      </c>
      <c r="D589" s="9" t="s">
        <v>1379</v>
      </c>
      <c r="E589" s="66" t="s">
        <v>1407</v>
      </c>
      <c r="F589" s="13">
        <v>2500</v>
      </c>
      <c r="G589" s="13">
        <v>0</v>
      </c>
      <c r="H589" s="13">
        <v>0</v>
      </c>
      <c r="I589" s="13">
        <v>0</v>
      </c>
      <c r="J589" s="13">
        <v>0</v>
      </c>
      <c r="K589" s="13">
        <v>0</v>
      </c>
      <c r="L589" s="13">
        <v>0</v>
      </c>
      <c r="M589" s="13">
        <v>0</v>
      </c>
      <c r="N589" s="12">
        <f t="shared" si="89"/>
        <v>0</v>
      </c>
      <c r="O589" s="13">
        <v>0</v>
      </c>
      <c r="P589" s="13">
        <v>0</v>
      </c>
      <c r="Q589" s="13">
        <v>4000</v>
      </c>
      <c r="R589" s="14">
        <f t="shared" si="88"/>
        <v>4000</v>
      </c>
      <c r="S589" s="13">
        <f t="shared" si="90"/>
        <v>4100</v>
      </c>
      <c r="T589" s="13">
        <f t="shared" si="91"/>
        <v>4200</v>
      </c>
      <c r="U589" s="13" t="s">
        <v>4181</v>
      </c>
      <c r="V589" s="15" t="s">
        <v>1380</v>
      </c>
    </row>
    <row r="590" spans="1:23" ht="30" customHeight="1">
      <c r="A590" s="42">
        <v>21</v>
      </c>
      <c r="B590" s="13">
        <v>5085</v>
      </c>
      <c r="C590" s="63" t="s">
        <v>1454</v>
      </c>
      <c r="D590" s="63" t="s">
        <v>681</v>
      </c>
      <c r="E590" s="66" t="s">
        <v>1407</v>
      </c>
      <c r="F590" s="60">
        <v>2500</v>
      </c>
      <c r="G590" s="60">
        <v>0</v>
      </c>
      <c r="H590" s="60">
        <v>0</v>
      </c>
      <c r="I590" s="60">
        <v>0</v>
      </c>
      <c r="J590" s="60">
        <v>0</v>
      </c>
      <c r="K590" s="60">
        <v>0</v>
      </c>
      <c r="L590" s="60">
        <v>0</v>
      </c>
      <c r="M590" s="60">
        <v>0</v>
      </c>
      <c r="N590" s="12">
        <f t="shared" si="89"/>
        <v>0</v>
      </c>
      <c r="O590" s="60">
        <v>0</v>
      </c>
      <c r="P590" s="13">
        <v>0</v>
      </c>
      <c r="Q590" s="13">
        <v>0</v>
      </c>
      <c r="R590" s="14">
        <f t="shared" si="88"/>
        <v>0</v>
      </c>
      <c r="S590" s="13">
        <f t="shared" si="90"/>
        <v>100</v>
      </c>
      <c r="T590" s="13">
        <f t="shared" si="91"/>
        <v>200</v>
      </c>
      <c r="U590" s="13" t="s">
        <v>4181</v>
      </c>
      <c r="V590" s="88" t="s">
        <v>682</v>
      </c>
      <c r="W590" t="s">
        <v>1455</v>
      </c>
    </row>
    <row r="591" spans="1:23" ht="30" customHeight="1">
      <c r="A591" s="42">
        <v>22</v>
      </c>
      <c r="B591" s="13">
        <v>6127</v>
      </c>
      <c r="C591" s="63" t="s">
        <v>536</v>
      </c>
      <c r="D591" s="63" t="s">
        <v>1456</v>
      </c>
      <c r="E591" s="66" t="s">
        <v>1407</v>
      </c>
      <c r="F591" s="60">
        <v>2500</v>
      </c>
      <c r="G591" s="60">
        <v>0</v>
      </c>
      <c r="H591" s="60">
        <v>0</v>
      </c>
      <c r="I591" s="60">
        <v>0</v>
      </c>
      <c r="J591" s="60">
        <v>0</v>
      </c>
      <c r="K591" s="60">
        <v>0</v>
      </c>
      <c r="L591" s="60">
        <v>0</v>
      </c>
      <c r="M591" s="60">
        <v>0</v>
      </c>
      <c r="N591" s="12">
        <f t="shared" si="89"/>
        <v>0</v>
      </c>
      <c r="O591" s="60">
        <v>2500</v>
      </c>
      <c r="P591" s="60">
        <v>0</v>
      </c>
      <c r="Q591" s="13">
        <v>0</v>
      </c>
      <c r="R591" s="14">
        <f t="shared" si="88"/>
        <v>2500</v>
      </c>
      <c r="S591" s="13">
        <f t="shared" si="90"/>
        <v>2600</v>
      </c>
      <c r="T591" s="13">
        <f t="shared" si="91"/>
        <v>2700</v>
      </c>
      <c r="U591" s="13" t="s">
        <v>4181</v>
      </c>
      <c r="V591" s="61" t="s">
        <v>1457</v>
      </c>
    </row>
    <row r="592" spans="1:23" ht="30" customHeight="1">
      <c r="A592" s="42">
        <v>23</v>
      </c>
      <c r="B592" s="13">
        <v>6178</v>
      </c>
      <c r="C592" s="9" t="s">
        <v>565</v>
      </c>
      <c r="D592" s="9" t="s">
        <v>1458</v>
      </c>
      <c r="E592" s="66" t="s">
        <v>1407</v>
      </c>
      <c r="F592" s="13">
        <v>2100</v>
      </c>
      <c r="G592" s="13">
        <v>0</v>
      </c>
      <c r="H592" s="13">
        <v>0</v>
      </c>
      <c r="I592" s="13">
        <v>0</v>
      </c>
      <c r="J592" s="13">
        <v>0</v>
      </c>
      <c r="K592" s="13">
        <v>0</v>
      </c>
      <c r="L592" s="13">
        <v>0</v>
      </c>
      <c r="M592" s="13">
        <v>0</v>
      </c>
      <c r="N592" s="12">
        <f t="shared" si="89"/>
        <v>0</v>
      </c>
      <c r="O592" s="13">
        <v>0</v>
      </c>
      <c r="P592" s="13">
        <v>0</v>
      </c>
      <c r="Q592" s="13">
        <v>0</v>
      </c>
      <c r="R592" s="14">
        <f t="shared" si="88"/>
        <v>0</v>
      </c>
      <c r="S592" s="13">
        <f t="shared" si="90"/>
        <v>100</v>
      </c>
      <c r="T592" s="13">
        <f t="shared" si="91"/>
        <v>200</v>
      </c>
      <c r="U592" s="13" t="s">
        <v>4181</v>
      </c>
      <c r="V592" s="15" t="s">
        <v>1459</v>
      </c>
    </row>
    <row r="593" spans="1:23" ht="30" customHeight="1">
      <c r="A593" s="42">
        <v>24</v>
      </c>
      <c r="B593" s="13">
        <v>6387</v>
      </c>
      <c r="C593" s="63" t="s">
        <v>1460</v>
      </c>
      <c r="D593" s="63" t="s">
        <v>1461</v>
      </c>
      <c r="E593" s="66" t="s">
        <v>1407</v>
      </c>
      <c r="F593" s="60">
        <v>2500</v>
      </c>
      <c r="G593" s="60">
        <v>0</v>
      </c>
      <c r="H593" s="60">
        <v>0</v>
      </c>
      <c r="I593" s="60">
        <v>0</v>
      </c>
      <c r="J593" s="60">
        <v>0</v>
      </c>
      <c r="K593" s="60">
        <v>0</v>
      </c>
      <c r="L593" s="60">
        <v>0</v>
      </c>
      <c r="M593" s="60">
        <v>0</v>
      </c>
      <c r="N593" s="12">
        <f t="shared" si="89"/>
        <v>0</v>
      </c>
      <c r="O593" s="60">
        <v>2500</v>
      </c>
      <c r="P593" s="13">
        <v>0</v>
      </c>
      <c r="Q593" s="13">
        <v>0</v>
      </c>
      <c r="R593" s="14">
        <f t="shared" si="88"/>
        <v>2500</v>
      </c>
      <c r="S593" s="13">
        <f t="shared" si="90"/>
        <v>2600</v>
      </c>
      <c r="T593" s="13">
        <f t="shared" si="91"/>
        <v>2700</v>
      </c>
      <c r="U593" s="13" t="s">
        <v>4181</v>
      </c>
      <c r="V593" s="51" t="s">
        <v>943</v>
      </c>
      <c r="W593" s="80" t="s">
        <v>1462</v>
      </c>
    </row>
    <row r="594" spans="1:23" ht="30" customHeight="1">
      <c r="A594" s="42">
        <v>25</v>
      </c>
      <c r="B594" s="13">
        <v>6503</v>
      </c>
      <c r="C594" s="63" t="s">
        <v>1463</v>
      </c>
      <c r="D594" s="63" t="s">
        <v>1464</v>
      </c>
      <c r="E594" s="66" t="s">
        <v>1407</v>
      </c>
      <c r="F594" s="60">
        <v>2500</v>
      </c>
      <c r="G594" s="60">
        <v>0</v>
      </c>
      <c r="H594" s="60">
        <v>0</v>
      </c>
      <c r="I594" s="60">
        <v>0</v>
      </c>
      <c r="J594" s="60">
        <v>0</v>
      </c>
      <c r="K594" s="60">
        <v>0</v>
      </c>
      <c r="L594" s="60">
        <v>0</v>
      </c>
      <c r="M594" s="60">
        <v>0</v>
      </c>
      <c r="N594" s="12">
        <f t="shared" si="89"/>
        <v>0</v>
      </c>
      <c r="O594" s="60">
        <v>2500</v>
      </c>
      <c r="P594" s="13">
        <v>0</v>
      </c>
      <c r="Q594" s="13">
        <v>0</v>
      </c>
      <c r="R594" s="14">
        <f t="shared" si="88"/>
        <v>2500</v>
      </c>
      <c r="S594" s="13">
        <f t="shared" si="90"/>
        <v>2600</v>
      </c>
      <c r="T594" s="13">
        <f t="shared" si="91"/>
        <v>2700</v>
      </c>
      <c r="U594" s="13" t="s">
        <v>4181</v>
      </c>
      <c r="V594" s="51" t="s">
        <v>1465</v>
      </c>
      <c r="W594" s="80"/>
    </row>
    <row r="595" spans="1:23" ht="30" customHeight="1">
      <c r="A595" s="42">
        <v>26</v>
      </c>
      <c r="B595" s="13">
        <v>6511</v>
      </c>
      <c r="C595" s="63" t="s">
        <v>1466</v>
      </c>
      <c r="D595" s="63" t="s">
        <v>1467</v>
      </c>
      <c r="E595" s="66" t="s">
        <v>1407</v>
      </c>
      <c r="F595" s="60">
        <v>2200</v>
      </c>
      <c r="G595" s="60">
        <v>0</v>
      </c>
      <c r="H595" s="60">
        <v>0</v>
      </c>
      <c r="I595" s="60">
        <v>0</v>
      </c>
      <c r="J595" s="60">
        <v>0</v>
      </c>
      <c r="K595" s="60">
        <v>0</v>
      </c>
      <c r="L595" s="60">
        <v>0</v>
      </c>
      <c r="M595" s="60">
        <v>0</v>
      </c>
      <c r="N595" s="12">
        <f t="shared" si="89"/>
        <v>0</v>
      </c>
      <c r="O595" s="60">
        <v>0</v>
      </c>
      <c r="P595" s="13">
        <v>0</v>
      </c>
      <c r="Q595" s="13">
        <v>0</v>
      </c>
      <c r="R595" s="14">
        <f t="shared" si="88"/>
        <v>0</v>
      </c>
      <c r="S595" s="13">
        <f t="shared" si="90"/>
        <v>100</v>
      </c>
      <c r="T595" s="13">
        <f t="shared" si="91"/>
        <v>200</v>
      </c>
      <c r="U595" s="13" t="s">
        <v>4181</v>
      </c>
      <c r="V595" s="51" t="s">
        <v>1468</v>
      </c>
      <c r="W595" s="80"/>
    </row>
    <row r="596" spans="1:23" ht="30" customHeight="1">
      <c r="A596" s="42">
        <v>27</v>
      </c>
      <c r="B596" s="13">
        <v>6582</v>
      </c>
      <c r="C596" s="63" t="s">
        <v>1469</v>
      </c>
      <c r="D596" s="63" t="s">
        <v>1470</v>
      </c>
      <c r="E596" s="66" t="s">
        <v>1407</v>
      </c>
      <c r="F596" s="60">
        <v>2500</v>
      </c>
      <c r="G596" s="60">
        <v>0</v>
      </c>
      <c r="H596" s="60">
        <v>0</v>
      </c>
      <c r="I596" s="60">
        <v>0</v>
      </c>
      <c r="J596" s="60">
        <v>0</v>
      </c>
      <c r="K596" s="60">
        <v>0</v>
      </c>
      <c r="L596" s="60">
        <v>0</v>
      </c>
      <c r="M596" s="60">
        <v>0</v>
      </c>
      <c r="N596" s="12">
        <f t="shared" si="89"/>
        <v>0</v>
      </c>
      <c r="O596" s="60">
        <v>0</v>
      </c>
      <c r="P596" s="13">
        <v>0</v>
      </c>
      <c r="Q596" s="13">
        <v>0</v>
      </c>
      <c r="R596" s="14">
        <f t="shared" si="88"/>
        <v>0</v>
      </c>
      <c r="S596" s="13">
        <f t="shared" si="90"/>
        <v>100</v>
      </c>
      <c r="T596" s="13">
        <f t="shared" si="91"/>
        <v>200</v>
      </c>
      <c r="U596" s="13" t="s">
        <v>4181</v>
      </c>
      <c r="V596" s="51" t="s">
        <v>1471</v>
      </c>
      <c r="W596" s="80" t="s">
        <v>1472</v>
      </c>
    </row>
    <row r="597" spans="1:23" ht="30" customHeight="1">
      <c r="A597" s="42">
        <v>28</v>
      </c>
      <c r="B597" s="13">
        <v>6640</v>
      </c>
      <c r="C597" s="9" t="s">
        <v>1476</v>
      </c>
      <c r="D597" s="9" t="s">
        <v>1477</v>
      </c>
      <c r="E597" s="66" t="s">
        <v>1407</v>
      </c>
      <c r="F597" s="13">
        <v>2500</v>
      </c>
      <c r="G597" s="13">
        <v>0</v>
      </c>
      <c r="H597" s="13">
        <v>0</v>
      </c>
      <c r="I597" s="13">
        <v>0</v>
      </c>
      <c r="J597" s="13">
        <v>0</v>
      </c>
      <c r="K597" s="13">
        <v>0</v>
      </c>
      <c r="L597" s="13">
        <v>0</v>
      </c>
      <c r="M597" s="13">
        <v>0</v>
      </c>
      <c r="N597" s="12">
        <f t="shared" si="89"/>
        <v>0</v>
      </c>
      <c r="O597" s="13">
        <v>0</v>
      </c>
      <c r="P597" s="13">
        <v>0</v>
      </c>
      <c r="Q597" s="13">
        <v>0</v>
      </c>
      <c r="R597" s="14">
        <f t="shared" si="88"/>
        <v>0</v>
      </c>
      <c r="S597" s="13">
        <f t="shared" si="90"/>
        <v>100</v>
      </c>
      <c r="T597" s="13">
        <f t="shared" si="91"/>
        <v>200</v>
      </c>
      <c r="U597" s="13" t="s">
        <v>4181</v>
      </c>
      <c r="V597" s="72" t="s">
        <v>1478</v>
      </c>
    </row>
    <row r="598" spans="1:23" ht="30" customHeight="1">
      <c r="A598" s="42">
        <v>29</v>
      </c>
      <c r="B598" s="13">
        <v>6668</v>
      </c>
      <c r="C598" s="9" t="s">
        <v>1479</v>
      </c>
      <c r="D598" s="9" t="s">
        <v>1107</v>
      </c>
      <c r="E598" s="66" t="s">
        <v>1407</v>
      </c>
      <c r="F598" s="13">
        <v>1400</v>
      </c>
      <c r="G598" s="13">
        <v>0</v>
      </c>
      <c r="H598" s="13">
        <v>0</v>
      </c>
      <c r="I598" s="13">
        <v>0</v>
      </c>
      <c r="J598" s="13">
        <v>0</v>
      </c>
      <c r="K598" s="13">
        <v>0</v>
      </c>
      <c r="L598" s="13">
        <v>0</v>
      </c>
      <c r="M598" s="13">
        <v>0</v>
      </c>
      <c r="N598" s="12">
        <f t="shared" si="89"/>
        <v>0</v>
      </c>
      <c r="O598" s="13">
        <v>1400</v>
      </c>
      <c r="P598" s="13">
        <v>0</v>
      </c>
      <c r="Q598" s="13">
        <v>0</v>
      </c>
      <c r="R598" s="14">
        <f t="shared" si="88"/>
        <v>1400</v>
      </c>
      <c r="S598" s="13">
        <f t="shared" si="90"/>
        <v>1500</v>
      </c>
      <c r="T598" s="13">
        <f t="shared" si="91"/>
        <v>1600</v>
      </c>
      <c r="U598" s="13" t="s">
        <v>4181</v>
      </c>
      <c r="V598" s="72" t="s">
        <v>1108</v>
      </c>
    </row>
    <row r="599" spans="1:23" ht="30" customHeight="1">
      <c r="A599" s="42">
        <v>30</v>
      </c>
      <c r="B599" s="13">
        <v>6686</v>
      </c>
      <c r="C599" s="9" t="s">
        <v>1480</v>
      </c>
      <c r="D599" s="9" t="s">
        <v>1481</v>
      </c>
      <c r="E599" s="66" t="s">
        <v>1407</v>
      </c>
      <c r="F599" s="13">
        <v>2200</v>
      </c>
      <c r="G599" s="13">
        <v>0</v>
      </c>
      <c r="H599" s="13">
        <v>0</v>
      </c>
      <c r="I599" s="13">
        <v>0</v>
      </c>
      <c r="J599" s="13">
        <v>0</v>
      </c>
      <c r="K599" s="13">
        <v>0</v>
      </c>
      <c r="L599" s="13">
        <v>0</v>
      </c>
      <c r="M599" s="13">
        <v>0</v>
      </c>
      <c r="N599" s="12">
        <f t="shared" si="89"/>
        <v>0</v>
      </c>
      <c r="O599" s="13">
        <v>0</v>
      </c>
      <c r="P599" s="13">
        <v>0</v>
      </c>
      <c r="Q599" s="13">
        <v>0</v>
      </c>
      <c r="R599" s="14">
        <f t="shared" si="88"/>
        <v>0</v>
      </c>
      <c r="S599" s="13">
        <f t="shared" si="90"/>
        <v>100</v>
      </c>
      <c r="T599" s="13">
        <f t="shared" si="91"/>
        <v>200</v>
      </c>
      <c r="U599" s="13" t="s">
        <v>4181</v>
      </c>
      <c r="V599" s="72" t="s">
        <v>1482</v>
      </c>
    </row>
    <row r="600" spans="1:23" ht="30" customHeight="1">
      <c r="A600" s="42">
        <v>31</v>
      </c>
      <c r="B600" s="13">
        <v>6688</v>
      </c>
      <c r="C600" s="9" t="s">
        <v>1483</v>
      </c>
      <c r="D600" s="9" t="s">
        <v>1484</v>
      </c>
      <c r="E600" s="66" t="s">
        <v>1407</v>
      </c>
      <c r="F600" s="13">
        <v>2200</v>
      </c>
      <c r="G600" s="13">
        <v>0</v>
      </c>
      <c r="H600" s="13">
        <v>0</v>
      </c>
      <c r="I600" s="13">
        <v>0</v>
      </c>
      <c r="J600" s="13">
        <v>0</v>
      </c>
      <c r="K600" s="13">
        <v>0</v>
      </c>
      <c r="L600" s="13">
        <v>0</v>
      </c>
      <c r="M600" s="13">
        <v>0</v>
      </c>
      <c r="N600" s="12">
        <f t="shared" si="89"/>
        <v>0</v>
      </c>
      <c r="O600" s="13">
        <v>0</v>
      </c>
      <c r="P600" s="13">
        <v>0</v>
      </c>
      <c r="Q600" s="13">
        <v>0</v>
      </c>
      <c r="R600" s="14">
        <f t="shared" si="88"/>
        <v>0</v>
      </c>
      <c r="S600" s="13">
        <f t="shared" si="90"/>
        <v>100</v>
      </c>
      <c r="T600" s="13">
        <f t="shared" si="91"/>
        <v>200</v>
      </c>
      <c r="U600" s="13" t="s">
        <v>4181</v>
      </c>
      <c r="V600" s="72" t="s">
        <v>1485</v>
      </c>
    </row>
    <row r="601" spans="1:23" ht="30" customHeight="1">
      <c r="A601" s="42">
        <v>32</v>
      </c>
      <c r="B601" s="13">
        <v>6712</v>
      </c>
      <c r="C601" s="9" t="s">
        <v>1486</v>
      </c>
      <c r="D601" s="9" t="s">
        <v>1143</v>
      </c>
      <c r="E601" s="66" t="s">
        <v>1407</v>
      </c>
      <c r="F601" s="13">
        <v>1700</v>
      </c>
      <c r="G601" s="13">
        <v>0</v>
      </c>
      <c r="H601" s="13">
        <v>0</v>
      </c>
      <c r="I601" s="13">
        <v>0</v>
      </c>
      <c r="J601" s="13">
        <v>0</v>
      </c>
      <c r="K601" s="13">
        <v>0</v>
      </c>
      <c r="L601" s="13">
        <v>0</v>
      </c>
      <c r="M601" s="13">
        <v>0</v>
      </c>
      <c r="N601" s="12">
        <f t="shared" si="89"/>
        <v>0</v>
      </c>
      <c r="O601" s="13">
        <v>0</v>
      </c>
      <c r="P601" s="13">
        <v>0</v>
      </c>
      <c r="Q601" s="13">
        <v>0</v>
      </c>
      <c r="R601" s="14">
        <f t="shared" si="88"/>
        <v>0</v>
      </c>
      <c r="S601" s="13">
        <f t="shared" si="90"/>
        <v>100</v>
      </c>
      <c r="T601" s="13">
        <f t="shared" si="91"/>
        <v>200</v>
      </c>
      <c r="U601" s="13" t="s">
        <v>4181</v>
      </c>
      <c r="V601" s="72" t="s">
        <v>1485</v>
      </c>
    </row>
    <row r="602" spans="1:23" ht="30" customHeight="1">
      <c r="A602" s="42">
        <v>33</v>
      </c>
      <c r="B602" s="13">
        <v>6717</v>
      </c>
      <c r="C602" s="9" t="s">
        <v>1487</v>
      </c>
      <c r="D602" s="9" t="s">
        <v>1400</v>
      </c>
      <c r="E602" s="66" t="s">
        <v>1407</v>
      </c>
      <c r="F602" s="13">
        <v>2500</v>
      </c>
      <c r="G602" s="13">
        <v>0</v>
      </c>
      <c r="H602" s="13">
        <v>0</v>
      </c>
      <c r="I602" s="13">
        <v>0</v>
      </c>
      <c r="J602" s="13">
        <v>0</v>
      </c>
      <c r="K602" s="13">
        <v>0</v>
      </c>
      <c r="L602" s="13">
        <v>0</v>
      </c>
      <c r="M602" s="13">
        <v>0</v>
      </c>
      <c r="N602" s="12">
        <f t="shared" si="89"/>
        <v>0</v>
      </c>
      <c r="O602" s="13">
        <v>0</v>
      </c>
      <c r="P602" s="13">
        <v>0</v>
      </c>
      <c r="Q602" s="13">
        <v>0</v>
      </c>
      <c r="R602" s="14">
        <f t="shared" si="88"/>
        <v>0</v>
      </c>
      <c r="S602" s="13">
        <f t="shared" si="90"/>
        <v>100</v>
      </c>
      <c r="T602" s="13">
        <f t="shared" si="91"/>
        <v>200</v>
      </c>
      <c r="U602" s="13" t="s">
        <v>4181</v>
      </c>
      <c r="V602" s="72" t="s">
        <v>1488</v>
      </c>
      <c r="W602" t="s">
        <v>853</v>
      </c>
    </row>
    <row r="603" spans="1:23" ht="30" customHeight="1">
      <c r="A603" s="42">
        <v>34</v>
      </c>
      <c r="B603" s="13">
        <v>6737</v>
      </c>
      <c r="C603" s="9" t="s">
        <v>1489</v>
      </c>
      <c r="D603" s="9" t="s">
        <v>1490</v>
      </c>
      <c r="E603" s="66" t="s">
        <v>1407</v>
      </c>
      <c r="F603" s="13">
        <v>2000</v>
      </c>
      <c r="G603" s="13">
        <v>0</v>
      </c>
      <c r="H603" s="13">
        <v>0</v>
      </c>
      <c r="I603" s="13">
        <v>0</v>
      </c>
      <c r="J603" s="13">
        <v>0</v>
      </c>
      <c r="K603" s="13">
        <v>0</v>
      </c>
      <c r="L603" s="13">
        <v>0</v>
      </c>
      <c r="M603" s="13">
        <v>0</v>
      </c>
      <c r="N603" s="12">
        <f t="shared" si="89"/>
        <v>0</v>
      </c>
      <c r="O603" s="13">
        <v>0</v>
      </c>
      <c r="P603" s="13">
        <v>0</v>
      </c>
      <c r="Q603" s="13">
        <v>0</v>
      </c>
      <c r="R603" s="14">
        <f t="shared" si="88"/>
        <v>0</v>
      </c>
      <c r="S603" s="13">
        <f t="shared" si="90"/>
        <v>100</v>
      </c>
      <c r="T603" s="13">
        <f t="shared" si="91"/>
        <v>200</v>
      </c>
      <c r="U603" s="13" t="s">
        <v>4181</v>
      </c>
      <c r="V603" s="72" t="s">
        <v>1491</v>
      </c>
    </row>
    <row r="604" spans="1:23" ht="30" customHeight="1">
      <c r="A604" s="42">
        <v>35</v>
      </c>
      <c r="B604" s="13">
        <v>6772</v>
      </c>
      <c r="C604" s="9" t="s">
        <v>146</v>
      </c>
      <c r="D604" s="9" t="s">
        <v>1492</v>
      </c>
      <c r="E604" s="66" t="s">
        <v>1407</v>
      </c>
      <c r="F604" s="13">
        <v>2500</v>
      </c>
      <c r="G604" s="13">
        <v>0</v>
      </c>
      <c r="H604" s="13">
        <v>0</v>
      </c>
      <c r="I604" s="13">
        <v>0</v>
      </c>
      <c r="J604" s="13">
        <v>0</v>
      </c>
      <c r="K604" s="13">
        <v>0</v>
      </c>
      <c r="L604" s="13">
        <v>0</v>
      </c>
      <c r="M604" s="13">
        <v>0</v>
      </c>
      <c r="N604" s="12">
        <f t="shared" si="89"/>
        <v>0</v>
      </c>
      <c r="O604" s="13">
        <v>2500</v>
      </c>
      <c r="P604" s="13">
        <v>0</v>
      </c>
      <c r="Q604" s="13">
        <v>0</v>
      </c>
      <c r="R604" s="14">
        <f t="shared" si="88"/>
        <v>2500</v>
      </c>
      <c r="S604" s="13">
        <f t="shared" si="90"/>
        <v>2600</v>
      </c>
      <c r="T604" s="13">
        <f t="shared" si="91"/>
        <v>2700</v>
      </c>
      <c r="U604" s="13" t="s">
        <v>4181</v>
      </c>
      <c r="V604" s="72" t="s">
        <v>1493</v>
      </c>
    </row>
    <row r="605" spans="1:23" ht="30" customHeight="1">
      <c r="A605" s="42">
        <v>36</v>
      </c>
      <c r="B605" s="13">
        <v>6779</v>
      </c>
      <c r="C605" s="9" t="s">
        <v>1494</v>
      </c>
      <c r="D605" s="9" t="s">
        <v>345</v>
      </c>
      <c r="E605" s="66" t="s">
        <v>1407</v>
      </c>
      <c r="F605" s="13">
        <v>2300</v>
      </c>
      <c r="G605" s="13">
        <v>0</v>
      </c>
      <c r="H605" s="13">
        <v>0</v>
      </c>
      <c r="I605" s="13">
        <v>0</v>
      </c>
      <c r="J605" s="13">
        <v>0</v>
      </c>
      <c r="K605" s="13">
        <v>0</v>
      </c>
      <c r="L605" s="13">
        <v>0</v>
      </c>
      <c r="M605" s="13">
        <v>0</v>
      </c>
      <c r="N605" s="12">
        <f t="shared" si="89"/>
        <v>0</v>
      </c>
      <c r="O605" s="13">
        <v>0</v>
      </c>
      <c r="P605" s="13">
        <v>0</v>
      </c>
      <c r="Q605" s="13">
        <v>0</v>
      </c>
      <c r="R605" s="14">
        <f t="shared" si="88"/>
        <v>0</v>
      </c>
      <c r="S605" s="13">
        <f t="shared" si="90"/>
        <v>100</v>
      </c>
      <c r="T605" s="13">
        <f t="shared" si="91"/>
        <v>200</v>
      </c>
      <c r="U605" s="13" t="s">
        <v>4181</v>
      </c>
      <c r="V605" s="72" t="s">
        <v>1495</v>
      </c>
      <c r="W605" t="s">
        <v>494</v>
      </c>
    </row>
    <row r="606" spans="1:23" ht="30" customHeight="1">
      <c r="A606" s="42">
        <v>37</v>
      </c>
      <c r="B606" s="13">
        <v>6825</v>
      </c>
      <c r="C606" s="9" t="s">
        <v>31</v>
      </c>
      <c r="D606" s="9" t="s">
        <v>746</v>
      </c>
      <c r="E606" s="66" t="s">
        <v>1407</v>
      </c>
      <c r="F606" s="13">
        <v>2500</v>
      </c>
      <c r="G606" s="13">
        <v>0</v>
      </c>
      <c r="H606" s="13">
        <v>0</v>
      </c>
      <c r="I606" s="13">
        <v>0</v>
      </c>
      <c r="J606" s="13">
        <v>0</v>
      </c>
      <c r="K606" s="13">
        <v>0</v>
      </c>
      <c r="L606" s="13">
        <v>0</v>
      </c>
      <c r="M606" s="13">
        <v>0</v>
      </c>
      <c r="N606" s="12">
        <f t="shared" si="89"/>
        <v>0</v>
      </c>
      <c r="O606" s="13">
        <v>2500</v>
      </c>
      <c r="P606" s="13">
        <v>0</v>
      </c>
      <c r="Q606" s="13">
        <v>0</v>
      </c>
      <c r="R606" s="14">
        <f t="shared" si="88"/>
        <v>2500</v>
      </c>
      <c r="S606" s="13">
        <f t="shared" si="90"/>
        <v>2600</v>
      </c>
      <c r="T606" s="13">
        <f t="shared" si="91"/>
        <v>2700</v>
      </c>
      <c r="U606" s="13" t="s">
        <v>4181</v>
      </c>
      <c r="V606" s="72" t="s">
        <v>1498</v>
      </c>
      <c r="W606" t="s">
        <v>1497</v>
      </c>
    </row>
    <row r="607" spans="1:23" ht="30" customHeight="1">
      <c r="A607" s="42">
        <v>38</v>
      </c>
      <c r="B607" s="13">
        <v>6885</v>
      </c>
      <c r="C607" s="9" t="s">
        <v>4196</v>
      </c>
      <c r="D607" s="9" t="s">
        <v>4187</v>
      </c>
      <c r="E607" s="66" t="s">
        <v>4197</v>
      </c>
      <c r="F607" s="13">
        <v>2500</v>
      </c>
      <c r="G607" s="13">
        <v>0</v>
      </c>
      <c r="H607" s="13">
        <v>0</v>
      </c>
      <c r="I607" s="13">
        <v>0</v>
      </c>
      <c r="J607" s="13">
        <v>0</v>
      </c>
      <c r="K607" s="13">
        <v>0</v>
      </c>
      <c r="L607" s="13">
        <v>0</v>
      </c>
      <c r="M607" s="13">
        <v>0</v>
      </c>
      <c r="N607" s="12">
        <f t="shared" ref="N607" si="92">(SUM(G607:M607))</f>
        <v>0</v>
      </c>
      <c r="O607" s="13">
        <v>0</v>
      </c>
      <c r="P607" s="13">
        <v>0</v>
      </c>
      <c r="Q607" s="13">
        <v>3000</v>
      </c>
      <c r="R607" s="14">
        <f t="shared" ref="R607" si="93">(SUM(N607:Q607))</f>
        <v>3000</v>
      </c>
      <c r="S607" s="13">
        <f t="shared" ref="S607" si="94">R607+100</f>
        <v>3100</v>
      </c>
      <c r="T607" s="13">
        <f t="shared" ref="T607" si="95">R607+200</f>
        <v>3200</v>
      </c>
      <c r="U607" s="13" t="s">
        <v>4181</v>
      </c>
      <c r="V607" s="72" t="s">
        <v>4188</v>
      </c>
      <c r="W607" t="s">
        <v>4195</v>
      </c>
    </row>
    <row r="608" spans="1:23" ht="30" customHeight="1">
      <c r="A608" s="42">
        <v>1</v>
      </c>
      <c r="B608" s="13">
        <v>6877</v>
      </c>
      <c r="C608" s="9" t="s">
        <v>4166</v>
      </c>
      <c r="D608" s="9" t="s">
        <v>4162</v>
      </c>
      <c r="E608" s="291" t="s">
        <v>4167</v>
      </c>
      <c r="F608" s="44">
        <v>1500</v>
      </c>
      <c r="G608" s="44">
        <v>0</v>
      </c>
      <c r="H608" s="44">
        <v>0</v>
      </c>
      <c r="I608" s="44">
        <v>0</v>
      </c>
      <c r="J608" s="44">
        <v>0</v>
      </c>
      <c r="K608" s="44">
        <v>0</v>
      </c>
      <c r="L608" s="44">
        <v>0</v>
      </c>
      <c r="M608" s="44">
        <v>0</v>
      </c>
      <c r="N608" s="12">
        <f t="shared" si="89"/>
        <v>0</v>
      </c>
      <c r="O608" s="44">
        <v>1500</v>
      </c>
      <c r="P608" s="13">
        <v>0</v>
      </c>
      <c r="Q608" s="13">
        <v>1000</v>
      </c>
      <c r="R608" s="14">
        <f t="shared" si="88"/>
        <v>2500</v>
      </c>
      <c r="S608" s="13">
        <f t="shared" ref="S608" si="96">R608+100</f>
        <v>2600</v>
      </c>
      <c r="T608" s="13">
        <f t="shared" ref="T608" si="97">R608+200</f>
        <v>2700</v>
      </c>
      <c r="U608" s="13" t="s">
        <v>4181</v>
      </c>
      <c r="V608" s="72" t="s">
        <v>4168</v>
      </c>
      <c r="W608" t="s">
        <v>4169</v>
      </c>
    </row>
    <row r="609" spans="1:23" ht="30" customHeight="1">
      <c r="A609" s="42">
        <v>2</v>
      </c>
      <c r="B609" s="13">
        <v>2073</v>
      </c>
      <c r="C609" s="9" t="s">
        <v>1499</v>
      </c>
      <c r="D609" s="9" t="s">
        <v>1500</v>
      </c>
      <c r="E609" s="66" t="s">
        <v>1501</v>
      </c>
      <c r="F609" s="44">
        <v>2600</v>
      </c>
      <c r="G609" s="44">
        <v>0</v>
      </c>
      <c r="H609" s="44">
        <v>0</v>
      </c>
      <c r="I609" s="44">
        <v>0</v>
      </c>
      <c r="J609" s="44">
        <v>0</v>
      </c>
      <c r="K609" s="44">
        <v>0</v>
      </c>
      <c r="L609" s="44">
        <v>0</v>
      </c>
      <c r="M609" s="44">
        <v>0</v>
      </c>
      <c r="N609" s="12">
        <f t="shared" si="89"/>
        <v>0</v>
      </c>
      <c r="O609" s="44">
        <v>0</v>
      </c>
      <c r="P609" s="13">
        <v>0</v>
      </c>
      <c r="Q609" s="13">
        <v>0</v>
      </c>
      <c r="R609" s="14">
        <f t="shared" si="88"/>
        <v>0</v>
      </c>
      <c r="S609" s="13">
        <f t="shared" si="90"/>
        <v>100</v>
      </c>
      <c r="T609" s="13">
        <f t="shared" si="91"/>
        <v>200</v>
      </c>
      <c r="U609" s="13" t="s">
        <v>4181</v>
      </c>
      <c r="V609" s="72" t="s">
        <v>1502</v>
      </c>
    </row>
    <row r="610" spans="1:23" ht="30" customHeight="1">
      <c r="A610" s="42">
        <v>3</v>
      </c>
      <c r="B610" s="13">
        <v>3091</v>
      </c>
      <c r="C610" s="9" t="s">
        <v>1503</v>
      </c>
      <c r="D610" s="9" t="s">
        <v>414</v>
      </c>
      <c r="E610" s="66" t="s">
        <v>1501</v>
      </c>
      <c r="F610" s="44">
        <v>1500</v>
      </c>
      <c r="G610" s="44">
        <v>0</v>
      </c>
      <c r="H610" s="44">
        <v>0</v>
      </c>
      <c r="I610" s="44">
        <v>0</v>
      </c>
      <c r="J610" s="44">
        <v>1500</v>
      </c>
      <c r="K610" s="44">
        <v>1500</v>
      </c>
      <c r="L610" s="44">
        <v>1500</v>
      </c>
      <c r="M610" s="44">
        <v>1500</v>
      </c>
      <c r="N610" s="12">
        <f t="shared" si="89"/>
        <v>6000</v>
      </c>
      <c r="O610" s="44">
        <v>1500</v>
      </c>
      <c r="P610" s="13">
        <v>0</v>
      </c>
      <c r="Q610" s="13">
        <v>3000</v>
      </c>
      <c r="R610" s="14">
        <f t="shared" si="88"/>
        <v>10500</v>
      </c>
      <c r="S610" s="13">
        <f t="shared" si="90"/>
        <v>10600</v>
      </c>
      <c r="T610" s="13">
        <f t="shared" si="91"/>
        <v>10700</v>
      </c>
      <c r="U610" s="13" t="s">
        <v>4181</v>
      </c>
      <c r="V610" s="72" t="s">
        <v>4177</v>
      </c>
    </row>
    <row r="611" spans="1:23" ht="30" customHeight="1">
      <c r="A611" s="42">
        <v>4</v>
      </c>
      <c r="B611" s="13">
        <v>4007</v>
      </c>
      <c r="C611" s="9" t="s">
        <v>1504</v>
      </c>
      <c r="D611" s="9" t="s">
        <v>1505</v>
      </c>
      <c r="E611" s="66" t="s">
        <v>1501</v>
      </c>
      <c r="F611" s="44">
        <v>2600</v>
      </c>
      <c r="G611" s="44">
        <v>0</v>
      </c>
      <c r="H611" s="44">
        <v>0</v>
      </c>
      <c r="I611" s="44">
        <v>0</v>
      </c>
      <c r="J611" s="44">
        <v>0</v>
      </c>
      <c r="K611" s="44">
        <v>0</v>
      </c>
      <c r="L611" s="44">
        <v>0</v>
      </c>
      <c r="M611" s="44">
        <v>0</v>
      </c>
      <c r="N611" s="12">
        <f t="shared" si="89"/>
        <v>0</v>
      </c>
      <c r="O611" s="44">
        <v>0</v>
      </c>
      <c r="P611" s="13">
        <v>0</v>
      </c>
      <c r="Q611" s="13">
        <v>0</v>
      </c>
      <c r="R611" s="14">
        <f t="shared" si="88"/>
        <v>0</v>
      </c>
      <c r="S611" s="13">
        <f t="shared" si="90"/>
        <v>100</v>
      </c>
      <c r="T611" s="13">
        <f t="shared" si="91"/>
        <v>200</v>
      </c>
      <c r="U611" s="13" t="s">
        <v>4181</v>
      </c>
      <c r="V611" s="15" t="s">
        <v>1506</v>
      </c>
      <c r="W611" s="80"/>
    </row>
    <row r="612" spans="1:23" ht="30" customHeight="1">
      <c r="A612" s="42">
        <v>5</v>
      </c>
      <c r="B612" s="13">
        <v>4030</v>
      </c>
      <c r="C612" s="9" t="s">
        <v>1507</v>
      </c>
      <c r="D612" s="9" t="s">
        <v>1508</v>
      </c>
      <c r="E612" s="66" t="s">
        <v>1501</v>
      </c>
      <c r="F612" s="44">
        <v>2350</v>
      </c>
      <c r="G612" s="44">
        <v>0</v>
      </c>
      <c r="H612" s="44">
        <v>0</v>
      </c>
      <c r="I612" s="44">
        <v>0</v>
      </c>
      <c r="J612" s="44">
        <v>0</v>
      </c>
      <c r="K612" s="44">
        <v>0</v>
      </c>
      <c r="L612" s="44">
        <v>0</v>
      </c>
      <c r="M612" s="44">
        <v>0</v>
      </c>
      <c r="N612" s="12">
        <f t="shared" si="89"/>
        <v>0</v>
      </c>
      <c r="O612" s="44">
        <v>0</v>
      </c>
      <c r="P612" s="13">
        <v>0</v>
      </c>
      <c r="Q612" s="13">
        <v>0</v>
      </c>
      <c r="R612" s="14">
        <f t="shared" si="88"/>
        <v>0</v>
      </c>
      <c r="S612" s="13">
        <f t="shared" si="90"/>
        <v>100</v>
      </c>
      <c r="T612" s="13">
        <f t="shared" si="91"/>
        <v>200</v>
      </c>
      <c r="U612" s="13" t="s">
        <v>4181</v>
      </c>
      <c r="V612" s="15" t="s">
        <v>1509</v>
      </c>
      <c r="W612" t="s">
        <v>1510</v>
      </c>
    </row>
    <row r="613" spans="1:23" ht="30" customHeight="1">
      <c r="A613" s="42">
        <v>6</v>
      </c>
      <c r="B613" s="89">
        <v>4055</v>
      </c>
      <c r="C613" s="90" t="s">
        <v>1511</v>
      </c>
      <c r="D613" s="90" t="s">
        <v>1512</v>
      </c>
      <c r="E613" s="66" t="s">
        <v>1501</v>
      </c>
      <c r="F613" s="44">
        <v>2600</v>
      </c>
      <c r="G613" s="44">
        <v>0</v>
      </c>
      <c r="H613" s="44">
        <v>0</v>
      </c>
      <c r="I613" s="44">
        <v>0</v>
      </c>
      <c r="J613" s="44">
        <v>0</v>
      </c>
      <c r="K613" s="44">
        <v>0</v>
      </c>
      <c r="L613" s="44">
        <v>0</v>
      </c>
      <c r="M613" s="44">
        <v>0</v>
      </c>
      <c r="N613" s="12">
        <f t="shared" si="89"/>
        <v>0</v>
      </c>
      <c r="O613" s="44">
        <v>0</v>
      </c>
      <c r="P613" s="13">
        <v>0</v>
      </c>
      <c r="Q613" s="13">
        <v>0</v>
      </c>
      <c r="R613" s="14">
        <f t="shared" si="88"/>
        <v>0</v>
      </c>
      <c r="S613" s="13">
        <f t="shared" si="90"/>
        <v>100</v>
      </c>
      <c r="T613" s="13">
        <f t="shared" si="91"/>
        <v>200</v>
      </c>
      <c r="U613" s="13" t="s">
        <v>4181</v>
      </c>
      <c r="V613" s="23" t="s">
        <v>794</v>
      </c>
    </row>
    <row r="614" spans="1:23" ht="30" customHeight="1">
      <c r="A614" s="42">
        <v>7</v>
      </c>
      <c r="B614" s="13">
        <v>4066</v>
      </c>
      <c r="C614" s="9" t="s">
        <v>1513</v>
      </c>
      <c r="D614" s="9" t="s">
        <v>830</v>
      </c>
      <c r="E614" s="66" t="s">
        <v>1501</v>
      </c>
      <c r="F614" s="44">
        <v>2600</v>
      </c>
      <c r="G614" s="44">
        <v>0</v>
      </c>
      <c r="H614" s="44">
        <v>0</v>
      </c>
      <c r="I614" s="44">
        <v>0</v>
      </c>
      <c r="J614" s="44">
        <v>0</v>
      </c>
      <c r="K614" s="44">
        <v>0</v>
      </c>
      <c r="L614" s="44">
        <v>0</v>
      </c>
      <c r="M614" s="44">
        <v>0</v>
      </c>
      <c r="N614" s="12">
        <f t="shared" si="89"/>
        <v>0</v>
      </c>
      <c r="O614" s="44">
        <v>0</v>
      </c>
      <c r="P614" s="13">
        <v>0</v>
      </c>
      <c r="Q614" s="13">
        <v>0</v>
      </c>
      <c r="R614" s="14">
        <f t="shared" si="88"/>
        <v>0</v>
      </c>
      <c r="S614" s="13">
        <f t="shared" si="90"/>
        <v>100</v>
      </c>
      <c r="T614" s="13">
        <f t="shared" si="91"/>
        <v>200</v>
      </c>
      <c r="U614" s="13" t="s">
        <v>4181</v>
      </c>
      <c r="V614" s="15" t="s">
        <v>1514</v>
      </c>
    </row>
    <row r="615" spans="1:23" ht="30" customHeight="1">
      <c r="A615" s="42">
        <v>8</v>
      </c>
      <c r="B615" s="13">
        <v>4085</v>
      </c>
      <c r="C615" s="9" t="s">
        <v>689</v>
      </c>
      <c r="D615" s="9" t="s">
        <v>774</v>
      </c>
      <c r="E615" s="66" t="s">
        <v>1501</v>
      </c>
      <c r="F615" s="44">
        <v>1300</v>
      </c>
      <c r="G615" s="44">
        <v>0</v>
      </c>
      <c r="H615" s="44">
        <v>0</v>
      </c>
      <c r="I615" s="44">
        <v>0</v>
      </c>
      <c r="J615" s="44">
        <v>0</v>
      </c>
      <c r="K615" s="44">
        <v>0</v>
      </c>
      <c r="L615" s="44">
        <v>0</v>
      </c>
      <c r="M615" s="44">
        <v>0</v>
      </c>
      <c r="N615" s="12">
        <f t="shared" si="89"/>
        <v>0</v>
      </c>
      <c r="O615" s="44">
        <v>0</v>
      </c>
      <c r="P615" s="13">
        <v>0</v>
      </c>
      <c r="Q615" s="13">
        <v>0</v>
      </c>
      <c r="R615" s="14">
        <f t="shared" si="88"/>
        <v>0</v>
      </c>
      <c r="S615" s="13">
        <f t="shared" si="90"/>
        <v>100</v>
      </c>
      <c r="T615" s="13">
        <f t="shared" si="91"/>
        <v>200</v>
      </c>
      <c r="U615" s="13" t="s">
        <v>4181</v>
      </c>
      <c r="V615" s="15" t="s">
        <v>1515</v>
      </c>
    </row>
    <row r="616" spans="1:23" ht="30" customHeight="1">
      <c r="A616" s="42">
        <v>9</v>
      </c>
      <c r="B616" s="13">
        <v>4225</v>
      </c>
      <c r="C616" s="9" t="s">
        <v>1516</v>
      </c>
      <c r="D616" s="9" t="s">
        <v>833</v>
      </c>
      <c r="E616" s="66" t="s">
        <v>1501</v>
      </c>
      <c r="F616" s="44">
        <v>2600</v>
      </c>
      <c r="G616" s="44">
        <v>0</v>
      </c>
      <c r="H616" s="44">
        <v>0</v>
      </c>
      <c r="I616" s="44">
        <v>0</v>
      </c>
      <c r="J616" s="44">
        <v>0</v>
      </c>
      <c r="K616" s="44">
        <v>0</v>
      </c>
      <c r="L616" s="44">
        <v>0</v>
      </c>
      <c r="M616" s="44">
        <v>0</v>
      </c>
      <c r="N616" s="12">
        <f t="shared" si="89"/>
        <v>0</v>
      </c>
      <c r="O616" s="44">
        <v>0</v>
      </c>
      <c r="P616" s="13">
        <v>0</v>
      </c>
      <c r="Q616" s="13">
        <v>0</v>
      </c>
      <c r="R616" s="14">
        <f t="shared" si="88"/>
        <v>0</v>
      </c>
      <c r="S616" s="13">
        <f t="shared" si="90"/>
        <v>100</v>
      </c>
      <c r="T616" s="13">
        <f t="shared" si="91"/>
        <v>200</v>
      </c>
      <c r="U616" s="13" t="s">
        <v>4181</v>
      </c>
      <c r="V616" s="15" t="s">
        <v>1517</v>
      </c>
    </row>
    <row r="617" spans="1:23" ht="30" customHeight="1">
      <c r="A617" s="42">
        <v>10</v>
      </c>
      <c r="B617" s="13">
        <v>4494</v>
      </c>
      <c r="C617" s="9" t="s">
        <v>1518</v>
      </c>
      <c r="D617" s="9" t="s">
        <v>1027</v>
      </c>
      <c r="E617" s="66" t="s">
        <v>1501</v>
      </c>
      <c r="F617" s="44">
        <v>2600</v>
      </c>
      <c r="G617" s="44">
        <v>0</v>
      </c>
      <c r="H617" s="44">
        <v>0</v>
      </c>
      <c r="I617" s="44">
        <v>0</v>
      </c>
      <c r="J617" s="44">
        <v>0</v>
      </c>
      <c r="K617" s="44">
        <v>0</v>
      </c>
      <c r="L617" s="44">
        <v>0</v>
      </c>
      <c r="M617" s="44">
        <v>0</v>
      </c>
      <c r="N617" s="12">
        <f t="shared" si="89"/>
        <v>0</v>
      </c>
      <c r="O617" s="44">
        <v>0</v>
      </c>
      <c r="P617" s="13">
        <v>0</v>
      </c>
      <c r="Q617" s="13">
        <v>0</v>
      </c>
      <c r="R617" s="14">
        <f t="shared" si="88"/>
        <v>0</v>
      </c>
      <c r="S617" s="13">
        <f t="shared" si="90"/>
        <v>100</v>
      </c>
      <c r="T617" s="13">
        <f t="shared" si="91"/>
        <v>200</v>
      </c>
      <c r="U617" s="13" t="s">
        <v>4181</v>
      </c>
      <c r="V617" s="72" t="s">
        <v>1519</v>
      </c>
    </row>
    <row r="618" spans="1:23" ht="30" customHeight="1">
      <c r="A618" s="42">
        <v>11</v>
      </c>
      <c r="B618" s="13">
        <v>4984</v>
      </c>
      <c r="C618" s="9" t="s">
        <v>1520</v>
      </c>
      <c r="D618" s="9" t="s">
        <v>668</v>
      </c>
      <c r="E618" s="66" t="s">
        <v>1501</v>
      </c>
      <c r="F618" s="44">
        <v>2600</v>
      </c>
      <c r="G618" s="44">
        <v>0</v>
      </c>
      <c r="H618" s="44">
        <v>0</v>
      </c>
      <c r="I618" s="44">
        <v>0</v>
      </c>
      <c r="J618" s="44">
        <v>0</v>
      </c>
      <c r="K618" s="44">
        <v>0</v>
      </c>
      <c r="L618" s="44">
        <v>0</v>
      </c>
      <c r="M618" s="44">
        <v>0</v>
      </c>
      <c r="N618" s="12">
        <f t="shared" si="89"/>
        <v>0</v>
      </c>
      <c r="O618" s="44">
        <v>0</v>
      </c>
      <c r="P618" s="13">
        <v>0</v>
      </c>
      <c r="Q618" s="13">
        <v>0</v>
      </c>
      <c r="R618" s="14">
        <f t="shared" si="88"/>
        <v>0</v>
      </c>
      <c r="S618" s="13">
        <f t="shared" si="90"/>
        <v>100</v>
      </c>
      <c r="T618" s="13">
        <f t="shared" si="91"/>
        <v>200</v>
      </c>
      <c r="U618" s="13" t="s">
        <v>4181</v>
      </c>
      <c r="V618" s="15" t="s">
        <v>1521</v>
      </c>
      <c r="W618" s="80"/>
    </row>
    <row r="619" spans="1:23" ht="30" customHeight="1">
      <c r="A619" s="42">
        <v>12</v>
      </c>
      <c r="B619" s="13">
        <v>6159</v>
      </c>
      <c r="C619" s="9" t="s">
        <v>1522</v>
      </c>
      <c r="D619" s="9" t="s">
        <v>1523</v>
      </c>
      <c r="E619" s="66" t="s">
        <v>1501</v>
      </c>
      <c r="F619" s="44">
        <v>2600</v>
      </c>
      <c r="G619" s="44">
        <v>0</v>
      </c>
      <c r="H619" s="44">
        <v>0</v>
      </c>
      <c r="I619" s="44">
        <v>0</v>
      </c>
      <c r="J619" s="44">
        <v>0</v>
      </c>
      <c r="K619" s="44">
        <v>0</v>
      </c>
      <c r="L619" s="44">
        <v>0</v>
      </c>
      <c r="M619" s="44">
        <v>0</v>
      </c>
      <c r="N619" s="12">
        <f t="shared" si="89"/>
        <v>0</v>
      </c>
      <c r="O619" s="44">
        <v>0</v>
      </c>
      <c r="P619" s="13">
        <v>0</v>
      </c>
      <c r="Q619" s="13">
        <v>0</v>
      </c>
      <c r="R619" s="14">
        <f t="shared" si="88"/>
        <v>0</v>
      </c>
      <c r="S619" s="13">
        <f t="shared" si="90"/>
        <v>100</v>
      </c>
      <c r="T619" s="13">
        <f t="shared" si="91"/>
        <v>200</v>
      </c>
      <c r="U619" s="13" t="s">
        <v>4181</v>
      </c>
      <c r="V619" s="65" t="s">
        <v>1524</v>
      </c>
      <c r="W619" s="80"/>
    </row>
    <row r="620" spans="1:23" ht="30" customHeight="1">
      <c r="A620" s="42">
        <v>13</v>
      </c>
      <c r="B620" s="13">
        <v>6250</v>
      </c>
      <c r="C620" s="9" t="s">
        <v>1525</v>
      </c>
      <c r="D620" s="9" t="s">
        <v>1526</v>
      </c>
      <c r="E620" s="66" t="s">
        <v>1501</v>
      </c>
      <c r="F620" s="44">
        <v>2600</v>
      </c>
      <c r="G620" s="44">
        <v>0</v>
      </c>
      <c r="H620" s="44">
        <v>0</v>
      </c>
      <c r="I620" s="44">
        <v>0</v>
      </c>
      <c r="J620" s="44">
        <v>0</v>
      </c>
      <c r="K620" s="44">
        <v>0</v>
      </c>
      <c r="L620" s="44">
        <v>0</v>
      </c>
      <c r="M620" s="44">
        <v>0</v>
      </c>
      <c r="N620" s="12">
        <f t="shared" si="89"/>
        <v>0</v>
      </c>
      <c r="O620" s="44">
        <v>0</v>
      </c>
      <c r="P620" s="13">
        <v>0</v>
      </c>
      <c r="Q620" s="13">
        <v>0</v>
      </c>
      <c r="R620" s="14">
        <f t="shared" si="88"/>
        <v>0</v>
      </c>
      <c r="S620" s="13">
        <f t="shared" si="90"/>
        <v>100</v>
      </c>
      <c r="T620" s="13">
        <f t="shared" si="91"/>
        <v>200</v>
      </c>
      <c r="U620" s="13" t="s">
        <v>4181</v>
      </c>
      <c r="V620" s="15" t="s">
        <v>1527</v>
      </c>
      <c r="W620" s="80"/>
    </row>
    <row r="621" spans="1:23" ht="30" customHeight="1">
      <c r="A621" s="42">
        <v>14</v>
      </c>
      <c r="B621" s="13">
        <v>6329</v>
      </c>
      <c r="C621" s="9" t="s">
        <v>1528</v>
      </c>
      <c r="D621" s="9" t="s">
        <v>753</v>
      </c>
      <c r="E621" s="66" t="s">
        <v>1501</v>
      </c>
      <c r="F621" s="44">
        <v>0</v>
      </c>
      <c r="G621" s="44">
        <v>0</v>
      </c>
      <c r="H621" s="44">
        <v>0</v>
      </c>
      <c r="I621" s="44">
        <v>0</v>
      </c>
      <c r="J621" s="44">
        <v>0</v>
      </c>
      <c r="K621" s="44">
        <v>0</v>
      </c>
      <c r="L621" s="44">
        <v>0</v>
      </c>
      <c r="M621" s="44">
        <v>0</v>
      </c>
      <c r="N621" s="12">
        <f t="shared" si="89"/>
        <v>0</v>
      </c>
      <c r="O621" s="44">
        <v>0</v>
      </c>
      <c r="P621" s="13">
        <v>0</v>
      </c>
      <c r="Q621" s="13">
        <v>0</v>
      </c>
      <c r="R621" s="14">
        <f t="shared" si="88"/>
        <v>0</v>
      </c>
      <c r="S621" s="13">
        <f t="shared" si="90"/>
        <v>100</v>
      </c>
      <c r="T621" s="13">
        <f t="shared" si="91"/>
        <v>200</v>
      </c>
      <c r="U621" s="13" t="s">
        <v>4181</v>
      </c>
      <c r="V621" s="15" t="s">
        <v>754</v>
      </c>
      <c r="W621" s="80"/>
    </row>
    <row r="622" spans="1:23" ht="30" customHeight="1">
      <c r="A622" s="42">
        <v>15</v>
      </c>
      <c r="B622" s="13">
        <v>6389</v>
      </c>
      <c r="C622" s="9" t="s">
        <v>1529</v>
      </c>
      <c r="D622" s="9" t="s">
        <v>1014</v>
      </c>
      <c r="E622" s="66" t="s">
        <v>1501</v>
      </c>
      <c r="F622" s="44">
        <v>1500</v>
      </c>
      <c r="G622" s="44">
        <v>0</v>
      </c>
      <c r="H622" s="44">
        <v>0</v>
      </c>
      <c r="I622" s="44">
        <v>0</v>
      </c>
      <c r="J622" s="44">
        <v>0</v>
      </c>
      <c r="K622" s="44">
        <v>0</v>
      </c>
      <c r="L622" s="44">
        <v>0</v>
      </c>
      <c r="M622" s="44">
        <v>0</v>
      </c>
      <c r="N622" s="12">
        <f t="shared" si="89"/>
        <v>0</v>
      </c>
      <c r="O622" s="44">
        <v>0</v>
      </c>
      <c r="P622" s="13">
        <v>0</v>
      </c>
      <c r="Q622" s="13">
        <v>0</v>
      </c>
      <c r="R622" s="14">
        <f t="shared" si="88"/>
        <v>0</v>
      </c>
      <c r="S622" s="13">
        <f t="shared" si="90"/>
        <v>100</v>
      </c>
      <c r="T622" s="13">
        <f t="shared" si="91"/>
        <v>200</v>
      </c>
      <c r="U622" s="13" t="s">
        <v>4181</v>
      </c>
      <c r="V622" s="15" t="s">
        <v>1015</v>
      </c>
    </row>
    <row r="623" spans="1:23" ht="30" customHeight="1">
      <c r="A623" s="42">
        <v>16</v>
      </c>
      <c r="B623" s="13">
        <v>6431</v>
      </c>
      <c r="C623" s="9" t="s">
        <v>1530</v>
      </c>
      <c r="D623" s="9" t="s">
        <v>1531</v>
      </c>
      <c r="E623" s="66" t="s">
        <v>1501</v>
      </c>
      <c r="F623" s="44">
        <v>2600</v>
      </c>
      <c r="G623" s="44">
        <v>0</v>
      </c>
      <c r="H623" s="44">
        <v>0</v>
      </c>
      <c r="I623" s="44">
        <v>0</v>
      </c>
      <c r="J623" s="44">
        <v>0</v>
      </c>
      <c r="K623" s="44">
        <v>0</v>
      </c>
      <c r="L623" s="44">
        <v>0</v>
      </c>
      <c r="M623" s="44">
        <v>0</v>
      </c>
      <c r="N623" s="12">
        <f t="shared" si="89"/>
        <v>0</v>
      </c>
      <c r="O623" s="44">
        <v>0</v>
      </c>
      <c r="P623" s="13">
        <v>0</v>
      </c>
      <c r="Q623" s="13">
        <v>0</v>
      </c>
      <c r="R623" s="14">
        <f t="shared" si="88"/>
        <v>0</v>
      </c>
      <c r="S623" s="13">
        <f t="shared" si="90"/>
        <v>100</v>
      </c>
      <c r="T623" s="13">
        <f t="shared" si="91"/>
        <v>200</v>
      </c>
      <c r="U623" s="13" t="s">
        <v>4181</v>
      </c>
      <c r="V623" s="15" t="s">
        <v>1532</v>
      </c>
    </row>
    <row r="624" spans="1:23" ht="30" customHeight="1">
      <c r="A624" s="42">
        <v>17</v>
      </c>
      <c r="B624" s="13">
        <v>6463</v>
      </c>
      <c r="C624" s="9" t="s">
        <v>1533</v>
      </c>
      <c r="D624" s="9" t="s">
        <v>352</v>
      </c>
      <c r="E624" s="66" t="s">
        <v>1501</v>
      </c>
      <c r="F624" s="44">
        <v>2000</v>
      </c>
      <c r="G624" s="44">
        <v>0</v>
      </c>
      <c r="H624" s="44">
        <v>0</v>
      </c>
      <c r="I624" s="44">
        <v>0</v>
      </c>
      <c r="J624" s="44">
        <v>0</v>
      </c>
      <c r="K624" s="44">
        <v>0</v>
      </c>
      <c r="L624" s="44">
        <v>0</v>
      </c>
      <c r="M624" s="44">
        <v>0</v>
      </c>
      <c r="N624" s="12">
        <f t="shared" si="89"/>
        <v>0</v>
      </c>
      <c r="O624" s="44">
        <v>0</v>
      </c>
      <c r="P624" s="13">
        <v>0</v>
      </c>
      <c r="Q624" s="13">
        <v>0</v>
      </c>
      <c r="R624" s="14">
        <f t="shared" si="88"/>
        <v>0</v>
      </c>
      <c r="S624" s="13">
        <f t="shared" si="90"/>
        <v>100</v>
      </c>
      <c r="T624" s="13">
        <f t="shared" si="91"/>
        <v>200</v>
      </c>
      <c r="U624" s="13" t="s">
        <v>4181</v>
      </c>
      <c r="V624" s="15" t="s">
        <v>1534</v>
      </c>
    </row>
    <row r="625" spans="1:23" ht="30" customHeight="1">
      <c r="A625" s="42">
        <v>18</v>
      </c>
      <c r="B625" s="13">
        <v>6604</v>
      </c>
      <c r="C625" s="9" t="s">
        <v>1539</v>
      </c>
      <c r="D625" s="9" t="s">
        <v>1022</v>
      </c>
      <c r="E625" s="66" t="s">
        <v>1501</v>
      </c>
      <c r="F625" s="44">
        <v>2600</v>
      </c>
      <c r="G625" s="44">
        <v>0</v>
      </c>
      <c r="H625" s="44">
        <v>0</v>
      </c>
      <c r="I625" s="44">
        <v>0</v>
      </c>
      <c r="J625" s="44">
        <v>0</v>
      </c>
      <c r="K625" s="44">
        <v>0</v>
      </c>
      <c r="L625" s="44">
        <v>0</v>
      </c>
      <c r="M625" s="44">
        <v>0</v>
      </c>
      <c r="N625" s="12">
        <f t="shared" si="89"/>
        <v>0</v>
      </c>
      <c r="O625" s="44">
        <v>0</v>
      </c>
      <c r="P625" s="13">
        <v>0</v>
      </c>
      <c r="Q625" s="13">
        <v>0</v>
      </c>
      <c r="R625" s="14">
        <f t="shared" si="88"/>
        <v>0</v>
      </c>
      <c r="S625" s="13">
        <f t="shared" si="90"/>
        <v>100</v>
      </c>
      <c r="T625" s="13">
        <f t="shared" si="91"/>
        <v>200</v>
      </c>
      <c r="U625" s="13" t="s">
        <v>4181</v>
      </c>
      <c r="V625" s="23" t="s">
        <v>1540</v>
      </c>
    </row>
    <row r="626" spans="1:23" ht="30" customHeight="1">
      <c r="A626" s="42">
        <v>19</v>
      </c>
      <c r="B626" s="13">
        <v>6606</v>
      </c>
      <c r="C626" s="9" t="s">
        <v>1541</v>
      </c>
      <c r="D626" s="9" t="s">
        <v>1542</v>
      </c>
      <c r="E626" s="66" t="s">
        <v>1501</v>
      </c>
      <c r="F626" s="44">
        <v>1300</v>
      </c>
      <c r="G626" s="44">
        <v>0</v>
      </c>
      <c r="H626" s="44">
        <v>0</v>
      </c>
      <c r="I626" s="44">
        <v>0</v>
      </c>
      <c r="J626" s="44">
        <v>0</v>
      </c>
      <c r="K626" s="44">
        <v>0</v>
      </c>
      <c r="L626" s="44">
        <v>0</v>
      </c>
      <c r="M626" s="44">
        <v>0</v>
      </c>
      <c r="N626" s="12">
        <f t="shared" si="89"/>
        <v>0</v>
      </c>
      <c r="O626" s="44">
        <v>0</v>
      </c>
      <c r="P626" s="13">
        <v>0</v>
      </c>
      <c r="Q626" s="13">
        <v>0</v>
      </c>
      <c r="R626" s="14">
        <f t="shared" si="88"/>
        <v>0</v>
      </c>
      <c r="S626" s="13">
        <f t="shared" si="90"/>
        <v>100</v>
      </c>
      <c r="T626" s="13">
        <f t="shared" si="91"/>
        <v>200</v>
      </c>
      <c r="U626" s="13" t="s">
        <v>4181</v>
      </c>
      <c r="V626" s="23" t="s">
        <v>1543</v>
      </c>
    </row>
    <row r="627" spans="1:23" ht="30" customHeight="1">
      <c r="A627" s="42">
        <v>20</v>
      </c>
      <c r="B627" s="13">
        <v>6612</v>
      </c>
      <c r="C627" s="9" t="s">
        <v>1275</v>
      </c>
      <c r="D627" s="9" t="s">
        <v>1544</v>
      </c>
      <c r="E627" s="66" t="s">
        <v>1501</v>
      </c>
      <c r="F627" s="44">
        <v>2400</v>
      </c>
      <c r="G627" s="44">
        <v>0</v>
      </c>
      <c r="H627" s="44">
        <v>0</v>
      </c>
      <c r="I627" s="44">
        <v>0</v>
      </c>
      <c r="J627" s="44">
        <v>0</v>
      </c>
      <c r="K627" s="44">
        <v>0</v>
      </c>
      <c r="L627" s="44">
        <v>0</v>
      </c>
      <c r="M627" s="44">
        <v>0</v>
      </c>
      <c r="N627" s="12">
        <f t="shared" si="89"/>
        <v>0</v>
      </c>
      <c r="O627" s="44">
        <v>0</v>
      </c>
      <c r="P627" s="13">
        <v>0</v>
      </c>
      <c r="Q627" s="13">
        <v>0</v>
      </c>
      <c r="R627" s="14">
        <f t="shared" si="88"/>
        <v>0</v>
      </c>
      <c r="S627" s="13">
        <f t="shared" si="90"/>
        <v>100</v>
      </c>
      <c r="T627" s="13">
        <f t="shared" si="91"/>
        <v>200</v>
      </c>
      <c r="U627" s="13" t="s">
        <v>4181</v>
      </c>
      <c r="V627" s="23" t="s">
        <v>1545</v>
      </c>
    </row>
    <row r="628" spans="1:23" ht="30" customHeight="1">
      <c r="A628" s="42">
        <v>21</v>
      </c>
      <c r="B628" s="13">
        <v>6672</v>
      </c>
      <c r="C628" s="9" t="s">
        <v>294</v>
      </c>
      <c r="D628" s="9" t="s">
        <v>1055</v>
      </c>
      <c r="E628" s="66" t="s">
        <v>1501</v>
      </c>
      <c r="F628" s="44">
        <v>2600</v>
      </c>
      <c r="G628" s="44">
        <v>0</v>
      </c>
      <c r="H628" s="44">
        <v>0</v>
      </c>
      <c r="I628" s="44">
        <v>0</v>
      </c>
      <c r="J628" s="44">
        <v>0</v>
      </c>
      <c r="K628" s="44">
        <v>0</v>
      </c>
      <c r="L628" s="44">
        <v>0</v>
      </c>
      <c r="M628" s="44">
        <v>0</v>
      </c>
      <c r="N628" s="12">
        <f t="shared" si="89"/>
        <v>0</v>
      </c>
      <c r="O628" s="44">
        <v>0</v>
      </c>
      <c r="P628" s="13">
        <v>0</v>
      </c>
      <c r="Q628" s="13">
        <v>0</v>
      </c>
      <c r="R628" s="14">
        <f t="shared" si="88"/>
        <v>0</v>
      </c>
      <c r="S628" s="13">
        <f t="shared" si="90"/>
        <v>100</v>
      </c>
      <c r="T628" s="13">
        <f t="shared" si="91"/>
        <v>200</v>
      </c>
      <c r="U628" s="13" t="s">
        <v>4181</v>
      </c>
      <c r="V628" s="23" t="s">
        <v>1546</v>
      </c>
    </row>
    <row r="629" spans="1:23" ht="30" customHeight="1">
      <c r="A629" s="42">
        <v>22</v>
      </c>
      <c r="B629" s="13">
        <v>6673</v>
      </c>
      <c r="C629" s="9" t="s">
        <v>1547</v>
      </c>
      <c r="D629" s="9" t="s">
        <v>1548</v>
      </c>
      <c r="E629" s="66" t="s">
        <v>1501</v>
      </c>
      <c r="F629" s="44">
        <v>2600</v>
      </c>
      <c r="G629" s="44">
        <v>0</v>
      </c>
      <c r="H629" s="44">
        <v>0</v>
      </c>
      <c r="I629" s="44">
        <v>0</v>
      </c>
      <c r="J629" s="44">
        <v>0</v>
      </c>
      <c r="K629" s="44">
        <v>0</v>
      </c>
      <c r="L629" s="44">
        <v>0</v>
      </c>
      <c r="M629" s="44">
        <v>0</v>
      </c>
      <c r="N629" s="12">
        <f t="shared" si="89"/>
        <v>0</v>
      </c>
      <c r="O629" s="44">
        <v>0</v>
      </c>
      <c r="P629" s="13">
        <v>0</v>
      </c>
      <c r="Q629" s="13">
        <v>0</v>
      </c>
      <c r="R629" s="14">
        <f t="shared" si="88"/>
        <v>0</v>
      </c>
      <c r="S629" s="13">
        <f t="shared" si="90"/>
        <v>100</v>
      </c>
      <c r="T629" s="13">
        <f t="shared" si="91"/>
        <v>200</v>
      </c>
      <c r="U629" s="13" t="s">
        <v>4181</v>
      </c>
      <c r="V629" s="23" t="s">
        <v>1549</v>
      </c>
    </row>
    <row r="630" spans="1:23" ht="30" customHeight="1">
      <c r="A630" s="42">
        <v>23</v>
      </c>
      <c r="B630" s="13">
        <v>6857</v>
      </c>
      <c r="C630" s="9" t="s">
        <v>4096</v>
      </c>
      <c r="D630" s="9" t="s">
        <v>930</v>
      </c>
      <c r="E630" s="66" t="s">
        <v>1501</v>
      </c>
      <c r="F630" s="13">
        <v>2600</v>
      </c>
      <c r="G630" s="13">
        <v>0</v>
      </c>
      <c r="H630" s="13">
        <v>0</v>
      </c>
      <c r="I630" s="13">
        <v>0</v>
      </c>
      <c r="J630" s="13">
        <v>0</v>
      </c>
      <c r="K630" s="13">
        <v>0</v>
      </c>
      <c r="L630" s="13">
        <v>0</v>
      </c>
      <c r="M630" s="13">
        <v>0</v>
      </c>
      <c r="N630" s="12">
        <f t="shared" si="89"/>
        <v>0</v>
      </c>
      <c r="O630" s="13">
        <v>0</v>
      </c>
      <c r="P630" s="13">
        <v>0</v>
      </c>
      <c r="Q630" s="13">
        <v>0</v>
      </c>
      <c r="R630" s="14">
        <f t="shared" si="88"/>
        <v>0</v>
      </c>
      <c r="S630" s="13">
        <f t="shared" si="90"/>
        <v>100</v>
      </c>
      <c r="T630" s="13">
        <f t="shared" si="91"/>
        <v>200</v>
      </c>
      <c r="U630" s="13" t="s">
        <v>4181</v>
      </c>
      <c r="V630" s="23" t="s">
        <v>4086</v>
      </c>
      <c r="W630" t="s">
        <v>4097</v>
      </c>
    </row>
    <row r="631" spans="1:23" ht="30" customHeight="1">
      <c r="A631" s="42">
        <v>1</v>
      </c>
      <c r="B631" s="13">
        <v>4005</v>
      </c>
      <c r="C631" s="9" t="s">
        <v>1550</v>
      </c>
      <c r="D631" s="9" t="s">
        <v>832</v>
      </c>
      <c r="E631" s="66" t="s">
        <v>1551</v>
      </c>
      <c r="F631" s="44">
        <v>1000</v>
      </c>
      <c r="G631" s="44">
        <v>0</v>
      </c>
      <c r="H631" s="44">
        <v>0</v>
      </c>
      <c r="I631" s="44">
        <v>0</v>
      </c>
      <c r="J631" s="44">
        <v>0</v>
      </c>
      <c r="K631" s="44">
        <v>0</v>
      </c>
      <c r="L631" s="44">
        <v>0</v>
      </c>
      <c r="M631" s="44">
        <v>0</v>
      </c>
      <c r="N631" s="12">
        <f t="shared" si="89"/>
        <v>0</v>
      </c>
      <c r="O631" s="44">
        <v>0</v>
      </c>
      <c r="P631" s="13">
        <v>0</v>
      </c>
      <c r="Q631" s="13">
        <v>0</v>
      </c>
      <c r="R631" s="14">
        <f t="shared" si="88"/>
        <v>0</v>
      </c>
      <c r="S631" s="13">
        <f t="shared" si="90"/>
        <v>100</v>
      </c>
      <c r="T631" s="13">
        <f t="shared" si="91"/>
        <v>200</v>
      </c>
      <c r="U631" s="13" t="s">
        <v>4181</v>
      </c>
      <c r="V631" s="15" t="s">
        <v>1552</v>
      </c>
    </row>
    <row r="632" spans="1:23" ht="30" customHeight="1">
      <c r="A632" s="42">
        <v>2</v>
      </c>
      <c r="B632" s="13">
        <v>4189</v>
      </c>
      <c r="C632" s="9" t="s">
        <v>1553</v>
      </c>
      <c r="D632" s="82" t="s">
        <v>1554</v>
      </c>
      <c r="E632" s="66" t="s">
        <v>1551</v>
      </c>
      <c r="F632" s="44">
        <v>2400</v>
      </c>
      <c r="G632" s="44">
        <v>0</v>
      </c>
      <c r="H632" s="44">
        <v>0</v>
      </c>
      <c r="I632" s="44">
        <v>0</v>
      </c>
      <c r="J632" s="44">
        <v>0</v>
      </c>
      <c r="K632" s="44">
        <v>0</v>
      </c>
      <c r="L632" s="44">
        <v>0</v>
      </c>
      <c r="M632" s="44">
        <v>0</v>
      </c>
      <c r="N632" s="12">
        <f t="shared" si="89"/>
        <v>0</v>
      </c>
      <c r="O632" s="44">
        <v>0</v>
      </c>
      <c r="P632" s="13">
        <v>0</v>
      </c>
      <c r="Q632" s="13">
        <v>0</v>
      </c>
      <c r="R632" s="14">
        <f t="shared" si="88"/>
        <v>0</v>
      </c>
      <c r="S632" s="13">
        <f t="shared" si="90"/>
        <v>100</v>
      </c>
      <c r="T632" s="13">
        <f t="shared" si="91"/>
        <v>200</v>
      </c>
      <c r="U632" s="13" t="s">
        <v>4181</v>
      </c>
      <c r="V632" s="15" t="s">
        <v>1555</v>
      </c>
    </row>
    <row r="633" spans="1:23" ht="30" customHeight="1">
      <c r="A633" s="42">
        <v>3</v>
      </c>
      <c r="B633" s="13">
        <v>3053</v>
      </c>
      <c r="C633" s="9" t="s">
        <v>1556</v>
      </c>
      <c r="D633" s="9" t="s">
        <v>1557</v>
      </c>
      <c r="E633" s="66" t="s">
        <v>1551</v>
      </c>
      <c r="F633" s="44">
        <v>2600</v>
      </c>
      <c r="G633" s="44">
        <v>0</v>
      </c>
      <c r="H633" s="44">
        <v>0</v>
      </c>
      <c r="I633" s="44">
        <v>0</v>
      </c>
      <c r="J633" s="44">
        <v>0</v>
      </c>
      <c r="K633" s="44">
        <v>0</v>
      </c>
      <c r="L633" s="44">
        <v>0</v>
      </c>
      <c r="M633" s="44">
        <v>0</v>
      </c>
      <c r="N633" s="12">
        <f t="shared" si="89"/>
        <v>0</v>
      </c>
      <c r="O633" s="44">
        <v>0</v>
      </c>
      <c r="P633" s="13">
        <v>0</v>
      </c>
      <c r="Q633" s="13">
        <v>0</v>
      </c>
      <c r="R633" s="14">
        <f t="shared" si="88"/>
        <v>0</v>
      </c>
      <c r="S633" s="13">
        <f t="shared" si="90"/>
        <v>100</v>
      </c>
      <c r="T633" s="13">
        <f t="shared" si="91"/>
        <v>200</v>
      </c>
      <c r="U633" s="13" t="s">
        <v>4181</v>
      </c>
      <c r="V633" s="72" t="s">
        <v>1558</v>
      </c>
    </row>
    <row r="634" spans="1:23" ht="30" customHeight="1">
      <c r="A634" s="42">
        <v>4</v>
      </c>
      <c r="B634" s="13">
        <v>4019</v>
      </c>
      <c r="C634" s="9" t="s">
        <v>1275</v>
      </c>
      <c r="D634" s="9" t="s">
        <v>1559</v>
      </c>
      <c r="E634" s="66" t="s">
        <v>1551</v>
      </c>
      <c r="F634" s="44">
        <v>2600</v>
      </c>
      <c r="G634" s="44">
        <v>0</v>
      </c>
      <c r="H634" s="44">
        <v>0</v>
      </c>
      <c r="I634" s="44">
        <v>0</v>
      </c>
      <c r="J634" s="44">
        <v>0</v>
      </c>
      <c r="K634" s="44">
        <v>0</v>
      </c>
      <c r="L634" s="44">
        <v>0</v>
      </c>
      <c r="M634" s="44">
        <v>0</v>
      </c>
      <c r="N634" s="12">
        <f t="shared" si="89"/>
        <v>0</v>
      </c>
      <c r="O634" s="44">
        <v>0</v>
      </c>
      <c r="P634" s="13">
        <v>0</v>
      </c>
      <c r="Q634" s="13">
        <v>0</v>
      </c>
      <c r="R634" s="14">
        <f t="shared" si="88"/>
        <v>0</v>
      </c>
      <c r="S634" s="13">
        <f t="shared" si="90"/>
        <v>100</v>
      </c>
      <c r="T634" s="13">
        <f t="shared" si="91"/>
        <v>200</v>
      </c>
      <c r="U634" s="13" t="s">
        <v>4181</v>
      </c>
      <c r="V634" s="15" t="s">
        <v>1560</v>
      </c>
    </row>
    <row r="635" spans="1:23" ht="30" customHeight="1">
      <c r="A635" s="42">
        <v>5</v>
      </c>
      <c r="B635" s="13">
        <v>4033</v>
      </c>
      <c r="C635" s="9" t="s">
        <v>1561</v>
      </c>
      <c r="D635" s="9" t="s">
        <v>1278</v>
      </c>
      <c r="E635" s="66" t="s">
        <v>1551</v>
      </c>
      <c r="F635" s="44">
        <v>2600</v>
      </c>
      <c r="G635" s="44">
        <v>0</v>
      </c>
      <c r="H635" s="44">
        <v>0</v>
      </c>
      <c r="I635" s="44">
        <v>0</v>
      </c>
      <c r="J635" s="44">
        <v>0</v>
      </c>
      <c r="K635" s="44">
        <v>0</v>
      </c>
      <c r="L635" s="44">
        <v>0</v>
      </c>
      <c r="M635" s="44">
        <v>0</v>
      </c>
      <c r="N635" s="12">
        <f t="shared" si="89"/>
        <v>0</v>
      </c>
      <c r="O635" s="44">
        <v>0</v>
      </c>
      <c r="P635" s="13">
        <v>0</v>
      </c>
      <c r="Q635" s="13">
        <v>0</v>
      </c>
      <c r="R635" s="14">
        <f t="shared" si="88"/>
        <v>0</v>
      </c>
      <c r="S635" s="13">
        <f t="shared" si="90"/>
        <v>100</v>
      </c>
      <c r="T635" s="13">
        <f t="shared" si="91"/>
        <v>200</v>
      </c>
      <c r="U635" s="13" t="s">
        <v>4181</v>
      </c>
      <c r="V635" s="15" t="s">
        <v>1274</v>
      </c>
    </row>
    <row r="636" spans="1:23" ht="30" customHeight="1">
      <c r="A636" s="42">
        <v>6</v>
      </c>
      <c r="B636" s="13">
        <v>4077</v>
      </c>
      <c r="C636" s="9" t="s">
        <v>1562</v>
      </c>
      <c r="D636" s="9" t="s">
        <v>531</v>
      </c>
      <c r="E636" s="66" t="s">
        <v>1551</v>
      </c>
      <c r="F636" s="44">
        <v>2600</v>
      </c>
      <c r="G636" s="44">
        <v>0</v>
      </c>
      <c r="H636" s="44">
        <v>0</v>
      </c>
      <c r="I636" s="44">
        <v>0</v>
      </c>
      <c r="J636" s="44">
        <v>0</v>
      </c>
      <c r="K636" s="44">
        <v>0</v>
      </c>
      <c r="L636" s="44">
        <v>0</v>
      </c>
      <c r="M636" s="44">
        <v>0</v>
      </c>
      <c r="N636" s="12">
        <f t="shared" si="89"/>
        <v>0</v>
      </c>
      <c r="O636" s="44">
        <v>0</v>
      </c>
      <c r="P636" s="13">
        <v>0</v>
      </c>
      <c r="Q636" s="13">
        <v>0</v>
      </c>
      <c r="R636" s="14">
        <f t="shared" si="88"/>
        <v>0</v>
      </c>
      <c r="S636" s="13">
        <f t="shared" si="90"/>
        <v>100</v>
      </c>
      <c r="T636" s="13">
        <f t="shared" si="91"/>
        <v>200</v>
      </c>
      <c r="U636" s="13" t="s">
        <v>4181</v>
      </c>
      <c r="V636" s="15" t="s">
        <v>880</v>
      </c>
    </row>
    <row r="637" spans="1:23" ht="30" customHeight="1">
      <c r="A637" s="42">
        <v>7</v>
      </c>
      <c r="B637" s="13">
        <v>4550</v>
      </c>
      <c r="C637" s="9" t="s">
        <v>1275</v>
      </c>
      <c r="D637" s="9" t="s">
        <v>1563</v>
      </c>
      <c r="E637" s="66" t="s">
        <v>1551</v>
      </c>
      <c r="F637" s="44">
        <v>2600</v>
      </c>
      <c r="G637" s="44">
        <v>0</v>
      </c>
      <c r="H637" s="44">
        <v>0</v>
      </c>
      <c r="I637" s="44">
        <v>0</v>
      </c>
      <c r="J637" s="44">
        <v>0</v>
      </c>
      <c r="K637" s="44">
        <v>0</v>
      </c>
      <c r="L637" s="44">
        <v>0</v>
      </c>
      <c r="M637" s="44">
        <v>0</v>
      </c>
      <c r="N637" s="12">
        <f t="shared" si="89"/>
        <v>0</v>
      </c>
      <c r="O637" s="44">
        <v>2600</v>
      </c>
      <c r="P637" s="13">
        <v>0</v>
      </c>
      <c r="Q637" s="13">
        <v>0</v>
      </c>
      <c r="R637" s="14">
        <f t="shared" si="88"/>
        <v>2600</v>
      </c>
      <c r="S637" s="13">
        <f t="shared" si="90"/>
        <v>2700</v>
      </c>
      <c r="T637" s="13">
        <f t="shared" si="91"/>
        <v>2800</v>
      </c>
      <c r="U637" s="13" t="s">
        <v>4181</v>
      </c>
      <c r="V637" s="15" t="s">
        <v>1564</v>
      </c>
    </row>
    <row r="638" spans="1:23" ht="30" customHeight="1">
      <c r="A638" s="42">
        <v>8</v>
      </c>
      <c r="B638" s="13">
        <v>4648</v>
      </c>
      <c r="C638" s="9" t="s">
        <v>1565</v>
      </c>
      <c r="D638" s="9" t="s">
        <v>1566</v>
      </c>
      <c r="E638" s="66" t="s">
        <v>1551</v>
      </c>
      <c r="F638" s="44">
        <v>2600</v>
      </c>
      <c r="G638" s="44">
        <v>0</v>
      </c>
      <c r="H638" s="44">
        <v>0</v>
      </c>
      <c r="I638" s="44">
        <v>0</v>
      </c>
      <c r="J638" s="44">
        <v>0</v>
      </c>
      <c r="K638" s="44">
        <v>0</v>
      </c>
      <c r="L638" s="44">
        <v>0</v>
      </c>
      <c r="M638" s="44">
        <v>0</v>
      </c>
      <c r="N638" s="12">
        <f t="shared" si="89"/>
        <v>0</v>
      </c>
      <c r="O638" s="44">
        <v>0</v>
      </c>
      <c r="P638" s="13">
        <v>0</v>
      </c>
      <c r="Q638" s="13">
        <v>0</v>
      </c>
      <c r="R638" s="14">
        <f t="shared" si="88"/>
        <v>0</v>
      </c>
      <c r="S638" s="13">
        <f t="shared" si="90"/>
        <v>100</v>
      </c>
      <c r="T638" s="13">
        <f t="shared" si="91"/>
        <v>200</v>
      </c>
      <c r="U638" s="13" t="s">
        <v>4181</v>
      </c>
      <c r="V638" s="15" t="s">
        <v>1567</v>
      </c>
    </row>
    <row r="639" spans="1:23" ht="30" customHeight="1">
      <c r="A639" s="42">
        <v>9</v>
      </c>
      <c r="B639" s="13">
        <v>4730</v>
      </c>
      <c r="C639" s="9" t="s">
        <v>1568</v>
      </c>
      <c r="D639" s="9" t="s">
        <v>621</v>
      </c>
      <c r="E639" s="66" t="s">
        <v>1551</v>
      </c>
      <c r="F639" s="44">
        <v>2600</v>
      </c>
      <c r="G639" s="44">
        <v>0</v>
      </c>
      <c r="H639" s="44">
        <v>0</v>
      </c>
      <c r="I639" s="44">
        <v>0</v>
      </c>
      <c r="J639" s="44">
        <v>0</v>
      </c>
      <c r="K639" s="44">
        <v>0</v>
      </c>
      <c r="L639" s="44">
        <v>0</v>
      </c>
      <c r="M639" s="44">
        <v>0</v>
      </c>
      <c r="N639" s="12">
        <f t="shared" si="89"/>
        <v>0</v>
      </c>
      <c r="O639" s="44">
        <v>0</v>
      </c>
      <c r="P639" s="13">
        <v>0</v>
      </c>
      <c r="Q639" s="13">
        <v>0</v>
      </c>
      <c r="R639" s="14">
        <f t="shared" si="88"/>
        <v>0</v>
      </c>
      <c r="S639" s="13">
        <f t="shared" si="90"/>
        <v>100</v>
      </c>
      <c r="T639" s="13">
        <f t="shared" si="91"/>
        <v>200</v>
      </c>
      <c r="U639" s="13" t="s">
        <v>4181</v>
      </c>
      <c r="V639" s="15" t="s">
        <v>1569</v>
      </c>
      <c r="W639" t="s">
        <v>1570</v>
      </c>
    </row>
    <row r="640" spans="1:23" ht="30" customHeight="1">
      <c r="A640" s="42">
        <v>10</v>
      </c>
      <c r="B640" s="13">
        <v>5009</v>
      </c>
      <c r="C640" s="9" t="s">
        <v>1571</v>
      </c>
      <c r="D640" s="9" t="s">
        <v>1572</v>
      </c>
      <c r="E640" s="66" t="s">
        <v>1551</v>
      </c>
      <c r="F640" s="44">
        <v>2600</v>
      </c>
      <c r="G640" s="44">
        <v>0</v>
      </c>
      <c r="H640" s="44">
        <v>0</v>
      </c>
      <c r="I640" s="44">
        <v>0</v>
      </c>
      <c r="J640" s="44">
        <v>0</v>
      </c>
      <c r="K640" s="44">
        <v>0</v>
      </c>
      <c r="L640" s="44">
        <v>0</v>
      </c>
      <c r="M640" s="44">
        <v>0</v>
      </c>
      <c r="N640" s="12">
        <f t="shared" si="89"/>
        <v>0</v>
      </c>
      <c r="O640" s="44">
        <v>0</v>
      </c>
      <c r="P640" s="13">
        <v>0</v>
      </c>
      <c r="Q640" s="13">
        <v>0</v>
      </c>
      <c r="R640" s="14">
        <f t="shared" si="88"/>
        <v>0</v>
      </c>
      <c r="S640" s="13">
        <f t="shared" si="90"/>
        <v>100</v>
      </c>
      <c r="T640" s="13">
        <f t="shared" si="91"/>
        <v>200</v>
      </c>
      <c r="U640" s="13" t="s">
        <v>4181</v>
      </c>
      <c r="V640" s="15" t="s">
        <v>1573</v>
      </c>
      <c r="W640" s="80"/>
    </row>
    <row r="641" spans="1:23" ht="30" customHeight="1">
      <c r="A641" s="42">
        <v>11</v>
      </c>
      <c r="B641" s="13">
        <v>6022</v>
      </c>
      <c r="C641" s="9" t="s">
        <v>1574</v>
      </c>
      <c r="D641" s="9" t="s">
        <v>305</v>
      </c>
      <c r="E641" s="66" t="s">
        <v>1551</v>
      </c>
      <c r="F641" s="44">
        <v>2600</v>
      </c>
      <c r="G641" s="44">
        <v>0</v>
      </c>
      <c r="H641" s="44">
        <v>0</v>
      </c>
      <c r="I641" s="44">
        <v>0</v>
      </c>
      <c r="J641" s="44">
        <v>0</v>
      </c>
      <c r="K641" s="44">
        <v>0</v>
      </c>
      <c r="L641" s="44">
        <v>0</v>
      </c>
      <c r="M641" s="44">
        <v>0</v>
      </c>
      <c r="N641" s="12">
        <f t="shared" si="89"/>
        <v>0</v>
      </c>
      <c r="O641" s="44">
        <v>0</v>
      </c>
      <c r="P641" s="13">
        <v>0</v>
      </c>
      <c r="Q641" s="13">
        <v>0</v>
      </c>
      <c r="R641" s="14">
        <f t="shared" si="88"/>
        <v>0</v>
      </c>
      <c r="S641" s="13">
        <f t="shared" si="90"/>
        <v>100</v>
      </c>
      <c r="T641" s="13">
        <f t="shared" si="91"/>
        <v>200</v>
      </c>
      <c r="U641" s="13" t="s">
        <v>4181</v>
      </c>
      <c r="V641" s="15" t="s">
        <v>1235</v>
      </c>
      <c r="W641" s="80"/>
    </row>
    <row r="642" spans="1:23" ht="30" customHeight="1">
      <c r="A642" s="42">
        <v>12</v>
      </c>
      <c r="B642" s="13">
        <v>6023</v>
      </c>
      <c r="C642" s="9" t="s">
        <v>1575</v>
      </c>
      <c r="D642" s="9" t="s">
        <v>1171</v>
      </c>
      <c r="E642" s="66" t="s">
        <v>1551</v>
      </c>
      <c r="F642" s="44">
        <v>2000</v>
      </c>
      <c r="G642" s="44">
        <v>0</v>
      </c>
      <c r="H642" s="44">
        <v>0</v>
      </c>
      <c r="I642" s="44">
        <v>0</v>
      </c>
      <c r="J642" s="44">
        <v>0</v>
      </c>
      <c r="K642" s="44">
        <v>0</v>
      </c>
      <c r="L642" s="44">
        <v>0</v>
      </c>
      <c r="M642" s="44">
        <v>0</v>
      </c>
      <c r="N642" s="12">
        <f t="shared" si="89"/>
        <v>0</v>
      </c>
      <c r="O642" s="44">
        <v>0</v>
      </c>
      <c r="P642" s="13">
        <v>0</v>
      </c>
      <c r="Q642" s="13">
        <v>0</v>
      </c>
      <c r="R642" s="14">
        <f t="shared" si="88"/>
        <v>0</v>
      </c>
      <c r="S642" s="13">
        <f t="shared" si="90"/>
        <v>100</v>
      </c>
      <c r="T642" s="13">
        <f t="shared" si="91"/>
        <v>200</v>
      </c>
      <c r="U642" s="13" t="s">
        <v>4181</v>
      </c>
      <c r="V642" s="15" t="s">
        <v>1576</v>
      </c>
      <c r="W642" s="80"/>
    </row>
    <row r="643" spans="1:23" ht="30" customHeight="1">
      <c r="A643" s="42">
        <v>13</v>
      </c>
      <c r="B643" s="13">
        <v>6186</v>
      </c>
      <c r="C643" s="9" t="s">
        <v>1577</v>
      </c>
      <c r="D643" s="9" t="s">
        <v>400</v>
      </c>
      <c r="E643" s="66" t="s">
        <v>1551</v>
      </c>
      <c r="F643" s="44">
        <v>1800</v>
      </c>
      <c r="G643" s="44">
        <v>0</v>
      </c>
      <c r="H643" s="44">
        <v>0</v>
      </c>
      <c r="I643" s="44">
        <v>0</v>
      </c>
      <c r="J643" s="44">
        <v>0</v>
      </c>
      <c r="K643" s="44">
        <v>0</v>
      </c>
      <c r="L643" s="44">
        <v>0</v>
      </c>
      <c r="M643" s="44">
        <v>0</v>
      </c>
      <c r="N643" s="12">
        <f t="shared" si="89"/>
        <v>0</v>
      </c>
      <c r="O643" s="44">
        <v>0</v>
      </c>
      <c r="P643" s="13">
        <v>0</v>
      </c>
      <c r="Q643" s="13">
        <v>0</v>
      </c>
      <c r="R643" s="14">
        <f t="shared" si="88"/>
        <v>0</v>
      </c>
      <c r="S643" s="13">
        <f t="shared" si="90"/>
        <v>100</v>
      </c>
      <c r="T643" s="13">
        <f t="shared" si="91"/>
        <v>200</v>
      </c>
      <c r="U643" s="13" t="s">
        <v>4181</v>
      </c>
      <c r="V643" s="15" t="s">
        <v>401</v>
      </c>
      <c r="W643" s="80"/>
    </row>
    <row r="644" spans="1:23" ht="30" customHeight="1">
      <c r="A644" s="42">
        <v>14</v>
      </c>
      <c r="B644" s="13">
        <v>6274</v>
      </c>
      <c r="C644" s="9" t="s">
        <v>1578</v>
      </c>
      <c r="D644" s="9" t="s">
        <v>627</v>
      </c>
      <c r="E644" s="66" t="s">
        <v>1551</v>
      </c>
      <c r="F644" s="13">
        <v>2600</v>
      </c>
      <c r="G644" s="13">
        <v>0</v>
      </c>
      <c r="H644" s="13" t="s">
        <v>506</v>
      </c>
      <c r="I644" s="13">
        <v>0</v>
      </c>
      <c r="J644" s="13">
        <v>0</v>
      </c>
      <c r="K644" s="13">
        <v>0</v>
      </c>
      <c r="L644" s="13">
        <v>0</v>
      </c>
      <c r="M644" s="13">
        <v>0</v>
      </c>
      <c r="N644" s="12">
        <f t="shared" si="89"/>
        <v>0</v>
      </c>
      <c r="O644" s="13">
        <v>0</v>
      </c>
      <c r="P644" s="13">
        <v>0</v>
      </c>
      <c r="Q644" s="13">
        <v>0</v>
      </c>
      <c r="R644" s="14">
        <f t="shared" si="88"/>
        <v>0</v>
      </c>
      <c r="S644" s="13">
        <f t="shared" si="90"/>
        <v>100</v>
      </c>
      <c r="T644" s="13">
        <f t="shared" si="91"/>
        <v>200</v>
      </c>
      <c r="U644" s="13" t="s">
        <v>4181</v>
      </c>
      <c r="V644" s="23" t="s">
        <v>503</v>
      </c>
    </row>
    <row r="645" spans="1:23" ht="30" customHeight="1">
      <c r="A645" s="42">
        <v>15</v>
      </c>
      <c r="B645" s="13">
        <v>6307</v>
      </c>
      <c r="C645" s="9" t="s">
        <v>1579</v>
      </c>
      <c r="D645" s="9" t="s">
        <v>444</v>
      </c>
      <c r="E645" s="66" t="s">
        <v>1551</v>
      </c>
      <c r="F645" s="44">
        <v>2600</v>
      </c>
      <c r="G645" s="44">
        <v>0</v>
      </c>
      <c r="H645" s="44">
        <v>0</v>
      </c>
      <c r="I645" s="44">
        <v>0</v>
      </c>
      <c r="J645" s="44">
        <v>0</v>
      </c>
      <c r="K645" s="44">
        <v>0</v>
      </c>
      <c r="L645" s="44">
        <v>0</v>
      </c>
      <c r="M645" s="44">
        <v>0</v>
      </c>
      <c r="N645" s="12">
        <f t="shared" si="89"/>
        <v>0</v>
      </c>
      <c r="O645" s="44">
        <v>0</v>
      </c>
      <c r="P645" s="13">
        <v>0</v>
      </c>
      <c r="Q645" s="13">
        <v>0</v>
      </c>
      <c r="R645" s="14">
        <f t="shared" si="88"/>
        <v>0</v>
      </c>
      <c r="S645" s="13">
        <f t="shared" si="90"/>
        <v>100</v>
      </c>
      <c r="T645" s="13">
        <f t="shared" si="91"/>
        <v>200</v>
      </c>
      <c r="U645" s="13" t="s">
        <v>4181</v>
      </c>
      <c r="V645" s="15" t="s">
        <v>1580</v>
      </c>
    </row>
    <row r="646" spans="1:23" ht="30" customHeight="1">
      <c r="A646" s="42">
        <v>16</v>
      </c>
      <c r="B646" s="13">
        <v>6390</v>
      </c>
      <c r="C646" s="9" t="s">
        <v>1581</v>
      </c>
      <c r="D646" s="9" t="s">
        <v>1300</v>
      </c>
      <c r="E646" s="66" t="s">
        <v>1551</v>
      </c>
      <c r="F646" s="44">
        <v>2600</v>
      </c>
      <c r="G646" s="44">
        <v>0</v>
      </c>
      <c r="H646" s="44">
        <v>0</v>
      </c>
      <c r="I646" s="44">
        <v>0</v>
      </c>
      <c r="J646" s="44">
        <v>0</v>
      </c>
      <c r="K646" s="44">
        <v>0</v>
      </c>
      <c r="L646" s="44">
        <v>0</v>
      </c>
      <c r="M646" s="44">
        <v>0</v>
      </c>
      <c r="N646" s="12">
        <f t="shared" si="89"/>
        <v>0</v>
      </c>
      <c r="O646" s="44">
        <v>0</v>
      </c>
      <c r="P646" s="13">
        <v>0</v>
      </c>
      <c r="Q646" s="13">
        <v>0</v>
      </c>
      <c r="R646" s="14">
        <f t="shared" si="88"/>
        <v>0</v>
      </c>
      <c r="S646" s="13">
        <f t="shared" si="90"/>
        <v>100</v>
      </c>
      <c r="T646" s="13">
        <f t="shared" si="91"/>
        <v>200</v>
      </c>
      <c r="U646" s="13" t="s">
        <v>4181</v>
      </c>
      <c r="V646" s="15" t="s">
        <v>1582</v>
      </c>
      <c r="W646" t="s">
        <v>1583</v>
      </c>
    </row>
    <row r="647" spans="1:23" ht="30" customHeight="1">
      <c r="A647" s="42">
        <v>17</v>
      </c>
      <c r="B647" s="13">
        <v>6392</v>
      </c>
      <c r="C647" s="9" t="s">
        <v>28</v>
      </c>
      <c r="D647" s="9" t="s">
        <v>453</v>
      </c>
      <c r="E647" s="66" t="s">
        <v>1551</v>
      </c>
      <c r="F647" s="44">
        <v>1500</v>
      </c>
      <c r="G647" s="44">
        <v>0</v>
      </c>
      <c r="H647" s="44">
        <v>0</v>
      </c>
      <c r="I647" s="44">
        <v>0</v>
      </c>
      <c r="J647" s="44">
        <v>0</v>
      </c>
      <c r="K647" s="44">
        <v>0</v>
      </c>
      <c r="L647" s="44">
        <v>0</v>
      </c>
      <c r="M647" s="44">
        <v>0</v>
      </c>
      <c r="N647" s="12">
        <f t="shared" si="89"/>
        <v>0</v>
      </c>
      <c r="O647" s="44">
        <v>0</v>
      </c>
      <c r="P647" s="13">
        <v>0</v>
      </c>
      <c r="Q647" s="13">
        <v>0</v>
      </c>
      <c r="R647" s="14">
        <f t="shared" ref="R647:R711" si="98">(SUM(N647:Q647))</f>
        <v>0</v>
      </c>
      <c r="S647" s="13">
        <f t="shared" si="90"/>
        <v>100</v>
      </c>
      <c r="T647" s="13">
        <f t="shared" si="91"/>
        <v>200</v>
      </c>
      <c r="U647" s="13" t="s">
        <v>4181</v>
      </c>
      <c r="V647" s="15" t="s">
        <v>454</v>
      </c>
    </row>
    <row r="648" spans="1:23" ht="30" customHeight="1">
      <c r="A648" s="42">
        <v>18</v>
      </c>
      <c r="B648" s="19">
        <v>6393</v>
      </c>
      <c r="C648" s="21" t="s">
        <v>1584</v>
      </c>
      <c r="D648" s="21" t="s">
        <v>1585</v>
      </c>
      <c r="E648" s="66" t="s">
        <v>1551</v>
      </c>
      <c r="F648" s="40">
        <v>2600</v>
      </c>
      <c r="G648" s="40">
        <v>0</v>
      </c>
      <c r="H648" s="40">
        <v>0</v>
      </c>
      <c r="I648" s="40">
        <v>0</v>
      </c>
      <c r="J648" s="40">
        <v>0</v>
      </c>
      <c r="K648" s="40">
        <v>0</v>
      </c>
      <c r="L648" s="40">
        <v>0</v>
      </c>
      <c r="M648" s="40">
        <v>0</v>
      </c>
      <c r="N648" s="12">
        <f t="shared" ref="N648:N712" si="99">(SUM(G648:M648))</f>
        <v>0</v>
      </c>
      <c r="O648" s="40">
        <v>0</v>
      </c>
      <c r="P648" s="13">
        <v>0</v>
      </c>
      <c r="Q648" s="13">
        <v>0</v>
      </c>
      <c r="R648" s="14">
        <f t="shared" si="98"/>
        <v>0</v>
      </c>
      <c r="S648" s="13">
        <f t="shared" si="90"/>
        <v>100</v>
      </c>
      <c r="T648" s="13">
        <f t="shared" si="91"/>
        <v>200</v>
      </c>
      <c r="U648" s="13" t="s">
        <v>4181</v>
      </c>
      <c r="V648" s="39" t="s">
        <v>454</v>
      </c>
    </row>
    <row r="649" spans="1:23" ht="30" customHeight="1">
      <c r="A649" s="42">
        <v>19</v>
      </c>
      <c r="B649" s="13">
        <v>6409</v>
      </c>
      <c r="C649" s="9" t="s">
        <v>1586</v>
      </c>
      <c r="D649" s="9" t="s">
        <v>1587</v>
      </c>
      <c r="E649" s="66" t="s">
        <v>1551</v>
      </c>
      <c r="F649" s="44">
        <v>2600</v>
      </c>
      <c r="G649" s="44">
        <v>0</v>
      </c>
      <c r="H649" s="44">
        <v>0</v>
      </c>
      <c r="I649" s="44">
        <v>0</v>
      </c>
      <c r="J649" s="44">
        <v>0</v>
      </c>
      <c r="K649" s="44">
        <v>0</v>
      </c>
      <c r="L649" s="44">
        <v>0</v>
      </c>
      <c r="M649" s="44">
        <v>0</v>
      </c>
      <c r="N649" s="12">
        <f t="shared" si="99"/>
        <v>0</v>
      </c>
      <c r="O649" s="44">
        <v>0</v>
      </c>
      <c r="P649" s="13">
        <v>0</v>
      </c>
      <c r="Q649" s="13">
        <v>0</v>
      </c>
      <c r="R649" s="14">
        <f t="shared" si="98"/>
        <v>0</v>
      </c>
      <c r="S649" s="13">
        <f t="shared" ref="S649:S713" si="100">R649+100</f>
        <v>100</v>
      </c>
      <c r="T649" s="13">
        <f t="shared" ref="T649:T713" si="101">R649+200</f>
        <v>200</v>
      </c>
      <c r="U649" s="13" t="s">
        <v>4181</v>
      </c>
      <c r="V649" s="15" t="s">
        <v>1588</v>
      </c>
    </row>
    <row r="650" spans="1:23" ht="30" customHeight="1">
      <c r="A650" s="42">
        <v>20</v>
      </c>
      <c r="B650" s="13">
        <v>6464</v>
      </c>
      <c r="C650" s="9" t="s">
        <v>1589</v>
      </c>
      <c r="D650" s="9" t="s">
        <v>514</v>
      </c>
      <c r="E650" s="66" t="s">
        <v>1551</v>
      </c>
      <c r="F650" s="44">
        <v>2600</v>
      </c>
      <c r="G650" s="44">
        <v>0</v>
      </c>
      <c r="H650" s="44">
        <v>0</v>
      </c>
      <c r="I650" s="44">
        <v>0</v>
      </c>
      <c r="J650" s="44">
        <v>0</v>
      </c>
      <c r="K650" s="44">
        <v>0</v>
      </c>
      <c r="L650" s="44">
        <v>0</v>
      </c>
      <c r="M650" s="44">
        <v>0</v>
      </c>
      <c r="N650" s="12">
        <f t="shared" si="99"/>
        <v>0</v>
      </c>
      <c r="O650" s="44">
        <v>0</v>
      </c>
      <c r="P650" s="13">
        <v>0</v>
      </c>
      <c r="Q650" s="13">
        <v>0</v>
      </c>
      <c r="R650" s="14">
        <f t="shared" si="98"/>
        <v>0</v>
      </c>
      <c r="S650" s="13">
        <f t="shared" si="100"/>
        <v>100</v>
      </c>
      <c r="T650" s="13">
        <f t="shared" si="101"/>
        <v>200</v>
      </c>
      <c r="U650" s="13" t="s">
        <v>4181</v>
      </c>
      <c r="V650" s="15" t="s">
        <v>1590</v>
      </c>
    </row>
    <row r="651" spans="1:23" ht="30" customHeight="1">
      <c r="A651" s="42">
        <v>21</v>
      </c>
      <c r="B651" s="13">
        <v>6617</v>
      </c>
      <c r="C651" s="9" t="s">
        <v>1591</v>
      </c>
      <c r="D651" s="9" t="s">
        <v>1592</v>
      </c>
      <c r="E651" s="66" t="s">
        <v>1551</v>
      </c>
      <c r="F651" s="44">
        <v>2600</v>
      </c>
      <c r="G651" s="44">
        <v>0</v>
      </c>
      <c r="H651" s="44">
        <v>0</v>
      </c>
      <c r="I651" s="44">
        <v>0</v>
      </c>
      <c r="J651" s="44">
        <v>0</v>
      </c>
      <c r="K651" s="44">
        <v>0</v>
      </c>
      <c r="L651" s="44">
        <v>0</v>
      </c>
      <c r="M651" s="44">
        <v>0</v>
      </c>
      <c r="N651" s="12">
        <f t="shared" si="99"/>
        <v>0</v>
      </c>
      <c r="O651" s="44">
        <v>0</v>
      </c>
      <c r="P651" s="13">
        <v>0</v>
      </c>
      <c r="Q651" s="13">
        <v>0</v>
      </c>
      <c r="R651" s="14">
        <f t="shared" si="98"/>
        <v>0</v>
      </c>
      <c r="S651" s="13">
        <f t="shared" si="100"/>
        <v>100</v>
      </c>
      <c r="T651" s="13">
        <f t="shared" si="101"/>
        <v>200</v>
      </c>
      <c r="U651" s="13" t="s">
        <v>4181</v>
      </c>
      <c r="V651" s="23" t="s">
        <v>1593</v>
      </c>
      <c r="W651" t="s">
        <v>1594</v>
      </c>
    </row>
    <row r="652" spans="1:23" ht="30" customHeight="1">
      <c r="A652" s="42">
        <v>22</v>
      </c>
      <c r="B652" s="13">
        <v>6755</v>
      </c>
      <c r="C652" s="9" t="s">
        <v>1595</v>
      </c>
      <c r="D652" s="9" t="s">
        <v>678</v>
      </c>
      <c r="E652" s="66" t="s">
        <v>1551</v>
      </c>
      <c r="F652" s="44">
        <v>2600</v>
      </c>
      <c r="G652" s="44">
        <v>0</v>
      </c>
      <c r="H652" s="44">
        <v>0</v>
      </c>
      <c r="I652" s="44">
        <v>0</v>
      </c>
      <c r="J652" s="44">
        <v>0</v>
      </c>
      <c r="K652" s="44">
        <v>0</v>
      </c>
      <c r="L652" s="44">
        <v>0</v>
      </c>
      <c r="M652" s="44">
        <v>0</v>
      </c>
      <c r="N652" s="12">
        <f t="shared" si="99"/>
        <v>0</v>
      </c>
      <c r="O652" s="44">
        <v>0</v>
      </c>
      <c r="P652" s="13">
        <v>0</v>
      </c>
      <c r="Q652" s="13">
        <v>0</v>
      </c>
      <c r="R652" s="14">
        <f t="shared" si="98"/>
        <v>0</v>
      </c>
      <c r="S652" s="13">
        <f t="shared" si="100"/>
        <v>100</v>
      </c>
      <c r="T652" s="13">
        <f t="shared" si="101"/>
        <v>200</v>
      </c>
      <c r="U652" s="13" t="s">
        <v>4181</v>
      </c>
      <c r="V652" s="23" t="s">
        <v>1596</v>
      </c>
      <c r="W652" t="s">
        <v>1594</v>
      </c>
    </row>
    <row r="653" spans="1:23" ht="30" customHeight="1">
      <c r="A653" s="42">
        <v>23</v>
      </c>
      <c r="B653" s="13">
        <v>6763</v>
      </c>
      <c r="C653" s="9" t="s">
        <v>1597</v>
      </c>
      <c r="D653" s="9" t="s">
        <v>1598</v>
      </c>
      <c r="E653" s="66" t="s">
        <v>1551</v>
      </c>
      <c r="F653" s="44">
        <v>2600</v>
      </c>
      <c r="G653" s="44">
        <v>0</v>
      </c>
      <c r="H653" s="44">
        <v>0</v>
      </c>
      <c r="I653" s="44">
        <v>0</v>
      </c>
      <c r="J653" s="44">
        <v>0</v>
      </c>
      <c r="K653" s="44">
        <v>0</v>
      </c>
      <c r="L653" s="44">
        <v>0</v>
      </c>
      <c r="M653" s="44">
        <v>0</v>
      </c>
      <c r="N653" s="12">
        <f t="shared" si="99"/>
        <v>0</v>
      </c>
      <c r="O653" s="44">
        <v>0</v>
      </c>
      <c r="P653" s="13">
        <v>0</v>
      </c>
      <c r="Q653" s="13">
        <v>0</v>
      </c>
      <c r="R653" s="14">
        <f t="shared" si="98"/>
        <v>0</v>
      </c>
      <c r="S653" s="13">
        <f t="shared" si="100"/>
        <v>100</v>
      </c>
      <c r="T653" s="13">
        <f t="shared" si="101"/>
        <v>200</v>
      </c>
      <c r="U653" s="13" t="s">
        <v>4181</v>
      </c>
      <c r="V653" s="23" t="s">
        <v>1599</v>
      </c>
      <c r="W653" t="s">
        <v>1600</v>
      </c>
    </row>
    <row r="654" spans="1:23" ht="30" customHeight="1">
      <c r="A654" s="42">
        <v>24</v>
      </c>
      <c r="B654" s="13">
        <v>6803</v>
      </c>
      <c r="C654" s="9" t="s">
        <v>1601</v>
      </c>
      <c r="D654" s="9" t="s">
        <v>1122</v>
      </c>
      <c r="E654" s="66" t="s">
        <v>1551</v>
      </c>
      <c r="F654" s="13">
        <v>2600</v>
      </c>
      <c r="G654" s="13">
        <v>0</v>
      </c>
      <c r="H654" s="13">
        <v>0</v>
      </c>
      <c r="I654" s="13">
        <v>0</v>
      </c>
      <c r="J654" s="13">
        <v>0</v>
      </c>
      <c r="K654" s="13">
        <v>0</v>
      </c>
      <c r="L654" s="13">
        <v>0</v>
      </c>
      <c r="M654" s="13">
        <v>0</v>
      </c>
      <c r="N654" s="12">
        <f t="shared" si="99"/>
        <v>0</v>
      </c>
      <c r="O654" s="13">
        <v>0</v>
      </c>
      <c r="P654" s="13">
        <v>0</v>
      </c>
      <c r="Q654" s="13">
        <v>0</v>
      </c>
      <c r="R654" s="14">
        <f t="shared" si="98"/>
        <v>0</v>
      </c>
      <c r="S654" s="13">
        <f t="shared" si="100"/>
        <v>100</v>
      </c>
      <c r="T654" s="13">
        <f t="shared" si="101"/>
        <v>200</v>
      </c>
      <c r="U654" s="13" t="s">
        <v>4181</v>
      </c>
      <c r="V654" s="23" t="s">
        <v>1123</v>
      </c>
    </row>
    <row r="655" spans="1:23" ht="30" customHeight="1">
      <c r="A655" s="75">
        <v>1</v>
      </c>
      <c r="B655" s="13">
        <v>1933</v>
      </c>
      <c r="C655" s="63" t="s">
        <v>458</v>
      </c>
      <c r="D655" s="63" t="s">
        <v>1603</v>
      </c>
      <c r="E655" s="71" t="s">
        <v>1602</v>
      </c>
      <c r="F655" s="44">
        <v>2350</v>
      </c>
      <c r="G655" s="44">
        <v>0</v>
      </c>
      <c r="H655" s="44">
        <v>0</v>
      </c>
      <c r="I655" s="44">
        <v>0</v>
      </c>
      <c r="J655" s="44">
        <v>0</v>
      </c>
      <c r="K655" s="44">
        <v>0</v>
      </c>
      <c r="L655" s="44">
        <v>0</v>
      </c>
      <c r="M655" s="44">
        <v>0</v>
      </c>
      <c r="N655" s="12">
        <f t="shared" si="99"/>
        <v>0</v>
      </c>
      <c r="O655" s="44">
        <v>0</v>
      </c>
      <c r="P655" s="13">
        <v>0</v>
      </c>
      <c r="Q655" s="13">
        <v>0</v>
      </c>
      <c r="R655" s="14">
        <f t="shared" si="98"/>
        <v>0</v>
      </c>
      <c r="S655" s="13">
        <f t="shared" si="100"/>
        <v>100</v>
      </c>
      <c r="T655" s="13">
        <f t="shared" si="101"/>
        <v>200</v>
      </c>
      <c r="U655" s="13" t="s">
        <v>4181</v>
      </c>
      <c r="V655" s="29" t="s">
        <v>1604</v>
      </c>
      <c r="W655" s="80" t="s">
        <v>1605</v>
      </c>
    </row>
    <row r="656" spans="1:23" ht="30" customHeight="1">
      <c r="A656" s="75">
        <v>2</v>
      </c>
      <c r="B656" s="13">
        <v>2088</v>
      </c>
      <c r="C656" s="9" t="s">
        <v>1606</v>
      </c>
      <c r="D656" s="9" t="s">
        <v>591</v>
      </c>
      <c r="E656" s="71" t="s">
        <v>1602</v>
      </c>
      <c r="F656" s="44">
        <v>2600</v>
      </c>
      <c r="G656" s="44">
        <v>0</v>
      </c>
      <c r="H656" s="44">
        <v>0</v>
      </c>
      <c r="I656" s="44">
        <v>0</v>
      </c>
      <c r="J656" s="44">
        <v>0</v>
      </c>
      <c r="K656" s="44">
        <v>0</v>
      </c>
      <c r="L656" s="44">
        <v>0</v>
      </c>
      <c r="M656" s="44">
        <v>0</v>
      </c>
      <c r="N656" s="12">
        <f t="shared" si="99"/>
        <v>0</v>
      </c>
      <c r="O656" s="44">
        <v>2600</v>
      </c>
      <c r="P656" s="13">
        <v>0</v>
      </c>
      <c r="Q656" s="13">
        <v>0</v>
      </c>
      <c r="R656" s="14">
        <f t="shared" si="98"/>
        <v>2600</v>
      </c>
      <c r="S656" s="13">
        <f t="shared" si="100"/>
        <v>2700</v>
      </c>
      <c r="T656" s="13">
        <f t="shared" si="101"/>
        <v>2800</v>
      </c>
      <c r="U656" s="13" t="s">
        <v>4181</v>
      </c>
      <c r="V656" s="23" t="s">
        <v>592</v>
      </c>
      <c r="W656" t="s">
        <v>1607</v>
      </c>
    </row>
    <row r="657" spans="1:23" ht="30" customHeight="1">
      <c r="A657" s="75">
        <v>3</v>
      </c>
      <c r="B657" s="13">
        <v>3002</v>
      </c>
      <c r="C657" s="63" t="s">
        <v>1608</v>
      </c>
      <c r="D657" s="63" t="s">
        <v>1055</v>
      </c>
      <c r="E657" s="71" t="s">
        <v>1602</v>
      </c>
      <c r="F657" s="44">
        <v>2600</v>
      </c>
      <c r="G657" s="44">
        <v>0</v>
      </c>
      <c r="H657" s="44">
        <v>0</v>
      </c>
      <c r="I657" s="44">
        <v>0</v>
      </c>
      <c r="J657" s="44">
        <v>0</v>
      </c>
      <c r="K657" s="44">
        <v>0</v>
      </c>
      <c r="L657" s="44">
        <v>0</v>
      </c>
      <c r="M657" s="44">
        <v>0</v>
      </c>
      <c r="N657" s="12">
        <f t="shared" si="99"/>
        <v>0</v>
      </c>
      <c r="O657" s="44">
        <v>0</v>
      </c>
      <c r="P657" s="13">
        <v>0</v>
      </c>
      <c r="Q657" s="13">
        <v>0</v>
      </c>
      <c r="R657" s="14">
        <f t="shared" si="98"/>
        <v>0</v>
      </c>
      <c r="S657" s="13">
        <f t="shared" si="100"/>
        <v>100</v>
      </c>
      <c r="T657" s="13">
        <f t="shared" si="101"/>
        <v>200</v>
      </c>
      <c r="U657" s="13" t="s">
        <v>4181</v>
      </c>
      <c r="V657" s="91" t="s">
        <v>1351</v>
      </c>
    </row>
    <row r="658" spans="1:23" ht="30" customHeight="1">
      <c r="A658" s="75">
        <v>4</v>
      </c>
      <c r="B658" s="13">
        <v>3004</v>
      </c>
      <c r="C658" s="9" t="s">
        <v>1609</v>
      </c>
      <c r="D658" s="9" t="s">
        <v>96</v>
      </c>
      <c r="E658" s="71" t="s">
        <v>1602</v>
      </c>
      <c r="F658" s="44">
        <v>2400</v>
      </c>
      <c r="G658" s="44">
        <v>0</v>
      </c>
      <c r="H658" s="44">
        <v>0</v>
      </c>
      <c r="I658" s="44">
        <v>0</v>
      </c>
      <c r="J658" s="44">
        <v>0</v>
      </c>
      <c r="K658" s="44">
        <v>0</v>
      </c>
      <c r="L658" s="44">
        <v>0</v>
      </c>
      <c r="M658" s="44">
        <v>0</v>
      </c>
      <c r="N658" s="12">
        <f t="shared" si="99"/>
        <v>0</v>
      </c>
      <c r="O658" s="44">
        <v>0</v>
      </c>
      <c r="P658" s="13">
        <v>0</v>
      </c>
      <c r="Q658" s="13">
        <v>0</v>
      </c>
      <c r="R658" s="14">
        <f t="shared" si="98"/>
        <v>0</v>
      </c>
      <c r="S658" s="13">
        <f t="shared" si="100"/>
        <v>100</v>
      </c>
      <c r="T658" s="13">
        <f t="shared" si="101"/>
        <v>200</v>
      </c>
      <c r="U658" s="13" t="s">
        <v>4181</v>
      </c>
      <c r="V658" s="65" t="s">
        <v>1610</v>
      </c>
    </row>
    <row r="659" spans="1:23" ht="30" customHeight="1">
      <c r="A659" s="75">
        <v>5</v>
      </c>
      <c r="B659" s="13">
        <v>4003</v>
      </c>
      <c r="C659" s="9" t="s">
        <v>1611</v>
      </c>
      <c r="D659" s="9" t="s">
        <v>1353</v>
      </c>
      <c r="E659" s="71" t="s">
        <v>1602</v>
      </c>
      <c r="F659" s="44">
        <v>2600</v>
      </c>
      <c r="G659" s="44">
        <v>0</v>
      </c>
      <c r="H659" s="44">
        <v>0</v>
      </c>
      <c r="I659" s="44">
        <v>0</v>
      </c>
      <c r="J659" s="44">
        <v>0</v>
      </c>
      <c r="K659" s="44">
        <v>0</v>
      </c>
      <c r="L659" s="44">
        <v>0</v>
      </c>
      <c r="M659" s="44">
        <v>0</v>
      </c>
      <c r="N659" s="12">
        <f t="shared" si="99"/>
        <v>0</v>
      </c>
      <c r="O659" s="44">
        <v>0</v>
      </c>
      <c r="P659" s="13">
        <v>0</v>
      </c>
      <c r="Q659" s="13">
        <v>0</v>
      </c>
      <c r="R659" s="14">
        <f t="shared" si="98"/>
        <v>0</v>
      </c>
      <c r="S659" s="13">
        <f t="shared" si="100"/>
        <v>100</v>
      </c>
      <c r="T659" s="13">
        <f t="shared" si="101"/>
        <v>200</v>
      </c>
      <c r="U659" s="13" t="s">
        <v>4181</v>
      </c>
      <c r="V659" s="23" t="s">
        <v>1612</v>
      </c>
    </row>
    <row r="660" spans="1:23" ht="30" customHeight="1">
      <c r="A660" s="75">
        <v>6</v>
      </c>
      <c r="B660" s="13">
        <v>4004</v>
      </c>
      <c r="C660" s="9" t="s">
        <v>41</v>
      </c>
      <c r="D660" s="9" t="s">
        <v>1613</v>
      </c>
      <c r="E660" s="71" t="s">
        <v>1602</v>
      </c>
      <c r="F660" s="44">
        <v>2600</v>
      </c>
      <c r="G660" s="44">
        <v>0</v>
      </c>
      <c r="H660" s="44">
        <v>0</v>
      </c>
      <c r="I660" s="44">
        <v>0</v>
      </c>
      <c r="J660" s="44">
        <v>0</v>
      </c>
      <c r="K660" s="44">
        <v>0</v>
      </c>
      <c r="L660" s="44">
        <v>0</v>
      </c>
      <c r="M660" s="44">
        <v>0</v>
      </c>
      <c r="N660" s="12">
        <f t="shared" si="99"/>
        <v>0</v>
      </c>
      <c r="O660" s="44">
        <v>0</v>
      </c>
      <c r="P660" s="13">
        <v>0</v>
      </c>
      <c r="Q660" s="13">
        <v>0</v>
      </c>
      <c r="R660" s="14">
        <f t="shared" si="98"/>
        <v>0</v>
      </c>
      <c r="S660" s="13">
        <f t="shared" si="100"/>
        <v>100</v>
      </c>
      <c r="T660" s="13">
        <f t="shared" si="101"/>
        <v>200</v>
      </c>
      <c r="U660" s="13" t="s">
        <v>4181</v>
      </c>
      <c r="V660" s="15" t="s">
        <v>1614</v>
      </c>
    </row>
    <row r="661" spans="1:23" ht="30" customHeight="1">
      <c r="A661" s="75">
        <v>7</v>
      </c>
      <c r="B661" s="13">
        <v>4020</v>
      </c>
      <c r="C661" s="9" t="s">
        <v>1615</v>
      </c>
      <c r="D661" s="9" t="s">
        <v>1616</v>
      </c>
      <c r="E661" s="71" t="s">
        <v>1602</v>
      </c>
      <c r="F661" s="44">
        <v>1650</v>
      </c>
      <c r="G661" s="44">
        <v>0</v>
      </c>
      <c r="H661" s="44">
        <v>0</v>
      </c>
      <c r="I661" s="44">
        <v>0</v>
      </c>
      <c r="J661" s="44">
        <v>0</v>
      </c>
      <c r="K661" s="44">
        <v>0</v>
      </c>
      <c r="L661" s="44">
        <v>0</v>
      </c>
      <c r="M661" s="44">
        <v>0</v>
      </c>
      <c r="N661" s="12">
        <f t="shared" si="99"/>
        <v>0</v>
      </c>
      <c r="O661" s="44">
        <v>0</v>
      </c>
      <c r="P661" s="13">
        <v>0</v>
      </c>
      <c r="Q661" s="13">
        <v>0</v>
      </c>
      <c r="R661" s="14">
        <f t="shared" si="98"/>
        <v>0</v>
      </c>
      <c r="S661" s="13">
        <f t="shared" si="100"/>
        <v>100</v>
      </c>
      <c r="T661" s="13">
        <f t="shared" si="101"/>
        <v>200</v>
      </c>
      <c r="U661" s="13" t="s">
        <v>4181</v>
      </c>
      <c r="V661" s="23" t="s">
        <v>611</v>
      </c>
    </row>
    <row r="662" spans="1:23" ht="30" customHeight="1">
      <c r="A662" s="75">
        <v>8</v>
      </c>
      <c r="B662" s="13">
        <v>4022</v>
      </c>
      <c r="C662" s="9" t="s">
        <v>1617</v>
      </c>
      <c r="D662" s="9" t="s">
        <v>1342</v>
      </c>
      <c r="E662" s="71" t="s">
        <v>1602</v>
      </c>
      <c r="F662" s="44">
        <v>2600</v>
      </c>
      <c r="G662" s="44">
        <v>0</v>
      </c>
      <c r="H662" s="44">
        <v>0</v>
      </c>
      <c r="I662" s="44">
        <v>0</v>
      </c>
      <c r="J662" s="44">
        <v>0</v>
      </c>
      <c r="K662" s="44">
        <v>0</v>
      </c>
      <c r="L662" s="44">
        <v>0</v>
      </c>
      <c r="M662" s="44">
        <v>0</v>
      </c>
      <c r="N662" s="12">
        <f t="shared" si="99"/>
        <v>0</v>
      </c>
      <c r="O662" s="44">
        <v>0</v>
      </c>
      <c r="P662" s="13">
        <v>0</v>
      </c>
      <c r="Q662" s="13">
        <v>0</v>
      </c>
      <c r="R662" s="14">
        <f t="shared" si="98"/>
        <v>0</v>
      </c>
      <c r="S662" s="13">
        <f t="shared" si="100"/>
        <v>100</v>
      </c>
      <c r="T662" s="13">
        <f t="shared" si="101"/>
        <v>200</v>
      </c>
      <c r="U662" s="13" t="s">
        <v>4181</v>
      </c>
      <c r="V662" s="15" t="s">
        <v>1618</v>
      </c>
    </row>
    <row r="663" spans="1:23" ht="30" customHeight="1">
      <c r="A663" s="75">
        <v>9</v>
      </c>
      <c r="B663" s="13">
        <v>4048</v>
      </c>
      <c r="C663" s="9" t="s">
        <v>1619</v>
      </c>
      <c r="D663" s="9" t="s">
        <v>1620</v>
      </c>
      <c r="E663" s="71" t="s">
        <v>1602</v>
      </c>
      <c r="F663" s="44">
        <v>2600</v>
      </c>
      <c r="G663" s="44">
        <v>0</v>
      </c>
      <c r="H663" s="44">
        <v>0</v>
      </c>
      <c r="I663" s="44">
        <v>0</v>
      </c>
      <c r="J663" s="44">
        <v>0</v>
      </c>
      <c r="K663" s="44">
        <v>0</v>
      </c>
      <c r="L663" s="44">
        <v>0</v>
      </c>
      <c r="M663" s="44">
        <v>0</v>
      </c>
      <c r="N663" s="12">
        <f t="shared" si="99"/>
        <v>0</v>
      </c>
      <c r="O663" s="44">
        <v>0</v>
      </c>
      <c r="P663" s="13">
        <v>0</v>
      </c>
      <c r="Q663" s="13">
        <v>0</v>
      </c>
      <c r="R663" s="14">
        <f t="shared" si="98"/>
        <v>0</v>
      </c>
      <c r="S663" s="13">
        <f t="shared" si="100"/>
        <v>100</v>
      </c>
      <c r="T663" s="13">
        <f t="shared" si="101"/>
        <v>200</v>
      </c>
      <c r="U663" s="13" t="s">
        <v>4181</v>
      </c>
      <c r="V663" s="72" t="s">
        <v>1621</v>
      </c>
    </row>
    <row r="664" spans="1:23" ht="30" customHeight="1">
      <c r="A664" s="75">
        <v>10</v>
      </c>
      <c r="B664" s="13">
        <v>4074</v>
      </c>
      <c r="C664" s="9" t="s">
        <v>181</v>
      </c>
      <c r="D664" s="9" t="s">
        <v>1622</v>
      </c>
      <c r="E664" s="71" t="s">
        <v>1602</v>
      </c>
      <c r="F664" s="44">
        <v>2600</v>
      </c>
      <c r="G664" s="44">
        <v>0</v>
      </c>
      <c r="H664" s="44">
        <v>0</v>
      </c>
      <c r="I664" s="44">
        <v>0</v>
      </c>
      <c r="J664" s="44">
        <v>0</v>
      </c>
      <c r="K664" s="44">
        <v>0</v>
      </c>
      <c r="L664" s="44">
        <v>0</v>
      </c>
      <c r="M664" s="44">
        <v>0</v>
      </c>
      <c r="N664" s="12">
        <f t="shared" si="99"/>
        <v>0</v>
      </c>
      <c r="O664" s="44">
        <v>0</v>
      </c>
      <c r="P664" s="13">
        <v>0</v>
      </c>
      <c r="Q664" s="13">
        <v>0</v>
      </c>
      <c r="R664" s="14">
        <f t="shared" si="98"/>
        <v>0</v>
      </c>
      <c r="S664" s="13">
        <f t="shared" si="100"/>
        <v>100</v>
      </c>
      <c r="T664" s="13">
        <f t="shared" si="101"/>
        <v>200</v>
      </c>
      <c r="U664" s="13" t="s">
        <v>4181</v>
      </c>
      <c r="V664" s="15" t="s">
        <v>1623</v>
      </c>
      <c r="W664" t="s">
        <v>4171</v>
      </c>
    </row>
    <row r="665" spans="1:23" ht="30" customHeight="1">
      <c r="A665" s="75">
        <v>11</v>
      </c>
      <c r="B665" s="13">
        <v>4084</v>
      </c>
      <c r="C665" s="9" t="s">
        <v>1624</v>
      </c>
      <c r="D665" s="9" t="s">
        <v>1625</v>
      </c>
      <c r="E665" s="71" t="s">
        <v>1602</v>
      </c>
      <c r="F665" s="44">
        <v>2500</v>
      </c>
      <c r="G665" s="44">
        <v>0</v>
      </c>
      <c r="H665" s="44">
        <v>0</v>
      </c>
      <c r="I665" s="44">
        <v>0</v>
      </c>
      <c r="J665" s="44">
        <v>0</v>
      </c>
      <c r="K665" s="44">
        <v>0</v>
      </c>
      <c r="L665" s="44">
        <v>0</v>
      </c>
      <c r="M665" s="44">
        <v>0</v>
      </c>
      <c r="N665" s="12">
        <f t="shared" si="99"/>
        <v>0</v>
      </c>
      <c r="O665" s="44">
        <v>0</v>
      </c>
      <c r="P665" s="13">
        <v>0</v>
      </c>
      <c r="Q665" s="13">
        <v>0</v>
      </c>
      <c r="R665" s="14">
        <f t="shared" si="98"/>
        <v>0</v>
      </c>
      <c r="S665" s="13">
        <f t="shared" si="100"/>
        <v>100</v>
      </c>
      <c r="T665" s="13">
        <f t="shared" si="101"/>
        <v>200</v>
      </c>
      <c r="U665" s="13" t="s">
        <v>4181</v>
      </c>
      <c r="V665" s="15" t="s">
        <v>1626</v>
      </c>
      <c r="W665" t="s">
        <v>1627</v>
      </c>
    </row>
    <row r="666" spans="1:23" ht="30" customHeight="1">
      <c r="A666" s="75">
        <v>12</v>
      </c>
      <c r="B666" s="75">
        <v>4212</v>
      </c>
      <c r="C666" s="9" t="s">
        <v>1628</v>
      </c>
      <c r="D666" s="9" t="s">
        <v>447</v>
      </c>
      <c r="E666" s="71" t="s">
        <v>1602</v>
      </c>
      <c r="F666" s="44">
        <v>2600</v>
      </c>
      <c r="G666" s="44">
        <v>0</v>
      </c>
      <c r="H666" s="44">
        <v>0</v>
      </c>
      <c r="I666" s="44">
        <v>0</v>
      </c>
      <c r="J666" s="44">
        <v>0</v>
      </c>
      <c r="K666" s="44">
        <v>0</v>
      </c>
      <c r="L666" s="44">
        <v>0</v>
      </c>
      <c r="M666" s="44">
        <v>0</v>
      </c>
      <c r="N666" s="12">
        <f t="shared" si="99"/>
        <v>0</v>
      </c>
      <c r="O666" s="44">
        <v>2600</v>
      </c>
      <c r="P666" s="13">
        <v>0</v>
      </c>
      <c r="Q666" s="13">
        <v>0</v>
      </c>
      <c r="R666" s="14">
        <f t="shared" si="98"/>
        <v>2600</v>
      </c>
      <c r="S666" s="13">
        <f t="shared" si="100"/>
        <v>2700</v>
      </c>
      <c r="T666" s="13">
        <f t="shared" si="101"/>
        <v>2800</v>
      </c>
      <c r="U666" s="13" t="s">
        <v>4181</v>
      </c>
      <c r="V666" s="72" t="s">
        <v>1629</v>
      </c>
    </row>
    <row r="667" spans="1:23" ht="30" customHeight="1">
      <c r="A667" s="75">
        <v>13</v>
      </c>
      <c r="B667" s="13">
        <v>4297</v>
      </c>
      <c r="C667" s="9" t="s">
        <v>565</v>
      </c>
      <c r="D667" s="9" t="s">
        <v>1348</v>
      </c>
      <c r="E667" s="71" t="s">
        <v>1602</v>
      </c>
      <c r="F667" s="44">
        <v>2600</v>
      </c>
      <c r="G667" s="44">
        <v>0</v>
      </c>
      <c r="H667" s="44">
        <v>0</v>
      </c>
      <c r="I667" s="44">
        <v>0</v>
      </c>
      <c r="J667" s="44">
        <v>0</v>
      </c>
      <c r="K667" s="44">
        <v>0</v>
      </c>
      <c r="L667" s="44">
        <v>0</v>
      </c>
      <c r="M667" s="44">
        <v>0</v>
      </c>
      <c r="N667" s="12">
        <f t="shared" si="99"/>
        <v>0</v>
      </c>
      <c r="O667" s="44">
        <v>0</v>
      </c>
      <c r="P667" s="13">
        <v>0</v>
      </c>
      <c r="Q667" s="13">
        <v>0</v>
      </c>
      <c r="R667" s="14">
        <f t="shared" si="98"/>
        <v>0</v>
      </c>
      <c r="S667" s="13">
        <f t="shared" si="100"/>
        <v>100</v>
      </c>
      <c r="T667" s="13">
        <f t="shared" si="101"/>
        <v>200</v>
      </c>
      <c r="U667" s="13" t="s">
        <v>4181</v>
      </c>
      <c r="V667" s="72" t="s">
        <v>1349</v>
      </c>
    </row>
    <row r="668" spans="1:23" ht="30" customHeight="1">
      <c r="A668" s="75">
        <v>14</v>
      </c>
      <c r="B668" s="13">
        <v>4298</v>
      </c>
      <c r="C668" s="9" t="s">
        <v>1630</v>
      </c>
      <c r="D668" s="9" t="s">
        <v>1431</v>
      </c>
      <c r="E668" s="71" t="s">
        <v>1602</v>
      </c>
      <c r="F668" s="44">
        <v>2600</v>
      </c>
      <c r="G668" s="44">
        <v>0</v>
      </c>
      <c r="H668" s="44">
        <v>0</v>
      </c>
      <c r="I668" s="44">
        <v>0</v>
      </c>
      <c r="J668" s="44">
        <v>0</v>
      </c>
      <c r="K668" s="44">
        <v>0</v>
      </c>
      <c r="L668" s="44">
        <v>0</v>
      </c>
      <c r="M668" s="44">
        <v>0</v>
      </c>
      <c r="N668" s="12">
        <f t="shared" si="99"/>
        <v>0</v>
      </c>
      <c r="O668" s="44">
        <v>0</v>
      </c>
      <c r="P668" s="13">
        <v>0</v>
      </c>
      <c r="Q668" s="13">
        <v>0</v>
      </c>
      <c r="R668" s="14">
        <f t="shared" si="98"/>
        <v>0</v>
      </c>
      <c r="S668" s="13">
        <f t="shared" si="100"/>
        <v>100</v>
      </c>
      <c r="T668" s="13">
        <f t="shared" si="101"/>
        <v>200</v>
      </c>
      <c r="U668" s="13" t="s">
        <v>4181</v>
      </c>
      <c r="V668" s="72" t="s">
        <v>226</v>
      </c>
    </row>
    <row r="669" spans="1:23" ht="30" customHeight="1">
      <c r="A669" s="75">
        <v>15</v>
      </c>
      <c r="B669" s="13">
        <v>4471</v>
      </c>
      <c r="C669" s="9" t="s">
        <v>1631</v>
      </c>
      <c r="D669" s="9" t="s">
        <v>1146</v>
      </c>
      <c r="E669" s="71" t="s">
        <v>1602</v>
      </c>
      <c r="F669" s="44">
        <v>2600</v>
      </c>
      <c r="G669" s="44">
        <v>0</v>
      </c>
      <c r="H669" s="44">
        <v>0</v>
      </c>
      <c r="I669" s="44">
        <v>0</v>
      </c>
      <c r="J669" s="44">
        <v>0</v>
      </c>
      <c r="K669" s="44">
        <v>0</v>
      </c>
      <c r="L669" s="44">
        <v>0</v>
      </c>
      <c r="M669" s="44">
        <v>0</v>
      </c>
      <c r="N669" s="12">
        <f t="shared" si="99"/>
        <v>0</v>
      </c>
      <c r="O669" s="44">
        <v>0</v>
      </c>
      <c r="P669" s="13">
        <v>0</v>
      </c>
      <c r="Q669" s="13">
        <v>0</v>
      </c>
      <c r="R669" s="14">
        <f t="shared" si="98"/>
        <v>0</v>
      </c>
      <c r="S669" s="13">
        <f t="shared" si="100"/>
        <v>100</v>
      </c>
      <c r="T669" s="13">
        <f t="shared" si="101"/>
        <v>200</v>
      </c>
      <c r="U669" s="13" t="s">
        <v>4181</v>
      </c>
      <c r="V669" s="72" t="s">
        <v>1632</v>
      </c>
    </row>
    <row r="670" spans="1:23" ht="30" customHeight="1">
      <c r="A670" s="75">
        <v>16</v>
      </c>
      <c r="B670" s="13">
        <v>4488</v>
      </c>
      <c r="C670" s="9" t="s">
        <v>1633</v>
      </c>
      <c r="D670" s="9" t="s">
        <v>1634</v>
      </c>
      <c r="E670" s="71" t="s">
        <v>1602</v>
      </c>
      <c r="F670" s="44">
        <v>1700</v>
      </c>
      <c r="G670" s="44">
        <v>0</v>
      </c>
      <c r="H670" s="44">
        <v>0</v>
      </c>
      <c r="I670" s="44">
        <v>0</v>
      </c>
      <c r="J670" s="44">
        <v>0</v>
      </c>
      <c r="K670" s="44">
        <v>0</v>
      </c>
      <c r="L670" s="44">
        <v>0</v>
      </c>
      <c r="M670" s="44">
        <v>0</v>
      </c>
      <c r="N670" s="12">
        <f t="shared" si="99"/>
        <v>0</v>
      </c>
      <c r="O670" s="44">
        <v>1700</v>
      </c>
      <c r="P670" s="13">
        <v>0</v>
      </c>
      <c r="Q670" s="13">
        <v>3000</v>
      </c>
      <c r="R670" s="14">
        <f t="shared" si="98"/>
        <v>4700</v>
      </c>
      <c r="S670" s="13">
        <f t="shared" si="100"/>
        <v>4800</v>
      </c>
      <c r="T670" s="13">
        <f t="shared" si="101"/>
        <v>4900</v>
      </c>
      <c r="U670" s="13" t="s">
        <v>4181</v>
      </c>
      <c r="V670" s="83" t="s">
        <v>1635</v>
      </c>
    </row>
    <row r="671" spans="1:23" ht="30" customHeight="1">
      <c r="A671" s="75">
        <v>17</v>
      </c>
      <c r="B671" s="13">
        <v>4638</v>
      </c>
      <c r="C671" s="92" t="s">
        <v>1636</v>
      </c>
      <c r="D671" s="63" t="s">
        <v>1637</v>
      </c>
      <c r="E671" s="71" t="s">
        <v>1602</v>
      </c>
      <c r="F671" s="44">
        <v>2200</v>
      </c>
      <c r="G671" s="44">
        <v>0</v>
      </c>
      <c r="H671" s="44">
        <v>0</v>
      </c>
      <c r="I671" s="44">
        <v>0</v>
      </c>
      <c r="J671" s="44">
        <v>0</v>
      </c>
      <c r="K671" s="44">
        <v>0</v>
      </c>
      <c r="L671" s="44">
        <v>0</v>
      </c>
      <c r="M671" s="44">
        <v>0</v>
      </c>
      <c r="N671" s="12">
        <f t="shared" si="99"/>
        <v>0</v>
      </c>
      <c r="O671" s="44">
        <v>2200</v>
      </c>
      <c r="P671" s="60">
        <v>0</v>
      </c>
      <c r="Q671" s="13">
        <v>0</v>
      </c>
      <c r="R671" s="14">
        <f t="shared" si="98"/>
        <v>2200</v>
      </c>
      <c r="S671" s="13">
        <f t="shared" si="100"/>
        <v>2300</v>
      </c>
      <c r="T671" s="13">
        <f t="shared" si="101"/>
        <v>2400</v>
      </c>
      <c r="U671" s="13" t="s">
        <v>4181</v>
      </c>
      <c r="V671" s="88" t="s">
        <v>1638</v>
      </c>
    </row>
    <row r="672" spans="1:23" ht="30" customHeight="1">
      <c r="A672" s="75">
        <v>18</v>
      </c>
      <c r="B672" s="13">
        <v>4700</v>
      </c>
      <c r="C672" s="63" t="s">
        <v>1639</v>
      </c>
      <c r="D672" s="63" t="s">
        <v>1055</v>
      </c>
      <c r="E672" s="71" t="s">
        <v>1602</v>
      </c>
      <c r="F672" s="44">
        <v>2300</v>
      </c>
      <c r="G672" s="44">
        <v>0</v>
      </c>
      <c r="H672" s="44">
        <v>0</v>
      </c>
      <c r="I672" s="44">
        <v>0</v>
      </c>
      <c r="J672" s="44">
        <v>0</v>
      </c>
      <c r="K672" s="44">
        <v>0</v>
      </c>
      <c r="L672" s="44">
        <v>0</v>
      </c>
      <c r="M672" s="44">
        <v>0</v>
      </c>
      <c r="N672" s="12">
        <f t="shared" si="99"/>
        <v>0</v>
      </c>
      <c r="O672" s="44">
        <v>0</v>
      </c>
      <c r="P672" s="13">
        <v>0</v>
      </c>
      <c r="Q672" s="13">
        <v>0</v>
      </c>
      <c r="R672" s="14">
        <f t="shared" si="98"/>
        <v>0</v>
      </c>
      <c r="S672" s="13">
        <f t="shared" si="100"/>
        <v>100</v>
      </c>
      <c r="T672" s="13">
        <f t="shared" si="101"/>
        <v>200</v>
      </c>
      <c r="U672" s="13" t="s">
        <v>4181</v>
      </c>
      <c r="V672" s="79" t="s">
        <v>1056</v>
      </c>
    </row>
    <row r="673" spans="1:23" ht="30" customHeight="1">
      <c r="A673" s="75">
        <v>19</v>
      </c>
      <c r="B673" s="13">
        <v>4741</v>
      </c>
      <c r="C673" s="9" t="s">
        <v>1640</v>
      </c>
      <c r="D673" s="9" t="s">
        <v>1448</v>
      </c>
      <c r="E673" s="71" t="s">
        <v>1602</v>
      </c>
      <c r="F673" s="44">
        <v>2600</v>
      </c>
      <c r="G673" s="44">
        <v>0</v>
      </c>
      <c r="H673" s="44">
        <v>0</v>
      </c>
      <c r="I673" s="44">
        <v>0</v>
      </c>
      <c r="J673" s="44">
        <v>0</v>
      </c>
      <c r="K673" s="44">
        <v>0</v>
      </c>
      <c r="L673" s="44">
        <v>0</v>
      </c>
      <c r="M673" s="44">
        <v>0</v>
      </c>
      <c r="N673" s="12">
        <f t="shared" si="99"/>
        <v>0</v>
      </c>
      <c r="O673" s="44">
        <v>0</v>
      </c>
      <c r="P673" s="13">
        <v>0</v>
      </c>
      <c r="Q673" s="13">
        <v>0</v>
      </c>
      <c r="R673" s="14">
        <f t="shared" si="98"/>
        <v>0</v>
      </c>
      <c r="S673" s="13">
        <f t="shared" si="100"/>
        <v>100</v>
      </c>
      <c r="T673" s="13">
        <f t="shared" si="101"/>
        <v>200</v>
      </c>
      <c r="U673" s="13" t="s">
        <v>4181</v>
      </c>
      <c r="V673" s="72" t="s">
        <v>1163</v>
      </c>
    </row>
    <row r="674" spans="1:23" ht="30" customHeight="1">
      <c r="A674" s="75">
        <v>20</v>
      </c>
      <c r="B674" s="13">
        <v>4890</v>
      </c>
      <c r="C674" s="63" t="s">
        <v>1641</v>
      </c>
      <c r="D674" s="63" t="s">
        <v>233</v>
      </c>
      <c r="E674" s="71" t="s">
        <v>1602</v>
      </c>
      <c r="F674" s="44">
        <v>2600</v>
      </c>
      <c r="G674" s="44">
        <v>0</v>
      </c>
      <c r="H674" s="44">
        <v>0</v>
      </c>
      <c r="I674" s="44">
        <v>0</v>
      </c>
      <c r="J674" s="44">
        <v>0</v>
      </c>
      <c r="K674" s="44">
        <v>0</v>
      </c>
      <c r="L674" s="44">
        <v>0</v>
      </c>
      <c r="M674" s="44">
        <v>0</v>
      </c>
      <c r="N674" s="12">
        <f t="shared" si="99"/>
        <v>0</v>
      </c>
      <c r="O674" s="44">
        <v>0</v>
      </c>
      <c r="P674" s="13">
        <v>0</v>
      </c>
      <c r="Q674" s="13">
        <v>0</v>
      </c>
      <c r="R674" s="14">
        <f t="shared" si="98"/>
        <v>0</v>
      </c>
      <c r="S674" s="13">
        <f t="shared" si="100"/>
        <v>100</v>
      </c>
      <c r="T674" s="13">
        <f t="shared" si="101"/>
        <v>200</v>
      </c>
      <c r="U674" s="13" t="s">
        <v>4181</v>
      </c>
      <c r="V674" s="51" t="s">
        <v>1642</v>
      </c>
    </row>
    <row r="675" spans="1:23" ht="30" customHeight="1">
      <c r="A675" s="75">
        <v>21</v>
      </c>
      <c r="B675" s="13">
        <v>4928</v>
      </c>
      <c r="C675" s="9" t="s">
        <v>1643</v>
      </c>
      <c r="D675" s="9" t="s">
        <v>1620</v>
      </c>
      <c r="E675" s="71" t="s">
        <v>1602</v>
      </c>
      <c r="F675" s="44">
        <v>0</v>
      </c>
      <c r="G675" s="44">
        <v>0</v>
      </c>
      <c r="H675" s="44">
        <v>0</v>
      </c>
      <c r="I675" s="44">
        <v>0</v>
      </c>
      <c r="J675" s="44">
        <v>0</v>
      </c>
      <c r="K675" s="44">
        <v>0</v>
      </c>
      <c r="L675" s="44">
        <v>0</v>
      </c>
      <c r="M675" s="44">
        <v>0</v>
      </c>
      <c r="N675" s="12">
        <f t="shared" si="99"/>
        <v>0</v>
      </c>
      <c r="O675" s="44">
        <v>0</v>
      </c>
      <c r="P675" s="13">
        <v>0</v>
      </c>
      <c r="Q675" s="13">
        <v>0</v>
      </c>
      <c r="R675" s="14">
        <f t="shared" si="98"/>
        <v>0</v>
      </c>
      <c r="S675" s="13">
        <f t="shared" si="100"/>
        <v>100</v>
      </c>
      <c r="T675" s="13">
        <f t="shared" si="101"/>
        <v>200</v>
      </c>
      <c r="U675" s="13" t="s">
        <v>4181</v>
      </c>
      <c r="V675" s="24" t="s">
        <v>1644</v>
      </c>
    </row>
    <row r="676" spans="1:23" ht="30" customHeight="1">
      <c r="A676" s="75">
        <v>22</v>
      </c>
      <c r="B676" s="13">
        <v>5023</v>
      </c>
      <c r="C676" s="63" t="s">
        <v>1645</v>
      </c>
      <c r="D676" s="63" t="s">
        <v>1379</v>
      </c>
      <c r="E676" s="71" t="s">
        <v>1602</v>
      </c>
      <c r="F676" s="44">
        <v>2600</v>
      </c>
      <c r="G676" s="44">
        <v>0</v>
      </c>
      <c r="H676" s="44">
        <v>0</v>
      </c>
      <c r="I676" s="44">
        <v>0</v>
      </c>
      <c r="J676" s="44">
        <v>0</v>
      </c>
      <c r="K676" s="44">
        <v>0</v>
      </c>
      <c r="L676" s="44">
        <v>0</v>
      </c>
      <c r="M676" s="44">
        <v>0</v>
      </c>
      <c r="N676" s="12">
        <f t="shared" si="99"/>
        <v>0</v>
      </c>
      <c r="O676" s="44">
        <v>2600</v>
      </c>
      <c r="P676" s="13">
        <v>0</v>
      </c>
      <c r="Q676" s="13">
        <v>3000</v>
      </c>
      <c r="R676" s="14">
        <f t="shared" si="98"/>
        <v>5600</v>
      </c>
      <c r="S676" s="13">
        <f t="shared" si="100"/>
        <v>5700</v>
      </c>
      <c r="T676" s="13">
        <f t="shared" si="101"/>
        <v>5800</v>
      </c>
      <c r="U676" s="13" t="s">
        <v>4181</v>
      </c>
      <c r="V676" s="29" t="s">
        <v>1646</v>
      </c>
    </row>
    <row r="677" spans="1:23" ht="30" customHeight="1">
      <c r="A677" s="75">
        <v>23</v>
      </c>
      <c r="B677" s="13">
        <v>6020</v>
      </c>
      <c r="C677" s="9" t="s">
        <v>31</v>
      </c>
      <c r="D677" s="63" t="s">
        <v>918</v>
      </c>
      <c r="E677" s="71" t="s">
        <v>1602</v>
      </c>
      <c r="F677" s="44">
        <v>2600</v>
      </c>
      <c r="G677" s="44">
        <v>0</v>
      </c>
      <c r="H677" s="44">
        <v>0</v>
      </c>
      <c r="I677" s="44">
        <v>0</v>
      </c>
      <c r="J677" s="44">
        <v>0</v>
      </c>
      <c r="K677" s="44">
        <v>0</v>
      </c>
      <c r="L677" s="44">
        <v>0</v>
      </c>
      <c r="M677" s="44">
        <v>0</v>
      </c>
      <c r="N677" s="12">
        <f t="shared" si="99"/>
        <v>0</v>
      </c>
      <c r="O677" s="44">
        <v>0</v>
      </c>
      <c r="P677" s="13">
        <v>0</v>
      </c>
      <c r="Q677" s="13">
        <v>0</v>
      </c>
      <c r="R677" s="14">
        <f t="shared" si="98"/>
        <v>0</v>
      </c>
      <c r="S677" s="13">
        <f t="shared" si="100"/>
        <v>100</v>
      </c>
      <c r="T677" s="13">
        <f t="shared" si="101"/>
        <v>200</v>
      </c>
      <c r="U677" s="13" t="s">
        <v>4181</v>
      </c>
      <c r="V677" s="51" t="s">
        <v>919</v>
      </c>
    </row>
    <row r="678" spans="1:23" ht="30" customHeight="1">
      <c r="A678" s="75">
        <v>24</v>
      </c>
      <c r="B678" s="13">
        <v>6042</v>
      </c>
      <c r="C678" s="9" t="s">
        <v>1244</v>
      </c>
      <c r="D678" s="63" t="s">
        <v>1647</v>
      </c>
      <c r="E678" s="71" t="s">
        <v>1602</v>
      </c>
      <c r="F678" s="44">
        <v>2600</v>
      </c>
      <c r="G678" s="44">
        <v>0</v>
      </c>
      <c r="H678" s="44">
        <v>0</v>
      </c>
      <c r="I678" s="44">
        <v>0</v>
      </c>
      <c r="J678" s="44">
        <v>0</v>
      </c>
      <c r="K678" s="44">
        <v>0</v>
      </c>
      <c r="L678" s="44">
        <v>0</v>
      </c>
      <c r="M678" s="44">
        <v>0</v>
      </c>
      <c r="N678" s="12">
        <f t="shared" si="99"/>
        <v>0</v>
      </c>
      <c r="O678" s="44">
        <v>0</v>
      </c>
      <c r="P678" s="13">
        <v>0</v>
      </c>
      <c r="Q678" s="13">
        <v>0</v>
      </c>
      <c r="R678" s="14">
        <f t="shared" si="98"/>
        <v>0</v>
      </c>
      <c r="S678" s="13">
        <f t="shared" si="100"/>
        <v>100</v>
      </c>
      <c r="T678" s="13">
        <f t="shared" si="101"/>
        <v>200</v>
      </c>
      <c r="U678" s="13" t="s">
        <v>4181</v>
      </c>
      <c r="V678" s="51" t="s">
        <v>1648</v>
      </c>
    </row>
    <row r="679" spans="1:23" ht="30" customHeight="1">
      <c r="A679" s="75">
        <v>25</v>
      </c>
      <c r="B679" s="13">
        <v>6102</v>
      </c>
      <c r="C679" s="9" t="s">
        <v>1649</v>
      </c>
      <c r="D679" s="63" t="s">
        <v>1650</v>
      </c>
      <c r="E679" s="71" t="s">
        <v>1602</v>
      </c>
      <c r="F679" s="44">
        <v>2600</v>
      </c>
      <c r="G679" s="44">
        <v>0</v>
      </c>
      <c r="H679" s="44">
        <v>0</v>
      </c>
      <c r="I679" s="44">
        <v>0</v>
      </c>
      <c r="J679" s="44">
        <v>0</v>
      </c>
      <c r="K679" s="44">
        <v>0</v>
      </c>
      <c r="L679" s="44">
        <v>0</v>
      </c>
      <c r="M679" s="44">
        <v>0</v>
      </c>
      <c r="N679" s="12">
        <f t="shared" si="99"/>
        <v>0</v>
      </c>
      <c r="O679" s="44">
        <v>0</v>
      </c>
      <c r="P679" s="13">
        <v>0</v>
      </c>
      <c r="Q679" s="13">
        <v>0</v>
      </c>
      <c r="R679" s="14">
        <f t="shared" si="98"/>
        <v>0</v>
      </c>
      <c r="S679" s="13">
        <f t="shared" si="100"/>
        <v>100</v>
      </c>
      <c r="T679" s="13">
        <f t="shared" si="101"/>
        <v>200</v>
      </c>
      <c r="U679" s="13" t="s">
        <v>4181</v>
      </c>
      <c r="V679" s="51"/>
      <c r="W679" s="80"/>
    </row>
    <row r="680" spans="1:23" ht="30" customHeight="1">
      <c r="A680" s="75">
        <v>26</v>
      </c>
      <c r="B680" s="13">
        <v>6163</v>
      </c>
      <c r="C680" s="9" t="s">
        <v>1651</v>
      </c>
      <c r="D680" s="63" t="s">
        <v>1652</v>
      </c>
      <c r="E680" s="71" t="s">
        <v>1602</v>
      </c>
      <c r="F680" s="44">
        <v>2600</v>
      </c>
      <c r="G680" s="44">
        <v>0</v>
      </c>
      <c r="H680" s="44">
        <v>0</v>
      </c>
      <c r="I680" s="44">
        <v>0</v>
      </c>
      <c r="J680" s="44">
        <v>0</v>
      </c>
      <c r="K680" s="44">
        <v>0</v>
      </c>
      <c r="L680" s="44">
        <v>0</v>
      </c>
      <c r="M680" s="44">
        <v>0</v>
      </c>
      <c r="N680" s="12">
        <f t="shared" si="99"/>
        <v>0</v>
      </c>
      <c r="O680" s="44">
        <v>0</v>
      </c>
      <c r="P680" s="13">
        <v>0</v>
      </c>
      <c r="Q680" s="13">
        <v>0</v>
      </c>
      <c r="R680" s="14">
        <f t="shared" si="98"/>
        <v>0</v>
      </c>
      <c r="S680" s="13">
        <f t="shared" si="100"/>
        <v>100</v>
      </c>
      <c r="T680" s="13">
        <f t="shared" si="101"/>
        <v>200</v>
      </c>
      <c r="U680" s="13" t="s">
        <v>4181</v>
      </c>
      <c r="V680" s="51" t="s">
        <v>1653</v>
      </c>
      <c r="W680" s="80"/>
    </row>
    <row r="681" spans="1:23" ht="30" customHeight="1">
      <c r="A681" s="75">
        <v>27</v>
      </c>
      <c r="B681" s="13">
        <v>6335</v>
      </c>
      <c r="C681" s="63" t="s">
        <v>1657</v>
      </c>
      <c r="D681" s="63" t="s">
        <v>1658</v>
      </c>
      <c r="E681" s="71" t="s">
        <v>1602</v>
      </c>
      <c r="F681" s="44">
        <v>2600</v>
      </c>
      <c r="G681" s="44">
        <v>0</v>
      </c>
      <c r="H681" s="44">
        <v>0</v>
      </c>
      <c r="I681" s="44">
        <v>0</v>
      </c>
      <c r="J681" s="44">
        <v>0</v>
      </c>
      <c r="K681" s="44">
        <v>0</v>
      </c>
      <c r="L681" s="44">
        <v>0</v>
      </c>
      <c r="M681" s="44">
        <v>0</v>
      </c>
      <c r="N681" s="12">
        <f t="shared" si="99"/>
        <v>0</v>
      </c>
      <c r="O681" s="44">
        <v>2600</v>
      </c>
      <c r="P681" s="13">
        <v>0</v>
      </c>
      <c r="Q681" s="13">
        <v>0</v>
      </c>
      <c r="R681" s="14">
        <f t="shared" si="98"/>
        <v>2600</v>
      </c>
      <c r="S681" s="13">
        <f t="shared" si="100"/>
        <v>2700</v>
      </c>
      <c r="T681" s="13">
        <f t="shared" si="101"/>
        <v>2800</v>
      </c>
      <c r="U681" s="13" t="s">
        <v>4181</v>
      </c>
      <c r="V681" s="29" t="s">
        <v>1659</v>
      </c>
    </row>
    <row r="682" spans="1:23" ht="30" customHeight="1">
      <c r="A682" s="75">
        <v>28</v>
      </c>
      <c r="B682" s="13">
        <v>6441</v>
      </c>
      <c r="C682" s="9" t="s">
        <v>166</v>
      </c>
      <c r="D682" s="9" t="s">
        <v>977</v>
      </c>
      <c r="E682" s="71" t="s">
        <v>1602</v>
      </c>
      <c r="F682" s="13">
        <v>1600</v>
      </c>
      <c r="G682" s="13">
        <v>0</v>
      </c>
      <c r="H682" s="13">
        <v>0</v>
      </c>
      <c r="I682" s="13">
        <v>0</v>
      </c>
      <c r="J682" s="13">
        <v>0</v>
      </c>
      <c r="K682" s="13">
        <v>0</v>
      </c>
      <c r="L682" s="13">
        <v>0</v>
      </c>
      <c r="M682" s="13">
        <v>0</v>
      </c>
      <c r="N682" s="12">
        <f t="shared" si="99"/>
        <v>0</v>
      </c>
      <c r="O682" s="13">
        <v>150</v>
      </c>
      <c r="P682" s="13">
        <v>0</v>
      </c>
      <c r="Q682" s="13">
        <v>0</v>
      </c>
      <c r="R682" s="14">
        <f t="shared" si="98"/>
        <v>150</v>
      </c>
      <c r="S682" s="13">
        <f t="shared" si="100"/>
        <v>250</v>
      </c>
      <c r="T682" s="13">
        <f t="shared" si="101"/>
        <v>350</v>
      </c>
      <c r="U682" s="13" t="s">
        <v>4181</v>
      </c>
      <c r="V682" s="23" t="s">
        <v>1660</v>
      </c>
    </row>
    <row r="683" spans="1:23" ht="30" customHeight="1">
      <c r="A683" s="75">
        <v>29</v>
      </c>
      <c r="B683" s="13">
        <v>6444</v>
      </c>
      <c r="C683" s="63" t="s">
        <v>1661</v>
      </c>
      <c r="D683" s="63" t="s">
        <v>1662</v>
      </c>
      <c r="E683" s="71" t="s">
        <v>1602</v>
      </c>
      <c r="F683" s="44">
        <v>1800</v>
      </c>
      <c r="G683" s="44">
        <v>0</v>
      </c>
      <c r="H683" s="44">
        <v>0</v>
      </c>
      <c r="I683" s="44">
        <v>0</v>
      </c>
      <c r="J683" s="44">
        <v>0</v>
      </c>
      <c r="K683" s="44">
        <v>0</v>
      </c>
      <c r="L683" s="44">
        <v>0</v>
      </c>
      <c r="M683" s="44">
        <v>0</v>
      </c>
      <c r="N683" s="12">
        <f t="shared" si="99"/>
        <v>0</v>
      </c>
      <c r="O683" s="44">
        <v>1800</v>
      </c>
      <c r="P683" s="13">
        <v>0</v>
      </c>
      <c r="Q683" s="13">
        <v>0</v>
      </c>
      <c r="R683" s="14">
        <f t="shared" si="98"/>
        <v>1800</v>
      </c>
      <c r="S683" s="13">
        <f t="shared" si="100"/>
        <v>1900</v>
      </c>
      <c r="T683" s="13">
        <f t="shared" si="101"/>
        <v>2000</v>
      </c>
      <c r="U683" s="13" t="s">
        <v>4181</v>
      </c>
      <c r="V683" s="29" t="s">
        <v>1663</v>
      </c>
    </row>
    <row r="684" spans="1:23" ht="30" customHeight="1">
      <c r="A684" s="75">
        <v>30</v>
      </c>
      <c r="B684" s="13">
        <v>6512</v>
      </c>
      <c r="C684" s="9" t="s">
        <v>1664</v>
      </c>
      <c r="D684" s="9" t="s">
        <v>1665</v>
      </c>
      <c r="E684" s="71" t="s">
        <v>1602</v>
      </c>
      <c r="F684" s="44">
        <v>2600</v>
      </c>
      <c r="G684" s="44">
        <v>0</v>
      </c>
      <c r="H684" s="44">
        <v>0</v>
      </c>
      <c r="I684" s="44">
        <v>0</v>
      </c>
      <c r="J684" s="44">
        <v>0</v>
      </c>
      <c r="K684" s="44">
        <v>0</v>
      </c>
      <c r="L684" s="44">
        <v>0</v>
      </c>
      <c r="M684" s="44">
        <v>0</v>
      </c>
      <c r="N684" s="12">
        <f t="shared" si="99"/>
        <v>0</v>
      </c>
      <c r="O684" s="44">
        <v>0</v>
      </c>
      <c r="P684" s="13">
        <v>0</v>
      </c>
      <c r="Q684" s="13">
        <v>0</v>
      </c>
      <c r="R684" s="14">
        <f t="shared" si="98"/>
        <v>0</v>
      </c>
      <c r="S684" s="13">
        <f t="shared" si="100"/>
        <v>100</v>
      </c>
      <c r="T684" s="13">
        <f t="shared" si="101"/>
        <v>200</v>
      </c>
      <c r="U684" s="13" t="s">
        <v>4181</v>
      </c>
      <c r="V684" s="56" t="s">
        <v>1666</v>
      </c>
      <c r="W684" t="s">
        <v>1186</v>
      </c>
    </row>
    <row r="685" spans="1:23" ht="30" customHeight="1">
      <c r="A685" s="75">
        <v>31</v>
      </c>
      <c r="B685" s="13">
        <v>6585</v>
      </c>
      <c r="C685" s="9" t="s">
        <v>1667</v>
      </c>
      <c r="D685" s="9" t="s">
        <v>1668</v>
      </c>
      <c r="E685" s="71" t="s">
        <v>1602</v>
      </c>
      <c r="F685" s="13">
        <v>2600</v>
      </c>
      <c r="G685" s="13">
        <v>0</v>
      </c>
      <c r="H685" s="13">
        <v>0</v>
      </c>
      <c r="I685" s="13">
        <v>0</v>
      </c>
      <c r="J685" s="13">
        <v>0</v>
      </c>
      <c r="K685" s="13">
        <v>0</v>
      </c>
      <c r="L685" s="13">
        <v>0</v>
      </c>
      <c r="M685" s="13">
        <v>0</v>
      </c>
      <c r="N685" s="12">
        <f t="shared" si="99"/>
        <v>0</v>
      </c>
      <c r="O685" s="13">
        <v>0</v>
      </c>
      <c r="P685" s="13">
        <v>0</v>
      </c>
      <c r="Q685" s="13">
        <v>0</v>
      </c>
      <c r="R685" s="14">
        <f t="shared" si="98"/>
        <v>0</v>
      </c>
      <c r="S685" s="13">
        <f t="shared" si="100"/>
        <v>100</v>
      </c>
      <c r="T685" s="13">
        <f t="shared" si="101"/>
        <v>200</v>
      </c>
      <c r="U685" s="13" t="s">
        <v>4181</v>
      </c>
      <c r="V685" s="23" t="s">
        <v>1669</v>
      </c>
    </row>
    <row r="686" spans="1:23" ht="30" customHeight="1">
      <c r="A686" s="75">
        <v>32</v>
      </c>
      <c r="B686" s="13">
        <v>6670</v>
      </c>
      <c r="C686" s="9" t="s">
        <v>1670</v>
      </c>
      <c r="D686" s="9" t="s">
        <v>1671</v>
      </c>
      <c r="E686" s="71" t="s">
        <v>1602</v>
      </c>
      <c r="F686" s="44">
        <v>2400</v>
      </c>
      <c r="G686" s="44">
        <v>0</v>
      </c>
      <c r="H686" s="44">
        <v>0</v>
      </c>
      <c r="I686" s="44">
        <v>0</v>
      </c>
      <c r="J686" s="44">
        <v>0</v>
      </c>
      <c r="K686" s="44">
        <v>0</v>
      </c>
      <c r="L686" s="44">
        <v>0</v>
      </c>
      <c r="M686" s="44">
        <v>0</v>
      </c>
      <c r="N686" s="12">
        <f t="shared" si="99"/>
        <v>0</v>
      </c>
      <c r="O686" s="44">
        <v>0</v>
      </c>
      <c r="P686" s="13">
        <v>0</v>
      </c>
      <c r="Q686" s="13">
        <v>1000</v>
      </c>
      <c r="R686" s="14">
        <f t="shared" si="98"/>
        <v>1000</v>
      </c>
      <c r="S686" s="13">
        <f t="shared" si="100"/>
        <v>1100</v>
      </c>
      <c r="T686" s="13">
        <f t="shared" si="101"/>
        <v>1200</v>
      </c>
      <c r="U686" s="13" t="s">
        <v>4181</v>
      </c>
      <c r="V686" s="15" t="s">
        <v>1672</v>
      </c>
    </row>
    <row r="687" spans="1:23" ht="30" customHeight="1">
      <c r="A687" s="75">
        <v>33</v>
      </c>
      <c r="B687" s="13">
        <v>6671</v>
      </c>
      <c r="C687" s="9" t="s">
        <v>1673</v>
      </c>
      <c r="D687" s="9" t="s">
        <v>1674</v>
      </c>
      <c r="E687" s="71" t="s">
        <v>1602</v>
      </c>
      <c r="F687" s="44">
        <v>1300</v>
      </c>
      <c r="G687" s="44">
        <v>0</v>
      </c>
      <c r="H687" s="44">
        <v>0</v>
      </c>
      <c r="I687" s="44">
        <v>0</v>
      </c>
      <c r="J687" s="44">
        <v>0</v>
      </c>
      <c r="K687" s="44">
        <v>0</v>
      </c>
      <c r="L687" s="44">
        <v>0</v>
      </c>
      <c r="M687" s="44">
        <v>0</v>
      </c>
      <c r="N687" s="12">
        <f t="shared" si="99"/>
        <v>0</v>
      </c>
      <c r="O687" s="44">
        <v>0</v>
      </c>
      <c r="P687" s="13">
        <v>0</v>
      </c>
      <c r="Q687" s="13">
        <v>0</v>
      </c>
      <c r="R687" s="14">
        <f t="shared" si="98"/>
        <v>0</v>
      </c>
      <c r="S687" s="13">
        <f t="shared" si="100"/>
        <v>100</v>
      </c>
      <c r="T687" s="13">
        <f t="shared" si="101"/>
        <v>200</v>
      </c>
      <c r="U687" s="13" t="s">
        <v>4181</v>
      </c>
      <c r="V687" s="15" t="s">
        <v>1675</v>
      </c>
    </row>
    <row r="688" spans="1:23" ht="30" customHeight="1">
      <c r="A688" s="75">
        <v>34</v>
      </c>
      <c r="B688" s="13">
        <v>6734</v>
      </c>
      <c r="C688" s="9" t="s">
        <v>1676</v>
      </c>
      <c r="D688" s="9" t="s">
        <v>1677</v>
      </c>
      <c r="E688" s="71" t="s">
        <v>1602</v>
      </c>
      <c r="F688" s="13">
        <v>2600</v>
      </c>
      <c r="G688" s="13">
        <v>0</v>
      </c>
      <c r="H688" s="13">
        <v>0</v>
      </c>
      <c r="I688" s="13">
        <v>0</v>
      </c>
      <c r="J688" s="13">
        <v>0</v>
      </c>
      <c r="K688" s="13">
        <v>0</v>
      </c>
      <c r="L688" s="13">
        <v>0</v>
      </c>
      <c r="M688" s="13">
        <v>0</v>
      </c>
      <c r="N688" s="12">
        <f t="shared" si="99"/>
        <v>0</v>
      </c>
      <c r="O688" s="13">
        <v>2600</v>
      </c>
      <c r="P688" s="13">
        <v>0</v>
      </c>
      <c r="Q688" s="13">
        <v>0</v>
      </c>
      <c r="R688" s="14">
        <f t="shared" si="98"/>
        <v>2600</v>
      </c>
      <c r="S688" s="13">
        <f t="shared" si="100"/>
        <v>2700</v>
      </c>
      <c r="T688" s="13">
        <f t="shared" si="101"/>
        <v>2800</v>
      </c>
      <c r="U688" s="13" t="s">
        <v>4181</v>
      </c>
      <c r="V688" s="23" t="s">
        <v>1678</v>
      </c>
      <c r="W688" t="s">
        <v>1679</v>
      </c>
    </row>
    <row r="689" spans="1:23" ht="30" customHeight="1">
      <c r="A689" s="75">
        <v>35</v>
      </c>
      <c r="B689" s="13">
        <v>6745</v>
      </c>
      <c r="C689" s="9" t="s">
        <v>1680</v>
      </c>
      <c r="D689" s="9" t="s">
        <v>1319</v>
      </c>
      <c r="E689" s="71" t="s">
        <v>1602</v>
      </c>
      <c r="F689" s="13">
        <v>0</v>
      </c>
      <c r="G689" s="13">
        <v>0</v>
      </c>
      <c r="H689" s="13">
        <v>0</v>
      </c>
      <c r="I689" s="13">
        <v>0</v>
      </c>
      <c r="J689" s="13">
        <v>0</v>
      </c>
      <c r="K689" s="13">
        <v>0</v>
      </c>
      <c r="L689" s="13">
        <v>0</v>
      </c>
      <c r="M689" s="13">
        <v>0</v>
      </c>
      <c r="N689" s="12">
        <f t="shared" si="99"/>
        <v>0</v>
      </c>
      <c r="O689" s="13">
        <v>0</v>
      </c>
      <c r="P689" s="13">
        <v>0</v>
      </c>
      <c r="Q689" s="13">
        <v>2000</v>
      </c>
      <c r="R689" s="14">
        <f t="shared" si="98"/>
        <v>2000</v>
      </c>
      <c r="S689" s="13">
        <f t="shared" si="100"/>
        <v>2100</v>
      </c>
      <c r="T689" s="13">
        <f t="shared" si="101"/>
        <v>2200</v>
      </c>
      <c r="U689" s="13" t="s">
        <v>4181</v>
      </c>
      <c r="V689" s="23" t="s">
        <v>1320</v>
      </c>
      <c r="W689" t="s">
        <v>1679</v>
      </c>
    </row>
    <row r="690" spans="1:23" ht="30" customHeight="1">
      <c r="A690" s="75">
        <v>36</v>
      </c>
      <c r="B690" s="13">
        <v>6760</v>
      </c>
      <c r="C690" s="9" t="s">
        <v>1681</v>
      </c>
      <c r="D690" s="9" t="s">
        <v>1682</v>
      </c>
      <c r="E690" s="71" t="s">
        <v>1602</v>
      </c>
      <c r="F690" s="13">
        <v>2600</v>
      </c>
      <c r="G690" s="13">
        <v>0</v>
      </c>
      <c r="H690" s="13">
        <v>0</v>
      </c>
      <c r="I690" s="13">
        <v>0</v>
      </c>
      <c r="J690" s="13">
        <v>0</v>
      </c>
      <c r="K690" s="13">
        <v>0</v>
      </c>
      <c r="L690" s="13">
        <v>0</v>
      </c>
      <c r="M690" s="13">
        <v>0</v>
      </c>
      <c r="N690" s="12">
        <f t="shared" si="99"/>
        <v>0</v>
      </c>
      <c r="O690" s="13">
        <v>2600</v>
      </c>
      <c r="P690" s="13">
        <v>0</v>
      </c>
      <c r="Q690" s="13">
        <v>0</v>
      </c>
      <c r="R690" s="14">
        <f t="shared" si="98"/>
        <v>2600</v>
      </c>
      <c r="S690" s="13">
        <f t="shared" si="100"/>
        <v>2700</v>
      </c>
      <c r="T690" s="13">
        <f t="shared" si="101"/>
        <v>2800</v>
      </c>
      <c r="U690" s="13" t="s">
        <v>4181</v>
      </c>
      <c r="V690" s="23" t="s">
        <v>1683</v>
      </c>
      <c r="W690" t="s">
        <v>1684</v>
      </c>
    </row>
    <row r="691" spans="1:23" ht="30" customHeight="1">
      <c r="A691" s="75">
        <v>37</v>
      </c>
      <c r="B691" s="13">
        <v>6771</v>
      </c>
      <c r="C691" s="9" t="s">
        <v>1685</v>
      </c>
      <c r="D691" s="9" t="s">
        <v>796</v>
      </c>
      <c r="E691" s="71" t="s">
        <v>1602</v>
      </c>
      <c r="F691" s="13">
        <v>2600</v>
      </c>
      <c r="G691" s="13">
        <v>0</v>
      </c>
      <c r="H691" s="13">
        <v>0</v>
      </c>
      <c r="I691" s="13">
        <v>0</v>
      </c>
      <c r="J691" s="13">
        <v>0</v>
      </c>
      <c r="K691" s="13">
        <v>0</v>
      </c>
      <c r="L691" s="13">
        <v>0</v>
      </c>
      <c r="M691" s="13">
        <v>0</v>
      </c>
      <c r="N691" s="12">
        <f t="shared" si="99"/>
        <v>0</v>
      </c>
      <c r="O691" s="13">
        <v>0</v>
      </c>
      <c r="P691" s="13">
        <v>0</v>
      </c>
      <c r="Q691" s="13">
        <v>0</v>
      </c>
      <c r="R691" s="14">
        <f t="shared" si="98"/>
        <v>0</v>
      </c>
      <c r="S691" s="13">
        <f t="shared" si="100"/>
        <v>100</v>
      </c>
      <c r="T691" s="13">
        <f t="shared" si="101"/>
        <v>200</v>
      </c>
      <c r="U691" s="13" t="s">
        <v>4181</v>
      </c>
      <c r="V691" s="23" t="s">
        <v>1686</v>
      </c>
      <c r="W691" t="s">
        <v>1687</v>
      </c>
    </row>
    <row r="692" spans="1:23" ht="30" customHeight="1">
      <c r="A692" s="75">
        <v>38</v>
      </c>
      <c r="B692" s="13">
        <v>6839</v>
      </c>
      <c r="C692" s="9" t="s">
        <v>121</v>
      </c>
      <c r="D692" s="9" t="s">
        <v>116</v>
      </c>
      <c r="E692" s="71" t="s">
        <v>1602</v>
      </c>
      <c r="F692" s="13">
        <v>2000</v>
      </c>
      <c r="G692" s="13">
        <v>0</v>
      </c>
      <c r="H692" s="13">
        <v>0</v>
      </c>
      <c r="I692" s="13">
        <v>0</v>
      </c>
      <c r="J692" s="13">
        <v>0</v>
      </c>
      <c r="K692" s="13">
        <v>0</v>
      </c>
      <c r="L692" s="13">
        <v>0</v>
      </c>
      <c r="M692" s="13">
        <v>0</v>
      </c>
      <c r="N692" s="12">
        <f t="shared" si="99"/>
        <v>0</v>
      </c>
      <c r="O692" s="13">
        <v>0</v>
      </c>
      <c r="P692" s="13">
        <v>0</v>
      </c>
      <c r="Q692" s="13">
        <v>0</v>
      </c>
      <c r="R692" s="14">
        <f t="shared" si="98"/>
        <v>0</v>
      </c>
      <c r="S692" s="13">
        <f t="shared" si="100"/>
        <v>100</v>
      </c>
      <c r="T692" s="13">
        <f t="shared" si="101"/>
        <v>200</v>
      </c>
      <c r="U692" s="13" t="s">
        <v>4181</v>
      </c>
      <c r="V692" s="23" t="s">
        <v>4037</v>
      </c>
      <c r="W692" t="s">
        <v>4038</v>
      </c>
    </row>
    <row r="693" spans="1:23" ht="30" customHeight="1">
      <c r="A693" s="75">
        <v>39</v>
      </c>
      <c r="B693" s="13">
        <v>6862</v>
      </c>
      <c r="C693" s="9" t="s">
        <v>4103</v>
      </c>
      <c r="D693" s="9" t="s">
        <v>1300</v>
      </c>
      <c r="E693" s="71" t="s">
        <v>1602</v>
      </c>
      <c r="F693" s="13">
        <v>1500</v>
      </c>
      <c r="G693" s="13">
        <v>0</v>
      </c>
      <c r="H693" s="13">
        <v>0</v>
      </c>
      <c r="I693" s="13">
        <v>0</v>
      </c>
      <c r="J693" s="13">
        <v>0</v>
      </c>
      <c r="K693" s="13">
        <v>0</v>
      </c>
      <c r="L693" s="13">
        <v>0</v>
      </c>
      <c r="M693" s="13">
        <v>0</v>
      </c>
      <c r="N693" s="12">
        <f t="shared" si="99"/>
        <v>0</v>
      </c>
      <c r="O693" s="13">
        <v>0</v>
      </c>
      <c r="P693" s="13">
        <v>0</v>
      </c>
      <c r="Q693" s="13">
        <v>0</v>
      </c>
      <c r="R693" s="14">
        <f t="shared" si="98"/>
        <v>0</v>
      </c>
      <c r="S693" s="13">
        <f t="shared" si="100"/>
        <v>100</v>
      </c>
      <c r="T693" s="13">
        <f t="shared" si="101"/>
        <v>200</v>
      </c>
      <c r="U693" s="13" t="s">
        <v>4181</v>
      </c>
      <c r="V693" s="15" t="s">
        <v>4104</v>
      </c>
      <c r="W693" t="s">
        <v>4105</v>
      </c>
    </row>
    <row r="694" spans="1:23" ht="30" customHeight="1">
      <c r="A694" s="75">
        <v>40</v>
      </c>
      <c r="B694" s="13">
        <v>6884</v>
      </c>
      <c r="C694" s="9" t="s">
        <v>4194</v>
      </c>
      <c r="D694" s="9" t="s">
        <v>4187</v>
      </c>
      <c r="E694" s="71" t="s">
        <v>1602</v>
      </c>
      <c r="F694" s="13">
        <v>2600</v>
      </c>
      <c r="G694" s="13">
        <v>0</v>
      </c>
      <c r="H694" s="13">
        <v>0</v>
      </c>
      <c r="I694" s="13">
        <v>0</v>
      </c>
      <c r="J694" s="13">
        <v>0</v>
      </c>
      <c r="K694" s="13">
        <v>0</v>
      </c>
      <c r="L694" s="13">
        <v>0</v>
      </c>
      <c r="M694" s="13">
        <v>0</v>
      </c>
      <c r="N694" s="12">
        <f t="shared" ref="N694" si="102">(SUM(G694:M694))</f>
        <v>0</v>
      </c>
      <c r="O694" s="13">
        <v>0</v>
      </c>
      <c r="P694" s="13">
        <v>0</v>
      </c>
      <c r="Q694" s="13">
        <v>3000</v>
      </c>
      <c r="R694" s="14">
        <f t="shared" ref="R694" si="103">(SUM(N694:Q694))</f>
        <v>3000</v>
      </c>
      <c r="S694" s="13">
        <f t="shared" ref="S694" si="104">R694+100</f>
        <v>3100</v>
      </c>
      <c r="T694" s="13">
        <f t="shared" ref="T694" si="105">R694+200</f>
        <v>3200</v>
      </c>
      <c r="U694" s="13" t="s">
        <v>4181</v>
      </c>
      <c r="V694" s="15" t="s">
        <v>4188</v>
      </c>
      <c r="W694" t="s">
        <v>4195</v>
      </c>
    </row>
    <row r="695" spans="1:23" ht="30" customHeight="1">
      <c r="A695" s="93">
        <v>1</v>
      </c>
      <c r="B695" s="13">
        <v>1900</v>
      </c>
      <c r="C695" s="9" t="s">
        <v>1688</v>
      </c>
      <c r="D695" s="9" t="s">
        <v>963</v>
      </c>
      <c r="E695" s="66" t="s">
        <v>1689</v>
      </c>
      <c r="F695" s="13">
        <v>2600</v>
      </c>
      <c r="G695" s="13">
        <v>0</v>
      </c>
      <c r="H695" s="13">
        <v>0</v>
      </c>
      <c r="I695" s="13">
        <v>0</v>
      </c>
      <c r="J695" s="13">
        <v>0</v>
      </c>
      <c r="K695" s="13">
        <v>2600</v>
      </c>
      <c r="L695" s="13">
        <v>2600</v>
      </c>
      <c r="M695" s="13">
        <v>2600</v>
      </c>
      <c r="N695" s="12">
        <f t="shared" si="99"/>
        <v>7800</v>
      </c>
      <c r="O695" s="13">
        <v>2600</v>
      </c>
      <c r="P695" s="13">
        <v>0</v>
      </c>
      <c r="Q695" s="13">
        <v>800</v>
      </c>
      <c r="R695" s="14">
        <f t="shared" si="98"/>
        <v>11200</v>
      </c>
      <c r="S695" s="13">
        <f t="shared" si="100"/>
        <v>11300</v>
      </c>
      <c r="T695" s="13">
        <f t="shared" si="101"/>
        <v>11400</v>
      </c>
      <c r="U695" s="13" t="s">
        <v>4181</v>
      </c>
      <c r="V695" s="15" t="s">
        <v>1690</v>
      </c>
      <c r="W695" s="80"/>
    </row>
    <row r="696" spans="1:23" ht="30" customHeight="1">
      <c r="A696" s="93">
        <v>2</v>
      </c>
      <c r="B696" s="13">
        <v>1973</v>
      </c>
      <c r="C696" s="9" t="s">
        <v>1691</v>
      </c>
      <c r="D696" s="9" t="s">
        <v>178</v>
      </c>
      <c r="E696" s="66" t="s">
        <v>1689</v>
      </c>
      <c r="F696" s="13">
        <v>2600</v>
      </c>
      <c r="G696" s="13">
        <v>0</v>
      </c>
      <c r="H696" s="13">
        <v>0</v>
      </c>
      <c r="I696" s="13">
        <v>0</v>
      </c>
      <c r="J696" s="13">
        <v>0</v>
      </c>
      <c r="K696" s="13">
        <v>0</v>
      </c>
      <c r="L696" s="13">
        <v>0</v>
      </c>
      <c r="M696" s="13">
        <v>0</v>
      </c>
      <c r="N696" s="12">
        <f t="shared" si="99"/>
        <v>0</v>
      </c>
      <c r="O696" s="13">
        <v>0</v>
      </c>
      <c r="P696" s="13">
        <v>0</v>
      </c>
      <c r="Q696" s="13">
        <v>0</v>
      </c>
      <c r="R696" s="14">
        <f t="shared" si="98"/>
        <v>0</v>
      </c>
      <c r="S696" s="13">
        <f t="shared" si="100"/>
        <v>100</v>
      </c>
      <c r="T696" s="13">
        <f t="shared" si="101"/>
        <v>200</v>
      </c>
      <c r="U696" s="13" t="s">
        <v>4181</v>
      </c>
      <c r="V696" s="15" t="s">
        <v>1692</v>
      </c>
    </row>
    <row r="697" spans="1:23" ht="30" customHeight="1">
      <c r="A697" s="93">
        <v>3</v>
      </c>
      <c r="B697" s="13">
        <v>2038</v>
      </c>
      <c r="C697" s="9" t="s">
        <v>1693</v>
      </c>
      <c r="D697" s="9" t="s">
        <v>1694</v>
      </c>
      <c r="E697" s="66" t="s">
        <v>1689</v>
      </c>
      <c r="F697" s="13">
        <v>2600</v>
      </c>
      <c r="G697" s="13">
        <v>0</v>
      </c>
      <c r="H697" s="13">
        <v>0</v>
      </c>
      <c r="I697" s="13">
        <v>0</v>
      </c>
      <c r="J697" s="13">
        <v>0</v>
      </c>
      <c r="K697" s="13">
        <v>0</v>
      </c>
      <c r="L697" s="13">
        <v>0</v>
      </c>
      <c r="M697" s="13">
        <v>0</v>
      </c>
      <c r="N697" s="12">
        <f t="shared" si="99"/>
        <v>0</v>
      </c>
      <c r="O697" s="13">
        <v>0</v>
      </c>
      <c r="P697" s="13">
        <v>0</v>
      </c>
      <c r="Q697" s="13">
        <v>0</v>
      </c>
      <c r="R697" s="14">
        <f t="shared" si="98"/>
        <v>0</v>
      </c>
      <c r="S697" s="13">
        <f t="shared" si="100"/>
        <v>100</v>
      </c>
      <c r="T697" s="13">
        <f t="shared" si="101"/>
        <v>200</v>
      </c>
      <c r="U697" s="13" t="s">
        <v>4181</v>
      </c>
      <c r="V697" s="15" t="s">
        <v>1695</v>
      </c>
    </row>
    <row r="698" spans="1:23" ht="30" customHeight="1">
      <c r="A698" s="93">
        <v>4</v>
      </c>
      <c r="B698" s="13">
        <v>2043</v>
      </c>
      <c r="C698" s="9" t="s">
        <v>1696</v>
      </c>
      <c r="D698" s="9" t="s">
        <v>1697</v>
      </c>
      <c r="E698" s="66" t="s">
        <v>1689</v>
      </c>
      <c r="F698" s="13">
        <v>2600</v>
      </c>
      <c r="G698" s="13">
        <v>0</v>
      </c>
      <c r="H698" s="13">
        <v>0</v>
      </c>
      <c r="I698" s="13">
        <v>0</v>
      </c>
      <c r="J698" s="13">
        <v>0</v>
      </c>
      <c r="K698" s="13">
        <v>0</v>
      </c>
      <c r="L698" s="13">
        <v>0</v>
      </c>
      <c r="M698" s="13">
        <v>0</v>
      </c>
      <c r="N698" s="12">
        <f t="shared" si="99"/>
        <v>0</v>
      </c>
      <c r="O698" s="13">
        <v>0</v>
      </c>
      <c r="P698" s="13">
        <v>0</v>
      </c>
      <c r="Q698" s="13">
        <v>0</v>
      </c>
      <c r="R698" s="14">
        <f t="shared" si="98"/>
        <v>0</v>
      </c>
      <c r="S698" s="13">
        <f t="shared" si="100"/>
        <v>100</v>
      </c>
      <c r="T698" s="13">
        <f t="shared" si="101"/>
        <v>200</v>
      </c>
      <c r="U698" s="13" t="s">
        <v>4181</v>
      </c>
      <c r="V698" s="15" t="s">
        <v>1698</v>
      </c>
    </row>
    <row r="699" spans="1:23" ht="30" customHeight="1">
      <c r="A699" s="93">
        <v>5</v>
      </c>
      <c r="B699" s="13">
        <v>2049</v>
      </c>
      <c r="C699" s="9" t="s">
        <v>1699</v>
      </c>
      <c r="D699" s="9" t="s">
        <v>816</v>
      </c>
      <c r="E699" s="66" t="s">
        <v>1689</v>
      </c>
      <c r="F699" s="13">
        <v>2600</v>
      </c>
      <c r="G699" s="13">
        <v>0</v>
      </c>
      <c r="H699" s="13">
        <v>0</v>
      </c>
      <c r="I699" s="13">
        <v>0</v>
      </c>
      <c r="J699" s="13">
        <v>0</v>
      </c>
      <c r="K699" s="13">
        <v>0</v>
      </c>
      <c r="L699" s="13">
        <v>0</v>
      </c>
      <c r="M699" s="13">
        <v>0</v>
      </c>
      <c r="N699" s="12">
        <f t="shared" si="99"/>
        <v>0</v>
      </c>
      <c r="O699" s="13">
        <v>0</v>
      </c>
      <c r="P699" s="13">
        <v>0</v>
      </c>
      <c r="Q699" s="13">
        <v>0</v>
      </c>
      <c r="R699" s="14">
        <f t="shared" si="98"/>
        <v>0</v>
      </c>
      <c r="S699" s="13">
        <f t="shared" si="100"/>
        <v>100</v>
      </c>
      <c r="T699" s="13">
        <f t="shared" si="101"/>
        <v>200</v>
      </c>
      <c r="U699" s="13" t="s">
        <v>4181</v>
      </c>
      <c r="V699" s="15" t="s">
        <v>1257</v>
      </c>
    </row>
    <row r="700" spans="1:23" ht="30" customHeight="1">
      <c r="A700" s="93">
        <v>6</v>
      </c>
      <c r="B700" s="13">
        <v>3058</v>
      </c>
      <c r="C700" s="9" t="s">
        <v>1700</v>
      </c>
      <c r="D700" s="9" t="s">
        <v>1701</v>
      </c>
      <c r="E700" s="66" t="s">
        <v>1689</v>
      </c>
      <c r="F700" s="13">
        <v>400</v>
      </c>
      <c r="G700" s="13">
        <v>0</v>
      </c>
      <c r="H700" s="13">
        <v>0</v>
      </c>
      <c r="I700" s="13">
        <v>0</v>
      </c>
      <c r="J700" s="13">
        <v>0</v>
      </c>
      <c r="K700" s="13">
        <v>0</v>
      </c>
      <c r="L700" s="13">
        <v>0</v>
      </c>
      <c r="M700" s="13">
        <v>0</v>
      </c>
      <c r="N700" s="12">
        <f t="shared" si="99"/>
        <v>0</v>
      </c>
      <c r="O700" s="13">
        <v>0</v>
      </c>
      <c r="P700" s="13">
        <v>0</v>
      </c>
      <c r="Q700" s="13">
        <v>0</v>
      </c>
      <c r="R700" s="14">
        <f t="shared" si="98"/>
        <v>0</v>
      </c>
      <c r="S700" s="13">
        <f t="shared" si="100"/>
        <v>100</v>
      </c>
      <c r="T700" s="13">
        <f t="shared" si="101"/>
        <v>200</v>
      </c>
      <c r="U700" s="13" t="s">
        <v>4181</v>
      </c>
      <c r="V700" s="94" t="s">
        <v>1702</v>
      </c>
    </row>
    <row r="701" spans="1:23" ht="30" customHeight="1">
      <c r="A701" s="93">
        <v>7</v>
      </c>
      <c r="B701" s="13">
        <v>3081</v>
      </c>
      <c r="C701" s="9" t="s">
        <v>1703</v>
      </c>
      <c r="D701" s="9" t="s">
        <v>1704</v>
      </c>
      <c r="E701" s="66" t="s">
        <v>1689</v>
      </c>
      <c r="F701" s="13">
        <v>2600</v>
      </c>
      <c r="G701" s="13">
        <v>0</v>
      </c>
      <c r="H701" s="13">
        <v>0</v>
      </c>
      <c r="I701" s="13">
        <v>0</v>
      </c>
      <c r="J701" s="13">
        <v>0</v>
      </c>
      <c r="K701" s="13">
        <v>0</v>
      </c>
      <c r="L701" s="13">
        <v>0</v>
      </c>
      <c r="M701" s="13">
        <v>0</v>
      </c>
      <c r="N701" s="12">
        <f t="shared" si="99"/>
        <v>0</v>
      </c>
      <c r="O701" s="13">
        <v>0</v>
      </c>
      <c r="P701" s="13">
        <v>0</v>
      </c>
      <c r="Q701" s="13">
        <v>0</v>
      </c>
      <c r="R701" s="14">
        <f t="shared" si="98"/>
        <v>0</v>
      </c>
      <c r="S701" s="13">
        <f t="shared" si="100"/>
        <v>100</v>
      </c>
      <c r="T701" s="13">
        <f t="shared" si="101"/>
        <v>200</v>
      </c>
      <c r="U701" s="13" t="s">
        <v>4181</v>
      </c>
      <c r="V701" s="15" t="s">
        <v>1705</v>
      </c>
    </row>
    <row r="702" spans="1:23" ht="30" customHeight="1">
      <c r="A702" s="93">
        <v>8</v>
      </c>
      <c r="B702" s="13">
        <v>4213</v>
      </c>
      <c r="C702" s="9" t="s">
        <v>1706</v>
      </c>
      <c r="D702" s="9" t="s">
        <v>1707</v>
      </c>
      <c r="E702" s="66" t="s">
        <v>1689</v>
      </c>
      <c r="F702" s="13">
        <v>2600</v>
      </c>
      <c r="G702" s="13">
        <v>0</v>
      </c>
      <c r="H702" s="13">
        <v>0</v>
      </c>
      <c r="I702" s="13">
        <v>0</v>
      </c>
      <c r="J702" s="13">
        <v>0</v>
      </c>
      <c r="K702" s="13">
        <v>0</v>
      </c>
      <c r="L702" s="13">
        <v>0</v>
      </c>
      <c r="M702" s="13">
        <v>0</v>
      </c>
      <c r="N702" s="12">
        <f t="shared" si="99"/>
        <v>0</v>
      </c>
      <c r="O702" s="13">
        <v>2600</v>
      </c>
      <c r="P702" s="13">
        <v>0</v>
      </c>
      <c r="Q702" s="13">
        <v>0</v>
      </c>
      <c r="R702" s="14">
        <f t="shared" si="98"/>
        <v>2600</v>
      </c>
      <c r="S702" s="13">
        <f t="shared" si="100"/>
        <v>2700</v>
      </c>
      <c r="T702" s="13">
        <f t="shared" si="101"/>
        <v>2800</v>
      </c>
      <c r="U702" s="13" t="s">
        <v>4181</v>
      </c>
      <c r="V702" s="72" t="s">
        <v>1629</v>
      </c>
    </row>
    <row r="703" spans="1:23" ht="30" customHeight="1">
      <c r="A703" s="93">
        <v>9</v>
      </c>
      <c r="B703" s="13">
        <v>4341</v>
      </c>
      <c r="C703" s="9" t="s">
        <v>1708</v>
      </c>
      <c r="D703" s="9" t="s">
        <v>1143</v>
      </c>
      <c r="E703" s="66" t="s">
        <v>1689</v>
      </c>
      <c r="F703" s="13">
        <v>2600</v>
      </c>
      <c r="G703" s="13">
        <v>0</v>
      </c>
      <c r="H703" s="13">
        <v>0</v>
      </c>
      <c r="I703" s="13">
        <v>0</v>
      </c>
      <c r="J703" s="13">
        <v>0</v>
      </c>
      <c r="K703" s="13">
        <v>0</v>
      </c>
      <c r="L703" s="13">
        <v>0</v>
      </c>
      <c r="M703" s="13">
        <v>0</v>
      </c>
      <c r="N703" s="12">
        <f t="shared" si="99"/>
        <v>0</v>
      </c>
      <c r="O703" s="13">
        <v>0</v>
      </c>
      <c r="P703" s="13">
        <v>0</v>
      </c>
      <c r="Q703" s="13">
        <v>0</v>
      </c>
      <c r="R703" s="14">
        <f t="shared" si="98"/>
        <v>0</v>
      </c>
      <c r="S703" s="13">
        <f t="shared" si="100"/>
        <v>100</v>
      </c>
      <c r="T703" s="13">
        <f t="shared" si="101"/>
        <v>200</v>
      </c>
      <c r="U703" s="13" t="s">
        <v>4181</v>
      </c>
      <c r="V703" s="72" t="s">
        <v>1709</v>
      </c>
    </row>
    <row r="704" spans="1:23" ht="30" customHeight="1">
      <c r="A704" s="93">
        <v>10</v>
      </c>
      <c r="B704" s="13">
        <v>4402</v>
      </c>
      <c r="C704" s="9" t="s">
        <v>1710</v>
      </c>
      <c r="D704" s="9" t="s">
        <v>1711</v>
      </c>
      <c r="E704" s="66" t="s">
        <v>1689</v>
      </c>
      <c r="F704" s="44">
        <v>2600</v>
      </c>
      <c r="G704" s="44">
        <v>0</v>
      </c>
      <c r="H704" s="44">
        <v>0</v>
      </c>
      <c r="I704" s="44">
        <v>0</v>
      </c>
      <c r="J704" s="44">
        <v>0</v>
      </c>
      <c r="K704" s="44">
        <v>0</v>
      </c>
      <c r="L704" s="44">
        <v>0</v>
      </c>
      <c r="M704" s="44">
        <v>0</v>
      </c>
      <c r="N704" s="12">
        <f t="shared" si="99"/>
        <v>0</v>
      </c>
      <c r="O704" s="44">
        <v>0</v>
      </c>
      <c r="P704" s="13">
        <v>0</v>
      </c>
      <c r="Q704" s="13">
        <v>0</v>
      </c>
      <c r="R704" s="14">
        <f t="shared" si="98"/>
        <v>0</v>
      </c>
      <c r="S704" s="13">
        <f t="shared" si="100"/>
        <v>100</v>
      </c>
      <c r="T704" s="13">
        <f t="shared" si="101"/>
        <v>200</v>
      </c>
      <c r="U704" s="13" t="s">
        <v>4181</v>
      </c>
      <c r="V704" s="72" t="s">
        <v>1712</v>
      </c>
    </row>
    <row r="705" spans="1:23" ht="30" customHeight="1">
      <c r="A705" s="93">
        <v>11</v>
      </c>
      <c r="B705" s="13">
        <v>4472</v>
      </c>
      <c r="C705" s="9" t="s">
        <v>1713</v>
      </c>
      <c r="D705" s="9" t="s">
        <v>1714</v>
      </c>
      <c r="E705" s="66" t="s">
        <v>1689</v>
      </c>
      <c r="F705" s="13">
        <v>2600</v>
      </c>
      <c r="G705" s="13">
        <v>0</v>
      </c>
      <c r="H705" s="13">
        <v>0</v>
      </c>
      <c r="I705" s="13">
        <v>0</v>
      </c>
      <c r="J705" s="13">
        <v>0</v>
      </c>
      <c r="K705" s="13">
        <v>0</v>
      </c>
      <c r="L705" s="13">
        <v>0</v>
      </c>
      <c r="M705" s="13">
        <v>0</v>
      </c>
      <c r="N705" s="12">
        <f t="shared" si="99"/>
        <v>0</v>
      </c>
      <c r="O705" s="13">
        <v>0</v>
      </c>
      <c r="P705" s="13">
        <v>0</v>
      </c>
      <c r="Q705" s="13">
        <v>0</v>
      </c>
      <c r="R705" s="14">
        <f t="shared" si="98"/>
        <v>0</v>
      </c>
      <c r="S705" s="13">
        <f t="shared" si="100"/>
        <v>100</v>
      </c>
      <c r="T705" s="13">
        <f t="shared" si="101"/>
        <v>200</v>
      </c>
      <c r="U705" s="13" t="s">
        <v>4181</v>
      </c>
      <c r="V705" s="15" t="s">
        <v>1715</v>
      </c>
      <c r="W705" t="s">
        <v>1716</v>
      </c>
    </row>
    <row r="706" spans="1:23" ht="30" customHeight="1">
      <c r="A706" s="93">
        <v>12</v>
      </c>
      <c r="B706" s="13">
        <v>4473</v>
      </c>
      <c r="C706" s="9" t="s">
        <v>1717</v>
      </c>
      <c r="D706" s="9" t="s">
        <v>729</v>
      </c>
      <c r="E706" s="66" t="s">
        <v>1689</v>
      </c>
      <c r="F706" s="13">
        <v>2600</v>
      </c>
      <c r="G706" s="13">
        <v>0</v>
      </c>
      <c r="H706" s="13">
        <v>0</v>
      </c>
      <c r="I706" s="13">
        <v>0</v>
      </c>
      <c r="J706" s="13">
        <v>0</v>
      </c>
      <c r="K706" s="13">
        <v>0</v>
      </c>
      <c r="L706" s="13">
        <v>0</v>
      </c>
      <c r="M706" s="13">
        <v>0</v>
      </c>
      <c r="N706" s="12">
        <f t="shared" si="99"/>
        <v>0</v>
      </c>
      <c r="O706" s="13">
        <v>0</v>
      </c>
      <c r="P706" s="13">
        <v>0</v>
      </c>
      <c r="Q706" s="13">
        <v>0</v>
      </c>
      <c r="R706" s="14">
        <f t="shared" si="98"/>
        <v>0</v>
      </c>
      <c r="S706" s="13">
        <f t="shared" si="100"/>
        <v>100</v>
      </c>
      <c r="T706" s="13">
        <f t="shared" si="101"/>
        <v>200</v>
      </c>
      <c r="U706" s="13" t="s">
        <v>4181</v>
      </c>
      <c r="V706" s="72" t="s">
        <v>730</v>
      </c>
    </row>
    <row r="707" spans="1:23" ht="30" customHeight="1">
      <c r="A707" s="93">
        <v>13</v>
      </c>
      <c r="B707" s="13">
        <v>4675</v>
      </c>
      <c r="C707" s="9" t="s">
        <v>1718</v>
      </c>
      <c r="D707" s="9" t="s">
        <v>1719</v>
      </c>
      <c r="E707" s="66" t="s">
        <v>1689</v>
      </c>
      <c r="F707" s="13">
        <v>1850</v>
      </c>
      <c r="G707" s="13">
        <v>0</v>
      </c>
      <c r="H707" s="13">
        <v>0</v>
      </c>
      <c r="I707" s="13">
        <v>0</v>
      </c>
      <c r="J707" s="13">
        <v>0</v>
      </c>
      <c r="K707" s="13">
        <v>0</v>
      </c>
      <c r="L707" s="13">
        <v>0</v>
      </c>
      <c r="M707" s="13">
        <v>0</v>
      </c>
      <c r="N707" s="12">
        <f t="shared" si="99"/>
        <v>0</v>
      </c>
      <c r="O707" s="13">
        <v>1850</v>
      </c>
      <c r="P707" s="13">
        <v>0</v>
      </c>
      <c r="Q707" s="13">
        <v>0</v>
      </c>
      <c r="R707" s="14">
        <f t="shared" si="98"/>
        <v>1850</v>
      </c>
      <c r="S707" s="13">
        <f t="shared" si="100"/>
        <v>1950</v>
      </c>
      <c r="T707" s="13">
        <f t="shared" si="101"/>
        <v>2050</v>
      </c>
      <c r="U707" s="13" t="s">
        <v>4181</v>
      </c>
      <c r="V707" s="72" t="s">
        <v>540</v>
      </c>
    </row>
    <row r="708" spans="1:23" ht="30" customHeight="1">
      <c r="A708" s="93">
        <v>14</v>
      </c>
      <c r="B708" s="13">
        <v>4692</v>
      </c>
      <c r="C708" s="9" t="s">
        <v>1720</v>
      </c>
      <c r="D708" s="9" t="s">
        <v>369</v>
      </c>
      <c r="E708" s="66" t="s">
        <v>1689</v>
      </c>
      <c r="F708" s="13">
        <v>2600</v>
      </c>
      <c r="G708" s="13">
        <v>0</v>
      </c>
      <c r="H708" s="13">
        <v>0</v>
      </c>
      <c r="I708" s="13">
        <v>0</v>
      </c>
      <c r="J708" s="13">
        <v>0</v>
      </c>
      <c r="K708" s="13">
        <v>0</v>
      </c>
      <c r="L708" s="13">
        <v>0</v>
      </c>
      <c r="M708" s="13">
        <v>0</v>
      </c>
      <c r="N708" s="12">
        <f t="shared" si="99"/>
        <v>0</v>
      </c>
      <c r="O708" s="13">
        <v>0</v>
      </c>
      <c r="P708" s="13">
        <v>0</v>
      </c>
      <c r="Q708" s="13">
        <v>0</v>
      </c>
      <c r="R708" s="14">
        <f t="shared" si="98"/>
        <v>0</v>
      </c>
      <c r="S708" s="13">
        <f t="shared" si="100"/>
        <v>100</v>
      </c>
      <c r="T708" s="13">
        <f t="shared" si="101"/>
        <v>200</v>
      </c>
      <c r="U708" s="13" t="s">
        <v>4181</v>
      </c>
      <c r="V708" s="72" t="s">
        <v>370</v>
      </c>
    </row>
    <row r="709" spans="1:23" ht="30" customHeight="1">
      <c r="A709" s="93">
        <v>15</v>
      </c>
      <c r="B709" s="13">
        <v>4814</v>
      </c>
      <c r="C709" s="9" t="s">
        <v>1721</v>
      </c>
      <c r="D709" s="9" t="s">
        <v>1722</v>
      </c>
      <c r="E709" s="66" t="s">
        <v>1689</v>
      </c>
      <c r="F709" s="13">
        <v>2600</v>
      </c>
      <c r="G709" s="13">
        <v>0</v>
      </c>
      <c r="H709" s="13">
        <v>0</v>
      </c>
      <c r="I709" s="13">
        <v>0</v>
      </c>
      <c r="J709" s="13">
        <v>0</v>
      </c>
      <c r="K709" s="13">
        <v>0</v>
      </c>
      <c r="L709" s="13">
        <v>0</v>
      </c>
      <c r="M709" s="13">
        <v>1800</v>
      </c>
      <c r="N709" s="12">
        <f t="shared" si="99"/>
        <v>1800</v>
      </c>
      <c r="O709" s="13">
        <v>2600</v>
      </c>
      <c r="P709" s="13">
        <v>0</v>
      </c>
      <c r="Q709" s="13">
        <v>0</v>
      </c>
      <c r="R709" s="14">
        <f t="shared" si="98"/>
        <v>4400</v>
      </c>
      <c r="S709" s="13">
        <f t="shared" si="100"/>
        <v>4500</v>
      </c>
      <c r="T709" s="13">
        <f t="shared" si="101"/>
        <v>4600</v>
      </c>
      <c r="U709" s="13" t="s">
        <v>4181</v>
      </c>
      <c r="V709" s="72" t="s">
        <v>1723</v>
      </c>
    </row>
    <row r="710" spans="1:23" ht="30" customHeight="1">
      <c r="A710" s="93">
        <v>16</v>
      </c>
      <c r="B710" s="13">
        <v>4835</v>
      </c>
      <c r="C710" s="9" t="s">
        <v>1724</v>
      </c>
      <c r="D710" s="9" t="s">
        <v>774</v>
      </c>
      <c r="E710" s="66" t="s">
        <v>1689</v>
      </c>
      <c r="F710" s="13">
        <v>1700</v>
      </c>
      <c r="G710" s="13">
        <v>0</v>
      </c>
      <c r="H710" s="13">
        <v>0</v>
      </c>
      <c r="I710" s="13">
        <v>0</v>
      </c>
      <c r="J710" s="13">
        <v>0</v>
      </c>
      <c r="K710" s="13">
        <v>0</v>
      </c>
      <c r="L710" s="13">
        <v>0</v>
      </c>
      <c r="M710" s="13">
        <v>0</v>
      </c>
      <c r="N710" s="12">
        <f t="shared" si="99"/>
        <v>0</v>
      </c>
      <c r="O710" s="13">
        <v>0</v>
      </c>
      <c r="P710" s="13">
        <v>0</v>
      </c>
      <c r="Q710" s="13">
        <v>0</v>
      </c>
      <c r="R710" s="14">
        <f t="shared" si="98"/>
        <v>0</v>
      </c>
      <c r="S710" s="13">
        <f t="shared" si="100"/>
        <v>100</v>
      </c>
      <c r="T710" s="13">
        <f t="shared" si="101"/>
        <v>200</v>
      </c>
      <c r="U710" s="13" t="s">
        <v>4181</v>
      </c>
      <c r="V710" s="51" t="s">
        <v>1725</v>
      </c>
    </row>
    <row r="711" spans="1:23" ht="30" customHeight="1">
      <c r="A711" s="93">
        <v>17</v>
      </c>
      <c r="B711" s="13">
        <v>6247</v>
      </c>
      <c r="C711" s="9" t="s">
        <v>82</v>
      </c>
      <c r="D711" s="9" t="s">
        <v>146</v>
      </c>
      <c r="E711" s="66" t="s">
        <v>1689</v>
      </c>
      <c r="F711" s="13">
        <v>2500</v>
      </c>
      <c r="G711" s="13">
        <v>0</v>
      </c>
      <c r="H711" s="13">
        <v>0</v>
      </c>
      <c r="I711" s="13">
        <v>0</v>
      </c>
      <c r="J711" s="13">
        <v>0</v>
      </c>
      <c r="K711" s="13">
        <v>0</v>
      </c>
      <c r="L711" s="13">
        <v>0</v>
      </c>
      <c r="M711" s="13">
        <v>0</v>
      </c>
      <c r="N711" s="12">
        <f t="shared" si="99"/>
        <v>0</v>
      </c>
      <c r="O711" s="13">
        <v>0</v>
      </c>
      <c r="P711" s="13">
        <v>0</v>
      </c>
      <c r="Q711" s="13">
        <v>0</v>
      </c>
      <c r="R711" s="14">
        <f t="shared" si="98"/>
        <v>0</v>
      </c>
      <c r="S711" s="13">
        <f t="shared" si="100"/>
        <v>100</v>
      </c>
      <c r="T711" s="13">
        <f t="shared" si="101"/>
        <v>200</v>
      </c>
      <c r="U711" s="13" t="s">
        <v>4181</v>
      </c>
      <c r="V711" s="15" t="s">
        <v>1726</v>
      </c>
    </row>
    <row r="712" spans="1:23" ht="30" customHeight="1">
      <c r="A712" s="93">
        <v>18</v>
      </c>
      <c r="B712" s="19">
        <v>6268</v>
      </c>
      <c r="C712" s="21" t="s">
        <v>1727</v>
      </c>
      <c r="D712" s="21" t="s">
        <v>751</v>
      </c>
      <c r="E712" s="66" t="s">
        <v>1689</v>
      </c>
      <c r="F712" s="19">
        <v>2600</v>
      </c>
      <c r="G712" s="19">
        <v>0</v>
      </c>
      <c r="H712" s="19">
        <v>0</v>
      </c>
      <c r="I712" s="19">
        <v>0</v>
      </c>
      <c r="J712" s="19">
        <v>0</v>
      </c>
      <c r="K712" s="19">
        <v>0</v>
      </c>
      <c r="L712" s="19">
        <v>0</v>
      </c>
      <c r="M712" s="19">
        <v>0</v>
      </c>
      <c r="N712" s="12">
        <f t="shared" si="99"/>
        <v>0</v>
      </c>
      <c r="O712" s="19">
        <v>0</v>
      </c>
      <c r="P712" s="13">
        <v>0</v>
      </c>
      <c r="Q712" s="13">
        <v>0</v>
      </c>
      <c r="R712" s="14">
        <f t="shared" ref="R712:R779" si="106">(SUM(N712:Q712))</f>
        <v>0</v>
      </c>
      <c r="S712" s="13">
        <f t="shared" si="100"/>
        <v>100</v>
      </c>
      <c r="T712" s="13">
        <f t="shared" si="101"/>
        <v>200</v>
      </c>
      <c r="U712" s="13" t="s">
        <v>4181</v>
      </c>
      <c r="V712" s="46" t="s">
        <v>1728</v>
      </c>
      <c r="W712" t="s">
        <v>4179</v>
      </c>
    </row>
    <row r="713" spans="1:23" ht="30" customHeight="1">
      <c r="A713" s="93">
        <v>19</v>
      </c>
      <c r="B713" s="19">
        <v>6276</v>
      </c>
      <c r="C713" s="21" t="s">
        <v>1729</v>
      </c>
      <c r="D713" s="21" t="s">
        <v>501</v>
      </c>
      <c r="E713" s="66" t="s">
        <v>1689</v>
      </c>
      <c r="F713" s="19">
        <v>1500</v>
      </c>
      <c r="G713" s="19">
        <v>0</v>
      </c>
      <c r="H713" s="19">
        <v>0</v>
      </c>
      <c r="I713" s="19">
        <v>0</v>
      </c>
      <c r="J713" s="19">
        <v>0</v>
      </c>
      <c r="K713" s="19">
        <v>0</v>
      </c>
      <c r="L713" s="19">
        <v>0</v>
      </c>
      <c r="M713" s="19">
        <v>0</v>
      </c>
      <c r="N713" s="12">
        <f t="shared" ref="N713:N780" si="107">(SUM(G713:M713))</f>
        <v>0</v>
      </c>
      <c r="O713" s="19">
        <v>0</v>
      </c>
      <c r="P713" s="13">
        <v>0</v>
      </c>
      <c r="Q713" s="13">
        <v>0</v>
      </c>
      <c r="R713" s="14">
        <f t="shared" si="106"/>
        <v>0</v>
      </c>
      <c r="S713" s="13">
        <f t="shared" si="100"/>
        <v>100</v>
      </c>
      <c r="T713" s="13">
        <f t="shared" si="101"/>
        <v>200</v>
      </c>
      <c r="U713" s="13" t="s">
        <v>4181</v>
      </c>
      <c r="V713" s="46" t="s">
        <v>503</v>
      </c>
    </row>
    <row r="714" spans="1:23" ht="30" customHeight="1">
      <c r="A714" s="93">
        <v>20</v>
      </c>
      <c r="B714" s="19">
        <v>6283</v>
      </c>
      <c r="C714" s="21" t="s">
        <v>1730</v>
      </c>
      <c r="D714" s="21" t="s">
        <v>1731</v>
      </c>
      <c r="E714" s="66" t="s">
        <v>1689</v>
      </c>
      <c r="F714" s="19">
        <v>1900</v>
      </c>
      <c r="G714" s="19">
        <v>0</v>
      </c>
      <c r="H714" s="19">
        <v>0</v>
      </c>
      <c r="I714" s="19">
        <v>0</v>
      </c>
      <c r="J714" s="19">
        <v>0</v>
      </c>
      <c r="K714" s="19">
        <v>0</v>
      </c>
      <c r="L714" s="19">
        <v>0</v>
      </c>
      <c r="M714" s="19">
        <v>0</v>
      </c>
      <c r="N714" s="12">
        <f t="shared" si="107"/>
        <v>0</v>
      </c>
      <c r="O714" s="19">
        <v>0</v>
      </c>
      <c r="P714" s="13">
        <v>0</v>
      </c>
      <c r="Q714" s="13">
        <v>0</v>
      </c>
      <c r="R714" s="14">
        <f t="shared" si="106"/>
        <v>0</v>
      </c>
      <c r="S714" s="13">
        <f t="shared" ref="S714:S782" si="108">R714+100</f>
        <v>100</v>
      </c>
      <c r="T714" s="13">
        <f t="shared" ref="T714:T782" si="109">R714+200</f>
        <v>200</v>
      </c>
      <c r="U714" s="13" t="s">
        <v>4181</v>
      </c>
      <c r="V714" s="46" t="s">
        <v>1732</v>
      </c>
    </row>
    <row r="715" spans="1:23" ht="30" customHeight="1">
      <c r="A715" s="93">
        <v>21</v>
      </c>
      <c r="B715" s="19">
        <v>6337</v>
      </c>
      <c r="C715" s="21" t="s">
        <v>689</v>
      </c>
      <c r="D715" s="21" t="s">
        <v>1733</v>
      </c>
      <c r="E715" s="66" t="s">
        <v>1689</v>
      </c>
      <c r="F715" s="19">
        <v>2100</v>
      </c>
      <c r="G715" s="19">
        <v>0</v>
      </c>
      <c r="H715" s="19">
        <v>0</v>
      </c>
      <c r="I715" s="19">
        <v>0</v>
      </c>
      <c r="J715" s="19">
        <v>0</v>
      </c>
      <c r="K715" s="19">
        <v>0</v>
      </c>
      <c r="L715" s="19">
        <v>0</v>
      </c>
      <c r="M715" s="19">
        <v>0</v>
      </c>
      <c r="N715" s="12">
        <f t="shared" si="107"/>
        <v>0</v>
      </c>
      <c r="O715" s="19">
        <v>0</v>
      </c>
      <c r="P715" s="13">
        <v>0</v>
      </c>
      <c r="Q715" s="13">
        <v>0</v>
      </c>
      <c r="R715" s="14">
        <f t="shared" si="106"/>
        <v>0</v>
      </c>
      <c r="S715" s="13">
        <f t="shared" si="108"/>
        <v>100</v>
      </c>
      <c r="T715" s="13">
        <f t="shared" si="109"/>
        <v>200</v>
      </c>
      <c r="U715" s="13" t="s">
        <v>4181</v>
      </c>
      <c r="V715" s="46" t="s">
        <v>1734</v>
      </c>
    </row>
    <row r="716" spans="1:23" ht="30" customHeight="1">
      <c r="A716" s="93">
        <v>22</v>
      </c>
      <c r="B716" s="19">
        <v>6340</v>
      </c>
      <c r="C716" s="21" t="s">
        <v>1735</v>
      </c>
      <c r="D716" s="21" t="s">
        <v>1736</v>
      </c>
      <c r="E716" s="66" t="s">
        <v>1689</v>
      </c>
      <c r="F716" s="19">
        <v>2600</v>
      </c>
      <c r="G716" s="19">
        <v>0</v>
      </c>
      <c r="H716" s="19">
        <v>0</v>
      </c>
      <c r="I716" s="19">
        <v>0</v>
      </c>
      <c r="J716" s="19">
        <v>0</v>
      </c>
      <c r="K716" s="19">
        <v>0</v>
      </c>
      <c r="L716" s="19">
        <v>0</v>
      </c>
      <c r="M716" s="19">
        <v>0</v>
      </c>
      <c r="N716" s="12">
        <f t="shared" si="107"/>
        <v>0</v>
      </c>
      <c r="O716" s="19">
        <v>2600</v>
      </c>
      <c r="P716" s="13">
        <v>0</v>
      </c>
      <c r="Q716" s="13">
        <v>0</v>
      </c>
      <c r="R716" s="14">
        <f t="shared" si="106"/>
        <v>2600</v>
      </c>
      <c r="S716" s="13">
        <f t="shared" si="108"/>
        <v>2700</v>
      </c>
      <c r="T716" s="13">
        <f t="shared" si="109"/>
        <v>2800</v>
      </c>
      <c r="U716" s="13" t="s">
        <v>4181</v>
      </c>
      <c r="V716" s="46" t="s">
        <v>1737</v>
      </c>
    </row>
    <row r="717" spans="1:23" ht="30" customHeight="1">
      <c r="A717" s="93">
        <v>23</v>
      </c>
      <c r="B717" s="19">
        <v>6360</v>
      </c>
      <c r="C717" s="21" t="s">
        <v>1738</v>
      </c>
      <c r="D717" s="21" t="s">
        <v>1739</v>
      </c>
      <c r="E717" s="66" t="s">
        <v>1689</v>
      </c>
      <c r="F717" s="19">
        <v>1900</v>
      </c>
      <c r="G717" s="19">
        <v>0</v>
      </c>
      <c r="H717" s="19">
        <v>0</v>
      </c>
      <c r="I717" s="19">
        <v>0</v>
      </c>
      <c r="J717" s="19">
        <v>0</v>
      </c>
      <c r="K717" s="19">
        <v>0</v>
      </c>
      <c r="L717" s="19">
        <v>0</v>
      </c>
      <c r="M717" s="19">
        <v>0</v>
      </c>
      <c r="N717" s="12">
        <f t="shared" si="107"/>
        <v>0</v>
      </c>
      <c r="O717" s="19">
        <v>0</v>
      </c>
      <c r="P717" s="13">
        <v>0</v>
      </c>
      <c r="Q717" s="13">
        <v>0</v>
      </c>
      <c r="R717" s="14">
        <f t="shared" si="106"/>
        <v>0</v>
      </c>
      <c r="S717" s="13">
        <f t="shared" si="108"/>
        <v>100</v>
      </c>
      <c r="T717" s="13">
        <f t="shared" si="109"/>
        <v>200</v>
      </c>
      <c r="U717" s="13" t="s">
        <v>4181</v>
      </c>
      <c r="V717" s="46" t="s">
        <v>1740</v>
      </c>
    </row>
    <row r="718" spans="1:23" ht="30" customHeight="1">
      <c r="A718" s="93">
        <v>24</v>
      </c>
      <c r="B718" s="19">
        <v>6411</v>
      </c>
      <c r="C718" s="21" t="s">
        <v>1741</v>
      </c>
      <c r="D718" s="21" t="s">
        <v>1742</v>
      </c>
      <c r="E718" s="66" t="s">
        <v>1689</v>
      </c>
      <c r="F718" s="19">
        <v>2600</v>
      </c>
      <c r="G718" s="19">
        <v>0</v>
      </c>
      <c r="H718" s="19">
        <v>0</v>
      </c>
      <c r="I718" s="19">
        <v>0</v>
      </c>
      <c r="J718" s="19">
        <v>0</v>
      </c>
      <c r="K718" s="19">
        <v>0</v>
      </c>
      <c r="L718" s="19">
        <v>0</v>
      </c>
      <c r="M718" s="19">
        <v>0</v>
      </c>
      <c r="N718" s="12">
        <f t="shared" si="107"/>
        <v>0</v>
      </c>
      <c r="O718" s="19">
        <v>0</v>
      </c>
      <c r="P718" s="13">
        <v>0</v>
      </c>
      <c r="Q718" s="13">
        <v>0</v>
      </c>
      <c r="R718" s="14">
        <f t="shared" si="106"/>
        <v>0</v>
      </c>
      <c r="S718" s="13">
        <f t="shared" si="108"/>
        <v>100</v>
      </c>
      <c r="T718" s="13">
        <f t="shared" si="109"/>
        <v>200</v>
      </c>
      <c r="U718" s="13" t="s">
        <v>4181</v>
      </c>
      <c r="V718" s="46" t="s">
        <v>1743</v>
      </c>
    </row>
    <row r="719" spans="1:23" ht="30" customHeight="1">
      <c r="A719" s="93">
        <v>25</v>
      </c>
      <c r="B719" s="13">
        <v>6428</v>
      </c>
      <c r="C719" s="9" t="s">
        <v>1744</v>
      </c>
      <c r="D719" s="9" t="s">
        <v>732</v>
      </c>
      <c r="E719" s="66" t="s">
        <v>1689</v>
      </c>
      <c r="F719" s="13">
        <v>2600</v>
      </c>
      <c r="G719" s="13">
        <v>0</v>
      </c>
      <c r="H719" s="13">
        <v>0</v>
      </c>
      <c r="I719" s="13">
        <v>0</v>
      </c>
      <c r="J719" s="13">
        <v>0</v>
      </c>
      <c r="K719" s="13">
        <v>0</v>
      </c>
      <c r="L719" s="13">
        <v>0</v>
      </c>
      <c r="M719" s="13">
        <v>0</v>
      </c>
      <c r="N719" s="12">
        <f t="shared" si="107"/>
        <v>0</v>
      </c>
      <c r="O719" s="13">
        <v>2600</v>
      </c>
      <c r="P719" s="13">
        <v>0</v>
      </c>
      <c r="Q719" s="13">
        <v>0</v>
      </c>
      <c r="R719" s="14">
        <f t="shared" si="106"/>
        <v>2600</v>
      </c>
      <c r="S719" s="13">
        <f t="shared" si="108"/>
        <v>2700</v>
      </c>
      <c r="T719" s="13">
        <f t="shared" si="109"/>
        <v>2800</v>
      </c>
      <c r="U719" s="13" t="s">
        <v>4181</v>
      </c>
      <c r="V719" s="23" t="s">
        <v>1745</v>
      </c>
    </row>
    <row r="720" spans="1:23" ht="30" customHeight="1">
      <c r="A720" s="93">
        <v>26</v>
      </c>
      <c r="B720" s="13">
        <v>6455</v>
      </c>
      <c r="C720" s="9" t="s">
        <v>1275</v>
      </c>
      <c r="D720" s="9" t="s">
        <v>776</v>
      </c>
      <c r="E720" s="66" t="s">
        <v>1689</v>
      </c>
      <c r="F720" s="13">
        <v>400</v>
      </c>
      <c r="G720" s="13">
        <v>0</v>
      </c>
      <c r="H720" s="13">
        <v>0</v>
      </c>
      <c r="I720" s="13">
        <v>0</v>
      </c>
      <c r="J720" s="13">
        <v>0</v>
      </c>
      <c r="K720" s="13">
        <v>0</v>
      </c>
      <c r="L720" s="13">
        <v>0</v>
      </c>
      <c r="M720" s="13">
        <v>0</v>
      </c>
      <c r="N720" s="12">
        <f t="shared" si="107"/>
        <v>0</v>
      </c>
      <c r="O720" s="13">
        <v>0</v>
      </c>
      <c r="P720" s="13">
        <v>0</v>
      </c>
      <c r="Q720" s="13">
        <v>0</v>
      </c>
      <c r="R720" s="14">
        <f t="shared" si="106"/>
        <v>0</v>
      </c>
      <c r="S720" s="13">
        <f t="shared" si="108"/>
        <v>100</v>
      </c>
      <c r="T720" s="13">
        <f t="shared" si="109"/>
        <v>200</v>
      </c>
      <c r="U720" s="13" t="s">
        <v>4181</v>
      </c>
      <c r="V720" s="23" t="s">
        <v>1746</v>
      </c>
    </row>
    <row r="721" spans="1:23" ht="30" customHeight="1">
      <c r="A721" s="93">
        <v>27</v>
      </c>
      <c r="B721" s="13">
        <v>6466</v>
      </c>
      <c r="C721" s="9" t="s">
        <v>1747</v>
      </c>
      <c r="D721" s="9" t="s">
        <v>1748</v>
      </c>
      <c r="E721" s="66" t="s">
        <v>1689</v>
      </c>
      <c r="F721" s="13">
        <v>2600</v>
      </c>
      <c r="G721" s="13">
        <v>0</v>
      </c>
      <c r="H721" s="13">
        <v>0</v>
      </c>
      <c r="I721" s="13">
        <v>0</v>
      </c>
      <c r="J721" s="13">
        <v>0</v>
      </c>
      <c r="K721" s="13">
        <v>0</v>
      </c>
      <c r="L721" s="13">
        <v>0</v>
      </c>
      <c r="M721" s="13">
        <v>0</v>
      </c>
      <c r="N721" s="12">
        <f t="shared" si="107"/>
        <v>0</v>
      </c>
      <c r="O721" s="13">
        <v>100</v>
      </c>
      <c r="P721" s="13">
        <v>0</v>
      </c>
      <c r="Q721" s="13">
        <v>0</v>
      </c>
      <c r="R721" s="14">
        <f t="shared" si="106"/>
        <v>100</v>
      </c>
      <c r="S721" s="13">
        <f t="shared" si="108"/>
        <v>200</v>
      </c>
      <c r="T721" s="13">
        <f t="shared" si="109"/>
        <v>300</v>
      </c>
      <c r="U721" s="13" t="s">
        <v>4181</v>
      </c>
      <c r="V721" s="23" t="s">
        <v>1749</v>
      </c>
    </row>
    <row r="722" spans="1:23" ht="30" customHeight="1">
      <c r="A722" s="93">
        <v>28</v>
      </c>
      <c r="B722" s="13">
        <v>6492</v>
      </c>
      <c r="C722" s="9" t="s">
        <v>1575</v>
      </c>
      <c r="D722" s="9" t="s">
        <v>1067</v>
      </c>
      <c r="E722" s="66" t="s">
        <v>1689</v>
      </c>
      <c r="F722" s="13">
        <v>2600</v>
      </c>
      <c r="G722" s="13">
        <v>0</v>
      </c>
      <c r="H722" s="13">
        <v>0</v>
      </c>
      <c r="I722" s="13">
        <v>0</v>
      </c>
      <c r="J722" s="13">
        <v>0</v>
      </c>
      <c r="K722" s="13">
        <v>0</v>
      </c>
      <c r="L722" s="13">
        <v>0</v>
      </c>
      <c r="M722" s="13">
        <v>0</v>
      </c>
      <c r="N722" s="12">
        <f t="shared" si="107"/>
        <v>0</v>
      </c>
      <c r="O722" s="13">
        <v>0</v>
      </c>
      <c r="P722" s="13">
        <v>0</v>
      </c>
      <c r="Q722" s="13">
        <v>0</v>
      </c>
      <c r="R722" s="14">
        <f t="shared" si="106"/>
        <v>0</v>
      </c>
      <c r="S722" s="13">
        <f t="shared" si="108"/>
        <v>100</v>
      </c>
      <c r="T722" s="13">
        <f t="shared" si="109"/>
        <v>200</v>
      </c>
      <c r="U722" s="13" t="s">
        <v>4181</v>
      </c>
      <c r="V722" s="23" t="s">
        <v>1099</v>
      </c>
    </row>
    <row r="723" spans="1:23" ht="30" customHeight="1">
      <c r="A723" s="93">
        <v>29</v>
      </c>
      <c r="B723" s="13">
        <v>6515</v>
      </c>
      <c r="C723" s="9" t="s">
        <v>1750</v>
      </c>
      <c r="D723" s="9" t="s">
        <v>1751</v>
      </c>
      <c r="E723" s="66" t="s">
        <v>1689</v>
      </c>
      <c r="F723" s="13">
        <v>2000</v>
      </c>
      <c r="G723" s="13">
        <v>0</v>
      </c>
      <c r="H723" s="13">
        <v>0</v>
      </c>
      <c r="I723" s="13">
        <v>0</v>
      </c>
      <c r="J723" s="13">
        <v>0</v>
      </c>
      <c r="K723" s="13">
        <v>0</v>
      </c>
      <c r="L723" s="13">
        <v>0</v>
      </c>
      <c r="M723" s="13">
        <v>0</v>
      </c>
      <c r="N723" s="12">
        <f t="shared" si="107"/>
        <v>0</v>
      </c>
      <c r="O723" s="13">
        <v>2000</v>
      </c>
      <c r="P723" s="13">
        <v>0</v>
      </c>
      <c r="Q723" s="13">
        <v>0</v>
      </c>
      <c r="R723" s="14">
        <f t="shared" si="106"/>
        <v>2000</v>
      </c>
      <c r="S723" s="13">
        <f t="shared" si="108"/>
        <v>2100</v>
      </c>
      <c r="T723" s="13">
        <f t="shared" si="109"/>
        <v>2200</v>
      </c>
      <c r="U723" s="13" t="s">
        <v>4181</v>
      </c>
      <c r="V723" s="23" t="s">
        <v>1752</v>
      </c>
      <c r="W723" t="s">
        <v>1455</v>
      </c>
    </row>
    <row r="724" spans="1:23" ht="30" customHeight="1">
      <c r="A724" s="93">
        <v>30</v>
      </c>
      <c r="B724" s="13">
        <v>6540</v>
      </c>
      <c r="C724" s="9" t="s">
        <v>1753</v>
      </c>
      <c r="D724" s="9" t="s">
        <v>1754</v>
      </c>
      <c r="E724" s="66" t="s">
        <v>1689</v>
      </c>
      <c r="F724" s="13">
        <v>2600</v>
      </c>
      <c r="G724" s="13">
        <v>0</v>
      </c>
      <c r="H724" s="13">
        <v>0</v>
      </c>
      <c r="I724" s="13">
        <v>0</v>
      </c>
      <c r="J724" s="13">
        <v>0</v>
      </c>
      <c r="K724" s="13">
        <v>0</v>
      </c>
      <c r="L724" s="13">
        <v>0</v>
      </c>
      <c r="M724" s="13">
        <v>0</v>
      </c>
      <c r="N724" s="12">
        <f t="shared" si="107"/>
        <v>0</v>
      </c>
      <c r="O724" s="13">
        <v>2600</v>
      </c>
      <c r="P724" s="13">
        <v>0</v>
      </c>
      <c r="Q724" s="13">
        <v>0</v>
      </c>
      <c r="R724" s="14">
        <f t="shared" si="106"/>
        <v>2600</v>
      </c>
      <c r="S724" s="13">
        <f t="shared" si="108"/>
        <v>2700</v>
      </c>
      <c r="T724" s="13">
        <f t="shared" si="109"/>
        <v>2800</v>
      </c>
      <c r="U724" s="13" t="s">
        <v>4181</v>
      </c>
      <c r="V724" s="23" t="s">
        <v>1755</v>
      </c>
    </row>
    <row r="725" spans="1:23" ht="30" customHeight="1">
      <c r="A725" s="93">
        <v>31</v>
      </c>
      <c r="B725" s="13">
        <v>6641</v>
      </c>
      <c r="C725" s="9" t="s">
        <v>1756</v>
      </c>
      <c r="D725" s="9" t="s">
        <v>1757</v>
      </c>
      <c r="E725" s="66" t="s">
        <v>1689</v>
      </c>
      <c r="F725" s="13">
        <v>2200</v>
      </c>
      <c r="G725" s="13">
        <v>0</v>
      </c>
      <c r="H725" s="13">
        <v>0</v>
      </c>
      <c r="I725" s="13">
        <v>0</v>
      </c>
      <c r="J725" s="13">
        <v>0</v>
      </c>
      <c r="K725" s="13">
        <v>0</v>
      </c>
      <c r="L725" s="13">
        <v>0</v>
      </c>
      <c r="M725" s="13">
        <v>0</v>
      </c>
      <c r="N725" s="12">
        <f t="shared" si="107"/>
        <v>0</v>
      </c>
      <c r="O725" s="13">
        <v>0</v>
      </c>
      <c r="P725" s="13">
        <v>0</v>
      </c>
      <c r="Q725" s="13">
        <v>0</v>
      </c>
      <c r="R725" s="14">
        <f t="shared" si="106"/>
        <v>0</v>
      </c>
      <c r="S725" s="13">
        <f t="shared" si="108"/>
        <v>100</v>
      </c>
      <c r="T725" s="13">
        <f t="shared" si="109"/>
        <v>200</v>
      </c>
      <c r="U725" s="13" t="s">
        <v>4181</v>
      </c>
      <c r="V725" s="23" t="s">
        <v>1758</v>
      </c>
    </row>
    <row r="726" spans="1:23" ht="30" customHeight="1">
      <c r="A726" s="93">
        <v>32</v>
      </c>
      <c r="B726" s="13">
        <v>6675</v>
      </c>
      <c r="C726" s="9" t="s">
        <v>1759</v>
      </c>
      <c r="D726" s="9" t="s">
        <v>1760</v>
      </c>
      <c r="E726" s="66" t="s">
        <v>1689</v>
      </c>
      <c r="F726" s="13">
        <v>2400</v>
      </c>
      <c r="G726" s="13">
        <v>0</v>
      </c>
      <c r="H726" s="13">
        <v>0</v>
      </c>
      <c r="I726" s="13">
        <v>0</v>
      </c>
      <c r="J726" s="13">
        <v>0</v>
      </c>
      <c r="K726" s="13">
        <v>0</v>
      </c>
      <c r="L726" s="13">
        <v>0</v>
      </c>
      <c r="M726" s="13">
        <v>0</v>
      </c>
      <c r="N726" s="12">
        <f t="shared" si="107"/>
        <v>0</v>
      </c>
      <c r="O726" s="13">
        <v>0</v>
      </c>
      <c r="P726" s="13">
        <v>0</v>
      </c>
      <c r="Q726" s="13">
        <v>0</v>
      </c>
      <c r="R726" s="14">
        <f t="shared" si="106"/>
        <v>0</v>
      </c>
      <c r="S726" s="13">
        <f t="shared" si="108"/>
        <v>100</v>
      </c>
      <c r="T726" s="13">
        <f t="shared" si="109"/>
        <v>200</v>
      </c>
      <c r="U726" s="13" t="s">
        <v>4181</v>
      </c>
      <c r="V726" s="23" t="s">
        <v>1761</v>
      </c>
    </row>
    <row r="727" spans="1:23" ht="30" customHeight="1">
      <c r="A727" s="93">
        <v>33</v>
      </c>
      <c r="B727" s="13">
        <v>6721</v>
      </c>
      <c r="C727" s="9" t="s">
        <v>1762</v>
      </c>
      <c r="D727" s="9" t="s">
        <v>1682</v>
      </c>
      <c r="E727" s="66" t="s">
        <v>1689</v>
      </c>
      <c r="F727" s="13">
        <v>2400</v>
      </c>
      <c r="G727" s="13">
        <v>0</v>
      </c>
      <c r="H727" s="13">
        <v>0</v>
      </c>
      <c r="I727" s="13">
        <v>0</v>
      </c>
      <c r="J727" s="13">
        <v>0</v>
      </c>
      <c r="K727" s="13">
        <v>0</v>
      </c>
      <c r="L727" s="13">
        <v>0</v>
      </c>
      <c r="M727" s="13">
        <v>0</v>
      </c>
      <c r="N727" s="12">
        <f t="shared" si="107"/>
        <v>0</v>
      </c>
      <c r="O727" s="13">
        <v>0</v>
      </c>
      <c r="P727" s="13">
        <v>0</v>
      </c>
      <c r="Q727" s="13">
        <v>0</v>
      </c>
      <c r="R727" s="14">
        <f t="shared" si="106"/>
        <v>0</v>
      </c>
      <c r="S727" s="13">
        <f t="shared" si="108"/>
        <v>100</v>
      </c>
      <c r="T727" s="13">
        <f t="shared" si="109"/>
        <v>200</v>
      </c>
      <c r="U727" s="13" t="s">
        <v>4181</v>
      </c>
      <c r="V727" s="23" t="s">
        <v>1763</v>
      </c>
      <c r="W727" t="s">
        <v>423</v>
      </c>
    </row>
    <row r="728" spans="1:23" ht="30" customHeight="1">
      <c r="A728" s="93">
        <v>34</v>
      </c>
      <c r="B728" s="13">
        <v>6761</v>
      </c>
      <c r="C728" s="9" t="s">
        <v>1764</v>
      </c>
      <c r="D728" s="9" t="s">
        <v>1765</v>
      </c>
      <c r="E728" s="66" t="s">
        <v>1689</v>
      </c>
      <c r="F728" s="13">
        <v>1300</v>
      </c>
      <c r="G728" s="13">
        <v>0</v>
      </c>
      <c r="H728" s="13">
        <v>0</v>
      </c>
      <c r="I728" s="13">
        <v>0</v>
      </c>
      <c r="J728" s="13">
        <v>0</v>
      </c>
      <c r="K728" s="13">
        <v>0</v>
      </c>
      <c r="L728" s="13">
        <v>0</v>
      </c>
      <c r="M728" s="13">
        <v>0</v>
      </c>
      <c r="N728" s="12">
        <f t="shared" si="107"/>
        <v>0</v>
      </c>
      <c r="O728" s="13">
        <v>1300</v>
      </c>
      <c r="P728" s="13">
        <v>0</v>
      </c>
      <c r="Q728" s="13">
        <v>0</v>
      </c>
      <c r="R728" s="14">
        <f t="shared" si="106"/>
        <v>1300</v>
      </c>
      <c r="S728" s="13">
        <f t="shared" si="108"/>
        <v>1400</v>
      </c>
      <c r="T728" s="13">
        <f t="shared" si="109"/>
        <v>1500</v>
      </c>
      <c r="U728" s="13" t="s">
        <v>4181</v>
      </c>
      <c r="V728" s="23" t="s">
        <v>1766</v>
      </c>
      <c r="W728" t="s">
        <v>1767</v>
      </c>
    </row>
    <row r="729" spans="1:23" ht="30" customHeight="1">
      <c r="A729" s="93">
        <v>35</v>
      </c>
      <c r="B729" s="13">
        <v>6780</v>
      </c>
      <c r="C729" s="9" t="s">
        <v>1768</v>
      </c>
      <c r="D729" s="9" t="s">
        <v>345</v>
      </c>
      <c r="E729" s="66" t="s">
        <v>1689</v>
      </c>
      <c r="F729" s="13">
        <v>2400</v>
      </c>
      <c r="G729" s="13">
        <v>0</v>
      </c>
      <c r="H729" s="13">
        <v>0</v>
      </c>
      <c r="I729" s="13">
        <v>0</v>
      </c>
      <c r="J729" s="13">
        <v>0</v>
      </c>
      <c r="K729" s="13">
        <v>0</v>
      </c>
      <c r="L729" s="13">
        <v>0</v>
      </c>
      <c r="M729" s="13">
        <v>0</v>
      </c>
      <c r="N729" s="12">
        <f t="shared" si="107"/>
        <v>0</v>
      </c>
      <c r="O729" s="13">
        <v>0</v>
      </c>
      <c r="P729" s="13">
        <v>0</v>
      </c>
      <c r="Q729" s="13">
        <v>0</v>
      </c>
      <c r="R729" s="14">
        <f t="shared" si="106"/>
        <v>0</v>
      </c>
      <c r="S729" s="13">
        <f t="shared" si="108"/>
        <v>100</v>
      </c>
      <c r="T729" s="13">
        <f t="shared" si="109"/>
        <v>200</v>
      </c>
      <c r="U729" s="13" t="s">
        <v>4181</v>
      </c>
      <c r="V729" s="23" t="s">
        <v>493</v>
      </c>
      <c r="W729" t="s">
        <v>1769</v>
      </c>
    </row>
    <row r="730" spans="1:23" ht="30" customHeight="1">
      <c r="A730" s="93">
        <v>36</v>
      </c>
      <c r="B730" s="13">
        <v>6797</v>
      </c>
      <c r="C730" s="9" t="s">
        <v>1770</v>
      </c>
      <c r="D730" s="9" t="s">
        <v>1771</v>
      </c>
      <c r="E730" s="66" t="s">
        <v>1689</v>
      </c>
      <c r="F730" s="13">
        <v>2400</v>
      </c>
      <c r="G730" s="13">
        <v>0</v>
      </c>
      <c r="H730" s="13">
        <v>0</v>
      </c>
      <c r="I730" s="13">
        <v>0</v>
      </c>
      <c r="J730" s="13">
        <v>0</v>
      </c>
      <c r="K730" s="13">
        <v>0</v>
      </c>
      <c r="L730" s="13">
        <v>0</v>
      </c>
      <c r="M730" s="13">
        <v>0</v>
      </c>
      <c r="N730" s="12">
        <f t="shared" si="107"/>
        <v>0</v>
      </c>
      <c r="O730" s="13">
        <v>0</v>
      </c>
      <c r="P730" s="13">
        <v>0</v>
      </c>
      <c r="Q730" s="13">
        <v>0</v>
      </c>
      <c r="R730" s="14">
        <f t="shared" si="106"/>
        <v>0</v>
      </c>
      <c r="S730" s="13">
        <f t="shared" si="108"/>
        <v>100</v>
      </c>
      <c r="T730" s="13">
        <f t="shared" si="109"/>
        <v>200</v>
      </c>
      <c r="U730" s="13" t="s">
        <v>4181</v>
      </c>
      <c r="V730" s="23" t="s">
        <v>1772</v>
      </c>
      <c r="W730" t="s">
        <v>1773</v>
      </c>
    </row>
    <row r="731" spans="1:23" ht="30" customHeight="1">
      <c r="A731" s="93">
        <v>37</v>
      </c>
      <c r="B731" s="13">
        <v>6796</v>
      </c>
      <c r="C731" s="9" t="s">
        <v>1774</v>
      </c>
      <c r="D731" s="9" t="s">
        <v>1775</v>
      </c>
      <c r="E731" s="66" t="s">
        <v>1689</v>
      </c>
      <c r="F731" s="13">
        <v>2400</v>
      </c>
      <c r="G731" s="13">
        <v>0</v>
      </c>
      <c r="H731" s="13">
        <v>0</v>
      </c>
      <c r="I731" s="13">
        <v>0</v>
      </c>
      <c r="J731" s="13">
        <v>0</v>
      </c>
      <c r="K731" s="13">
        <v>0</v>
      </c>
      <c r="L731" s="13">
        <v>0</v>
      </c>
      <c r="M731" s="13">
        <v>0</v>
      </c>
      <c r="N731" s="12">
        <f t="shared" si="107"/>
        <v>0</v>
      </c>
      <c r="O731" s="13">
        <v>0</v>
      </c>
      <c r="P731" s="13">
        <v>0</v>
      </c>
      <c r="Q731" s="13">
        <v>0</v>
      </c>
      <c r="R731" s="14">
        <f t="shared" si="106"/>
        <v>0</v>
      </c>
      <c r="S731" s="13">
        <f t="shared" si="108"/>
        <v>100</v>
      </c>
      <c r="T731" s="13">
        <f t="shared" si="109"/>
        <v>200</v>
      </c>
      <c r="U731" s="13" t="s">
        <v>4181</v>
      </c>
      <c r="V731" s="23" t="s">
        <v>1776</v>
      </c>
      <c r="W731" t="s">
        <v>1777</v>
      </c>
    </row>
    <row r="732" spans="1:23" ht="30" customHeight="1">
      <c r="A732" s="93">
        <v>1</v>
      </c>
      <c r="B732" s="13">
        <v>6889</v>
      </c>
      <c r="C732" s="9" t="s">
        <v>4205</v>
      </c>
      <c r="D732" s="9" t="s">
        <v>4144</v>
      </c>
      <c r="E732" s="291" t="s">
        <v>4206</v>
      </c>
      <c r="F732" s="13">
        <v>2600</v>
      </c>
      <c r="G732" s="13">
        <v>0</v>
      </c>
      <c r="H732" s="13">
        <v>0</v>
      </c>
      <c r="I732" s="13">
        <v>0</v>
      </c>
      <c r="J732" s="13">
        <v>0</v>
      </c>
      <c r="K732" s="13">
        <v>0</v>
      </c>
      <c r="L732" s="13">
        <v>0</v>
      </c>
      <c r="M732" s="13">
        <v>0</v>
      </c>
      <c r="N732" s="12">
        <f t="shared" ref="N732" si="110">(SUM(G732:M732))</f>
        <v>0</v>
      </c>
      <c r="O732" s="13">
        <v>0</v>
      </c>
      <c r="P732" s="13">
        <v>0</v>
      </c>
      <c r="Q732" s="13">
        <v>0</v>
      </c>
      <c r="R732" s="14">
        <f t="shared" ref="R732" si="111">(SUM(N732:Q732))</f>
        <v>0</v>
      </c>
      <c r="S732" s="13">
        <f t="shared" ref="S732" si="112">R732+100</f>
        <v>100</v>
      </c>
      <c r="T732" s="13">
        <f t="shared" ref="T732" si="113">R732+200</f>
        <v>200</v>
      </c>
      <c r="U732" s="13" t="s">
        <v>4181</v>
      </c>
      <c r="V732" s="23" t="s">
        <v>4207</v>
      </c>
      <c r="W732" t="s">
        <v>4208</v>
      </c>
    </row>
    <row r="733" spans="1:23" ht="30" customHeight="1">
      <c r="A733" s="93">
        <v>2</v>
      </c>
      <c r="B733" s="13">
        <v>6892</v>
      </c>
      <c r="C733" s="9" t="s">
        <v>4214</v>
      </c>
      <c r="D733" s="9" t="s">
        <v>4215</v>
      </c>
      <c r="E733" s="291" t="s">
        <v>4206</v>
      </c>
      <c r="F733" s="13">
        <v>2600</v>
      </c>
      <c r="G733" s="13">
        <v>0</v>
      </c>
      <c r="H733" s="13">
        <v>0</v>
      </c>
      <c r="I733" s="13">
        <v>0</v>
      </c>
      <c r="J733" s="13">
        <v>0</v>
      </c>
      <c r="K733" s="13">
        <v>0</v>
      </c>
      <c r="L733" s="13">
        <v>0</v>
      </c>
      <c r="M733" s="13">
        <v>0</v>
      </c>
      <c r="N733" s="12">
        <f t="shared" ref="N733" si="114">(SUM(G733:M733))</f>
        <v>0</v>
      </c>
      <c r="O733" s="13">
        <v>0</v>
      </c>
      <c r="P733" s="13">
        <v>0</v>
      </c>
      <c r="Q733" s="13">
        <v>3000</v>
      </c>
      <c r="R733" s="14">
        <f t="shared" ref="R733" si="115">(SUM(N733:Q733))</f>
        <v>3000</v>
      </c>
      <c r="S733" s="13">
        <f t="shared" ref="S733" si="116">R733+100</f>
        <v>3100</v>
      </c>
      <c r="T733" s="13">
        <f t="shared" ref="T733" si="117">R733+200</f>
        <v>3200</v>
      </c>
      <c r="U733" s="13" t="s">
        <v>4181</v>
      </c>
      <c r="V733" s="23" t="s">
        <v>4216</v>
      </c>
      <c r="W733" t="s">
        <v>4195</v>
      </c>
    </row>
    <row r="734" spans="1:23" ht="30" customHeight="1">
      <c r="A734" s="13">
        <v>1</v>
      </c>
      <c r="B734" s="13">
        <v>1937</v>
      </c>
      <c r="C734" s="9" t="s">
        <v>1781</v>
      </c>
      <c r="D734" s="9" t="s">
        <v>362</v>
      </c>
      <c r="E734" s="66" t="s">
        <v>1782</v>
      </c>
      <c r="F734" s="13">
        <v>2600</v>
      </c>
      <c r="G734" s="13">
        <v>0</v>
      </c>
      <c r="H734" s="13">
        <v>0</v>
      </c>
      <c r="I734" s="13">
        <v>0</v>
      </c>
      <c r="J734" s="13">
        <v>0</v>
      </c>
      <c r="K734" s="13">
        <v>0</v>
      </c>
      <c r="L734" s="13">
        <v>0</v>
      </c>
      <c r="M734" s="13">
        <v>0</v>
      </c>
      <c r="N734" s="12">
        <f t="shared" si="107"/>
        <v>0</v>
      </c>
      <c r="O734" s="13">
        <v>2600</v>
      </c>
      <c r="P734" s="13">
        <v>0</v>
      </c>
      <c r="Q734" s="13">
        <v>0</v>
      </c>
      <c r="R734" s="14">
        <f t="shared" si="106"/>
        <v>2600</v>
      </c>
      <c r="S734" s="13">
        <f t="shared" si="108"/>
        <v>2700</v>
      </c>
      <c r="T734" s="13">
        <f t="shared" si="109"/>
        <v>2800</v>
      </c>
      <c r="U734" s="13" t="s">
        <v>4181</v>
      </c>
      <c r="V734" s="15" t="s">
        <v>364</v>
      </c>
    </row>
    <row r="735" spans="1:23" ht="30" customHeight="1">
      <c r="A735" s="93">
        <v>2</v>
      </c>
      <c r="B735" s="13">
        <v>2039</v>
      </c>
      <c r="C735" s="9" t="s">
        <v>1783</v>
      </c>
      <c r="D735" s="9" t="s">
        <v>1784</v>
      </c>
      <c r="E735" s="66" t="s">
        <v>1782</v>
      </c>
      <c r="F735" s="13">
        <v>1400</v>
      </c>
      <c r="G735" s="13">
        <v>0</v>
      </c>
      <c r="H735" s="13">
        <v>0</v>
      </c>
      <c r="I735" s="13">
        <v>0</v>
      </c>
      <c r="J735" s="13">
        <v>0</v>
      </c>
      <c r="K735" s="13">
        <v>0</v>
      </c>
      <c r="L735" s="13">
        <v>0</v>
      </c>
      <c r="M735" s="13">
        <v>0</v>
      </c>
      <c r="N735" s="12">
        <f t="shared" si="107"/>
        <v>0</v>
      </c>
      <c r="O735" s="13">
        <v>0</v>
      </c>
      <c r="P735" s="13">
        <v>0</v>
      </c>
      <c r="Q735" s="13">
        <v>0</v>
      </c>
      <c r="R735" s="14">
        <f t="shared" si="106"/>
        <v>0</v>
      </c>
      <c r="S735" s="13">
        <f t="shared" si="108"/>
        <v>100</v>
      </c>
      <c r="T735" s="13">
        <f t="shared" si="109"/>
        <v>200</v>
      </c>
      <c r="U735" s="13" t="s">
        <v>4181</v>
      </c>
      <c r="V735" s="51" t="s">
        <v>1785</v>
      </c>
    </row>
    <row r="736" spans="1:23" ht="30" customHeight="1">
      <c r="A736" s="13">
        <v>3</v>
      </c>
      <c r="B736" s="13">
        <v>2042</v>
      </c>
      <c r="C736" s="9" t="s">
        <v>1786</v>
      </c>
      <c r="D736" s="9" t="s">
        <v>1787</v>
      </c>
      <c r="E736" s="66" t="s">
        <v>1782</v>
      </c>
      <c r="F736" s="13">
        <v>2600</v>
      </c>
      <c r="G736" s="13">
        <v>0</v>
      </c>
      <c r="H736" s="13">
        <v>0</v>
      </c>
      <c r="I736" s="13">
        <v>0</v>
      </c>
      <c r="J736" s="13">
        <v>0</v>
      </c>
      <c r="K736" s="13">
        <v>0</v>
      </c>
      <c r="L736" s="13">
        <v>0</v>
      </c>
      <c r="M736" s="13">
        <v>0</v>
      </c>
      <c r="N736" s="12">
        <f t="shared" si="107"/>
        <v>0</v>
      </c>
      <c r="O736" s="13">
        <v>0</v>
      </c>
      <c r="P736" s="13">
        <v>0</v>
      </c>
      <c r="Q736" s="13">
        <v>0</v>
      </c>
      <c r="R736" s="14">
        <f t="shared" si="106"/>
        <v>0</v>
      </c>
      <c r="S736" s="13">
        <f t="shared" si="108"/>
        <v>100</v>
      </c>
      <c r="T736" s="13">
        <f t="shared" si="109"/>
        <v>200</v>
      </c>
      <c r="U736" s="13" t="s">
        <v>4181</v>
      </c>
      <c r="V736" s="15" t="s">
        <v>1788</v>
      </c>
    </row>
    <row r="737" spans="1:22" ht="30" customHeight="1">
      <c r="A737" s="93">
        <v>4</v>
      </c>
      <c r="B737" s="13">
        <v>2092</v>
      </c>
      <c r="C737" s="9" t="s">
        <v>1789</v>
      </c>
      <c r="D737" s="9" t="s">
        <v>1790</v>
      </c>
      <c r="E737" s="66" t="s">
        <v>1782</v>
      </c>
      <c r="F737" s="13">
        <v>2600</v>
      </c>
      <c r="G737" s="13">
        <v>0</v>
      </c>
      <c r="H737" s="13">
        <v>0</v>
      </c>
      <c r="I737" s="13">
        <v>0</v>
      </c>
      <c r="J737" s="13">
        <v>0</v>
      </c>
      <c r="K737" s="13">
        <v>0</v>
      </c>
      <c r="L737" s="13">
        <v>0</v>
      </c>
      <c r="M737" s="13">
        <v>0</v>
      </c>
      <c r="N737" s="12">
        <f t="shared" si="107"/>
        <v>0</v>
      </c>
      <c r="O737" s="13">
        <v>0</v>
      </c>
      <c r="P737" s="13">
        <v>0</v>
      </c>
      <c r="Q737" s="13">
        <v>0</v>
      </c>
      <c r="R737" s="14">
        <f t="shared" si="106"/>
        <v>0</v>
      </c>
      <c r="S737" s="13">
        <f t="shared" si="108"/>
        <v>100</v>
      </c>
      <c r="T737" s="13">
        <f t="shared" si="109"/>
        <v>200</v>
      </c>
      <c r="U737" s="13" t="s">
        <v>4181</v>
      </c>
      <c r="V737" s="15" t="s">
        <v>1791</v>
      </c>
    </row>
    <row r="738" spans="1:22" ht="30" customHeight="1">
      <c r="A738" s="13">
        <v>5</v>
      </c>
      <c r="B738" s="13">
        <v>2093</v>
      </c>
      <c r="C738" s="9" t="s">
        <v>1792</v>
      </c>
      <c r="D738" s="9" t="s">
        <v>461</v>
      </c>
      <c r="E738" s="66" t="s">
        <v>1782</v>
      </c>
      <c r="F738" s="13">
        <v>2600</v>
      </c>
      <c r="G738" s="13">
        <v>0</v>
      </c>
      <c r="H738" s="13">
        <v>0</v>
      </c>
      <c r="I738" s="13">
        <v>0</v>
      </c>
      <c r="J738" s="13">
        <v>0</v>
      </c>
      <c r="K738" s="13">
        <v>0</v>
      </c>
      <c r="L738" s="13">
        <v>0</v>
      </c>
      <c r="M738" s="13">
        <v>0</v>
      </c>
      <c r="N738" s="12">
        <f t="shared" si="107"/>
        <v>0</v>
      </c>
      <c r="O738" s="13">
        <v>0</v>
      </c>
      <c r="P738" s="13">
        <v>0</v>
      </c>
      <c r="Q738" s="13">
        <v>0</v>
      </c>
      <c r="R738" s="14">
        <f t="shared" si="106"/>
        <v>0</v>
      </c>
      <c r="S738" s="13">
        <f t="shared" si="108"/>
        <v>100</v>
      </c>
      <c r="T738" s="13">
        <f t="shared" si="109"/>
        <v>200</v>
      </c>
      <c r="U738" s="13" t="s">
        <v>4181</v>
      </c>
      <c r="V738" s="72" t="s">
        <v>1793</v>
      </c>
    </row>
    <row r="739" spans="1:22" ht="30" customHeight="1">
      <c r="A739" s="93">
        <v>6</v>
      </c>
      <c r="B739" s="13">
        <v>3042</v>
      </c>
      <c r="C739" s="9" t="s">
        <v>1794</v>
      </c>
      <c r="D739" s="9" t="s">
        <v>1795</v>
      </c>
      <c r="E739" s="66" t="s">
        <v>1782</v>
      </c>
      <c r="F739" s="13">
        <v>2600</v>
      </c>
      <c r="G739" s="13">
        <v>0</v>
      </c>
      <c r="H739" s="13">
        <v>0</v>
      </c>
      <c r="I739" s="13">
        <v>0</v>
      </c>
      <c r="J739" s="13">
        <v>0</v>
      </c>
      <c r="K739" s="13">
        <v>0</v>
      </c>
      <c r="L739" s="13">
        <v>0</v>
      </c>
      <c r="M739" s="13">
        <v>0</v>
      </c>
      <c r="N739" s="12">
        <f t="shared" si="107"/>
        <v>0</v>
      </c>
      <c r="O739" s="13">
        <v>2600</v>
      </c>
      <c r="P739" s="13">
        <v>0</v>
      </c>
      <c r="Q739" s="13">
        <v>3000</v>
      </c>
      <c r="R739" s="14">
        <f t="shared" si="106"/>
        <v>5600</v>
      </c>
      <c r="S739" s="13">
        <f t="shared" si="108"/>
        <v>5700</v>
      </c>
      <c r="T739" s="13">
        <f t="shared" si="109"/>
        <v>5800</v>
      </c>
      <c r="U739" s="13" t="s">
        <v>4181</v>
      </c>
      <c r="V739" s="72" t="s">
        <v>1796</v>
      </c>
    </row>
    <row r="740" spans="1:22" ht="30" customHeight="1">
      <c r="A740" s="13">
        <v>7</v>
      </c>
      <c r="B740" s="13">
        <v>3080</v>
      </c>
      <c r="C740" s="9" t="s">
        <v>146</v>
      </c>
      <c r="D740" s="9" t="s">
        <v>1704</v>
      </c>
      <c r="E740" s="66" t="s">
        <v>1782</v>
      </c>
      <c r="F740" s="13">
        <v>2600</v>
      </c>
      <c r="G740" s="13">
        <v>0</v>
      </c>
      <c r="H740" s="13">
        <v>0</v>
      </c>
      <c r="I740" s="13">
        <v>0</v>
      </c>
      <c r="J740" s="13">
        <v>0</v>
      </c>
      <c r="K740" s="13">
        <v>0</v>
      </c>
      <c r="L740" s="13">
        <v>0</v>
      </c>
      <c r="M740" s="13">
        <v>0</v>
      </c>
      <c r="N740" s="12">
        <f t="shared" si="107"/>
        <v>0</v>
      </c>
      <c r="O740" s="13">
        <v>0</v>
      </c>
      <c r="P740" s="13">
        <v>0</v>
      </c>
      <c r="Q740" s="13">
        <v>0</v>
      </c>
      <c r="R740" s="14">
        <f t="shared" si="106"/>
        <v>0</v>
      </c>
      <c r="S740" s="13">
        <f t="shared" si="108"/>
        <v>100</v>
      </c>
      <c r="T740" s="13">
        <f t="shared" si="109"/>
        <v>200</v>
      </c>
      <c r="U740" s="13" t="s">
        <v>4181</v>
      </c>
      <c r="V740" s="72" t="s">
        <v>1797</v>
      </c>
    </row>
    <row r="741" spans="1:22" ht="30" customHeight="1">
      <c r="A741" s="93">
        <v>8</v>
      </c>
      <c r="B741" s="13">
        <v>4155</v>
      </c>
      <c r="C741" s="9" t="s">
        <v>1798</v>
      </c>
      <c r="D741" s="9" t="s">
        <v>1091</v>
      </c>
      <c r="E741" s="66" t="s">
        <v>1782</v>
      </c>
      <c r="F741" s="13">
        <v>1600</v>
      </c>
      <c r="G741" s="13">
        <v>0</v>
      </c>
      <c r="H741" s="13">
        <v>0</v>
      </c>
      <c r="I741" s="13">
        <v>0</v>
      </c>
      <c r="J741" s="13">
        <v>0</v>
      </c>
      <c r="K741" s="13">
        <v>0</v>
      </c>
      <c r="L741" s="13">
        <v>0</v>
      </c>
      <c r="M741" s="13">
        <v>0</v>
      </c>
      <c r="N741" s="12">
        <f t="shared" si="107"/>
        <v>0</v>
      </c>
      <c r="O741" s="13">
        <v>0</v>
      </c>
      <c r="P741" s="13">
        <v>0</v>
      </c>
      <c r="Q741" s="13">
        <v>0</v>
      </c>
      <c r="R741" s="14">
        <f t="shared" si="106"/>
        <v>0</v>
      </c>
      <c r="S741" s="13">
        <f t="shared" si="108"/>
        <v>100</v>
      </c>
      <c r="T741" s="13">
        <f t="shared" si="109"/>
        <v>200</v>
      </c>
      <c r="U741" s="13" t="s">
        <v>4181</v>
      </c>
      <c r="V741" s="15" t="s">
        <v>1799</v>
      </c>
    </row>
    <row r="742" spans="1:22" ht="30" customHeight="1">
      <c r="A742" s="13">
        <v>9</v>
      </c>
      <c r="B742" s="13">
        <v>4375</v>
      </c>
      <c r="C742" s="9" t="s">
        <v>458</v>
      </c>
      <c r="D742" s="87" t="s">
        <v>1800</v>
      </c>
      <c r="E742" s="66" t="s">
        <v>1782</v>
      </c>
      <c r="F742" s="13">
        <v>2600</v>
      </c>
      <c r="G742" s="13">
        <v>0</v>
      </c>
      <c r="H742" s="13">
        <v>0</v>
      </c>
      <c r="I742" s="13">
        <v>0</v>
      </c>
      <c r="J742" s="13">
        <v>0</v>
      </c>
      <c r="K742" s="13">
        <v>0</v>
      </c>
      <c r="L742" s="13">
        <v>0</v>
      </c>
      <c r="M742" s="13">
        <v>0</v>
      </c>
      <c r="N742" s="12">
        <f t="shared" si="107"/>
        <v>0</v>
      </c>
      <c r="O742" s="13">
        <v>2600</v>
      </c>
      <c r="P742" s="13">
        <v>0</v>
      </c>
      <c r="Q742" s="13">
        <v>0</v>
      </c>
      <c r="R742" s="14">
        <f t="shared" si="106"/>
        <v>2600</v>
      </c>
      <c r="S742" s="13">
        <f t="shared" si="108"/>
        <v>2700</v>
      </c>
      <c r="T742" s="13">
        <f t="shared" si="109"/>
        <v>2800</v>
      </c>
      <c r="U742" s="13" t="s">
        <v>4181</v>
      </c>
      <c r="V742" s="72" t="s">
        <v>1272</v>
      </c>
    </row>
    <row r="743" spans="1:22" ht="30" customHeight="1">
      <c r="A743" s="93">
        <v>10</v>
      </c>
      <c r="B743" s="13">
        <v>4511</v>
      </c>
      <c r="C743" s="9" t="s">
        <v>1801</v>
      </c>
      <c r="D743" s="9" t="s">
        <v>1802</v>
      </c>
      <c r="E743" s="66" t="s">
        <v>1782</v>
      </c>
      <c r="F743" s="13">
        <v>2200</v>
      </c>
      <c r="G743" s="13">
        <v>0</v>
      </c>
      <c r="H743" s="13">
        <v>0</v>
      </c>
      <c r="I743" s="13">
        <v>0</v>
      </c>
      <c r="J743" s="13">
        <v>0</v>
      </c>
      <c r="K743" s="13">
        <v>0</v>
      </c>
      <c r="L743" s="13">
        <v>0</v>
      </c>
      <c r="M743" s="13">
        <v>0</v>
      </c>
      <c r="N743" s="12">
        <f t="shared" si="107"/>
        <v>0</v>
      </c>
      <c r="O743" s="13">
        <v>0</v>
      </c>
      <c r="P743" s="13">
        <v>0</v>
      </c>
      <c r="Q743" s="13">
        <v>0</v>
      </c>
      <c r="R743" s="14">
        <f t="shared" si="106"/>
        <v>0</v>
      </c>
      <c r="S743" s="13">
        <f t="shared" si="108"/>
        <v>100</v>
      </c>
      <c r="T743" s="13">
        <f t="shared" si="109"/>
        <v>200</v>
      </c>
      <c r="U743" s="13" t="s">
        <v>4181</v>
      </c>
      <c r="V743" s="72" t="s">
        <v>1803</v>
      </c>
    </row>
    <row r="744" spans="1:22" ht="30" customHeight="1">
      <c r="A744" s="13">
        <v>11</v>
      </c>
      <c r="B744" s="13">
        <v>4610</v>
      </c>
      <c r="C744" s="9" t="s">
        <v>4099</v>
      </c>
      <c r="D744" s="9" t="s">
        <v>1156</v>
      </c>
      <c r="E744" s="66" t="s">
        <v>1782</v>
      </c>
      <c r="F744" s="13">
        <v>2600</v>
      </c>
      <c r="G744" s="13">
        <v>0</v>
      </c>
      <c r="H744" s="13">
        <v>0</v>
      </c>
      <c r="I744" s="13">
        <v>0</v>
      </c>
      <c r="J744" s="13">
        <v>0</v>
      </c>
      <c r="K744" s="13">
        <v>0</v>
      </c>
      <c r="L744" s="13">
        <v>0</v>
      </c>
      <c r="M744" s="13">
        <v>0</v>
      </c>
      <c r="N744" s="12">
        <f t="shared" si="107"/>
        <v>0</v>
      </c>
      <c r="O744" s="13">
        <v>0</v>
      </c>
      <c r="P744" s="13">
        <v>0</v>
      </c>
      <c r="Q744" s="13">
        <v>0</v>
      </c>
      <c r="R744" s="14">
        <f t="shared" si="106"/>
        <v>0</v>
      </c>
      <c r="S744" s="13">
        <f t="shared" si="108"/>
        <v>100</v>
      </c>
      <c r="T744" s="13">
        <f t="shared" si="109"/>
        <v>200</v>
      </c>
      <c r="U744" s="13" t="s">
        <v>4181</v>
      </c>
      <c r="V744" s="72" t="s">
        <v>1157</v>
      </c>
    </row>
    <row r="745" spans="1:22" ht="30" customHeight="1">
      <c r="A745" s="93">
        <v>12</v>
      </c>
      <c r="B745" s="13">
        <v>4673</v>
      </c>
      <c r="C745" s="9" t="s">
        <v>41</v>
      </c>
      <c r="D745" s="9" t="s">
        <v>613</v>
      </c>
      <c r="E745" s="66" t="s">
        <v>1782</v>
      </c>
      <c r="F745" s="13">
        <v>2600</v>
      </c>
      <c r="G745" s="13">
        <v>0</v>
      </c>
      <c r="H745" s="13">
        <v>0</v>
      </c>
      <c r="I745" s="13">
        <v>0</v>
      </c>
      <c r="J745" s="13">
        <v>0</v>
      </c>
      <c r="K745" s="13">
        <v>0</v>
      </c>
      <c r="L745" s="13">
        <v>0</v>
      </c>
      <c r="M745" s="13">
        <v>300</v>
      </c>
      <c r="N745" s="12">
        <f t="shared" si="107"/>
        <v>300</v>
      </c>
      <c r="O745" s="13">
        <v>2600</v>
      </c>
      <c r="P745" s="13">
        <v>0</v>
      </c>
      <c r="Q745" s="13">
        <v>0</v>
      </c>
      <c r="R745" s="14">
        <f t="shared" si="106"/>
        <v>2900</v>
      </c>
      <c r="S745" s="13">
        <f t="shared" si="108"/>
        <v>3000</v>
      </c>
      <c r="T745" s="13">
        <f t="shared" si="109"/>
        <v>3100</v>
      </c>
      <c r="U745" s="13" t="s">
        <v>4181</v>
      </c>
      <c r="V745" s="72" t="s">
        <v>1804</v>
      </c>
    </row>
    <row r="746" spans="1:22" ht="30" customHeight="1">
      <c r="A746" s="13">
        <v>13</v>
      </c>
      <c r="B746" s="13">
        <v>4743</v>
      </c>
      <c r="C746" s="9" t="s">
        <v>1805</v>
      </c>
      <c r="D746" s="9" t="s">
        <v>1162</v>
      </c>
      <c r="E746" s="66" t="s">
        <v>1782</v>
      </c>
      <c r="F746" s="13">
        <v>2600</v>
      </c>
      <c r="G746" s="13">
        <v>0</v>
      </c>
      <c r="H746" s="13">
        <v>0</v>
      </c>
      <c r="I746" s="13">
        <v>0</v>
      </c>
      <c r="J746" s="13">
        <v>0</v>
      </c>
      <c r="K746" s="13">
        <v>0</v>
      </c>
      <c r="L746" s="13">
        <v>0</v>
      </c>
      <c r="M746" s="13">
        <v>0</v>
      </c>
      <c r="N746" s="12">
        <f t="shared" si="107"/>
        <v>0</v>
      </c>
      <c r="O746" s="13">
        <v>0</v>
      </c>
      <c r="P746" s="13">
        <v>0</v>
      </c>
      <c r="Q746" s="13">
        <v>0</v>
      </c>
      <c r="R746" s="14">
        <f t="shared" si="106"/>
        <v>0</v>
      </c>
      <c r="S746" s="13">
        <f t="shared" si="108"/>
        <v>100</v>
      </c>
      <c r="T746" s="13">
        <f t="shared" si="109"/>
        <v>200</v>
      </c>
      <c r="U746" s="13" t="s">
        <v>4181</v>
      </c>
      <c r="V746" s="72" t="s">
        <v>1163</v>
      </c>
    </row>
    <row r="747" spans="1:22" ht="30" customHeight="1">
      <c r="A747" s="93">
        <v>14</v>
      </c>
      <c r="B747" s="13">
        <v>5076</v>
      </c>
      <c r="C747" s="9" t="s">
        <v>1806</v>
      </c>
      <c r="D747" s="9" t="s">
        <v>839</v>
      </c>
      <c r="E747" s="66" t="s">
        <v>1782</v>
      </c>
      <c r="F747" s="13">
        <v>2600</v>
      </c>
      <c r="G747" s="13">
        <v>0</v>
      </c>
      <c r="H747" s="13">
        <v>0</v>
      </c>
      <c r="I747" s="13">
        <v>0</v>
      </c>
      <c r="J747" s="13">
        <v>0</v>
      </c>
      <c r="K747" s="13">
        <v>0</v>
      </c>
      <c r="L747" s="13">
        <v>0</v>
      </c>
      <c r="M747" s="13">
        <v>0</v>
      </c>
      <c r="N747" s="12">
        <f t="shared" si="107"/>
        <v>0</v>
      </c>
      <c r="O747" s="13">
        <v>0</v>
      </c>
      <c r="P747" s="13">
        <v>0</v>
      </c>
      <c r="Q747" s="13">
        <v>0</v>
      </c>
      <c r="R747" s="14">
        <f t="shared" si="106"/>
        <v>0</v>
      </c>
      <c r="S747" s="13">
        <f t="shared" si="108"/>
        <v>100</v>
      </c>
      <c r="T747" s="13">
        <f t="shared" si="109"/>
        <v>200</v>
      </c>
      <c r="U747" s="13" t="s">
        <v>4181</v>
      </c>
      <c r="V747" s="24" t="s">
        <v>840</v>
      </c>
    </row>
    <row r="748" spans="1:22" ht="30" customHeight="1">
      <c r="A748" s="13">
        <v>15</v>
      </c>
      <c r="B748" s="8">
        <v>6053</v>
      </c>
      <c r="C748" s="10" t="s">
        <v>358</v>
      </c>
      <c r="D748" s="10" t="s">
        <v>1807</v>
      </c>
      <c r="E748" s="66" t="s">
        <v>1782</v>
      </c>
      <c r="F748" s="8">
        <v>2600</v>
      </c>
      <c r="G748" s="8">
        <v>0</v>
      </c>
      <c r="H748" s="8">
        <v>0</v>
      </c>
      <c r="I748" s="8">
        <v>0</v>
      </c>
      <c r="J748" s="8">
        <v>0</v>
      </c>
      <c r="K748" s="8">
        <v>0</v>
      </c>
      <c r="L748" s="8">
        <v>0</v>
      </c>
      <c r="M748" s="8">
        <v>0</v>
      </c>
      <c r="N748" s="12">
        <f t="shared" si="107"/>
        <v>0</v>
      </c>
      <c r="O748" s="8">
        <v>0</v>
      </c>
      <c r="P748" s="13">
        <v>0</v>
      </c>
      <c r="Q748" s="13">
        <v>0</v>
      </c>
      <c r="R748" s="14">
        <f t="shared" si="106"/>
        <v>0</v>
      </c>
      <c r="S748" s="13">
        <f t="shared" si="108"/>
        <v>100</v>
      </c>
      <c r="T748" s="13">
        <f t="shared" si="109"/>
        <v>200</v>
      </c>
      <c r="U748" s="13" t="s">
        <v>4181</v>
      </c>
      <c r="V748" s="69" t="s">
        <v>379</v>
      </c>
    </row>
    <row r="749" spans="1:22" ht="30" customHeight="1">
      <c r="A749" s="93">
        <v>16</v>
      </c>
      <c r="B749" s="8">
        <v>6103</v>
      </c>
      <c r="C749" s="10" t="s">
        <v>1808</v>
      </c>
      <c r="D749" s="10" t="s">
        <v>83</v>
      </c>
      <c r="E749" s="66" t="s">
        <v>1782</v>
      </c>
      <c r="F749" s="8">
        <v>2600</v>
      </c>
      <c r="G749" s="8">
        <v>0</v>
      </c>
      <c r="H749" s="8">
        <v>0</v>
      </c>
      <c r="I749" s="8">
        <v>0</v>
      </c>
      <c r="J749" s="8">
        <v>0</v>
      </c>
      <c r="K749" s="8">
        <v>0</v>
      </c>
      <c r="L749" s="8">
        <v>0</v>
      </c>
      <c r="M749" s="8">
        <v>0</v>
      </c>
      <c r="N749" s="12">
        <f t="shared" si="107"/>
        <v>0</v>
      </c>
      <c r="O749" s="8">
        <v>0</v>
      </c>
      <c r="P749" s="13">
        <v>0</v>
      </c>
      <c r="Q749" s="13">
        <v>0</v>
      </c>
      <c r="R749" s="14">
        <f t="shared" si="106"/>
        <v>0</v>
      </c>
      <c r="S749" s="13">
        <f t="shared" si="108"/>
        <v>100</v>
      </c>
      <c r="T749" s="13">
        <f t="shared" si="109"/>
        <v>200</v>
      </c>
      <c r="U749" s="13" t="s">
        <v>4181</v>
      </c>
      <c r="V749" s="69" t="s">
        <v>395</v>
      </c>
    </row>
    <row r="750" spans="1:22" ht="30" customHeight="1">
      <c r="A750" s="13">
        <v>17</v>
      </c>
      <c r="B750" s="13">
        <v>6176</v>
      </c>
      <c r="C750" s="9" t="s">
        <v>1810</v>
      </c>
      <c r="D750" s="9" t="s">
        <v>981</v>
      </c>
      <c r="E750" s="66" t="s">
        <v>1782</v>
      </c>
      <c r="F750" s="13">
        <v>2600</v>
      </c>
      <c r="G750" s="13">
        <v>0</v>
      </c>
      <c r="H750" s="13">
        <v>0</v>
      </c>
      <c r="I750" s="13">
        <v>0</v>
      </c>
      <c r="J750" s="13">
        <v>0</v>
      </c>
      <c r="K750" s="13">
        <v>0</v>
      </c>
      <c r="L750" s="13">
        <v>0</v>
      </c>
      <c r="M750" s="13">
        <v>0</v>
      </c>
      <c r="N750" s="12">
        <f t="shared" si="107"/>
        <v>0</v>
      </c>
      <c r="O750" s="13">
        <v>0</v>
      </c>
      <c r="P750" s="13">
        <v>0</v>
      </c>
      <c r="Q750" s="13">
        <v>0</v>
      </c>
      <c r="R750" s="14">
        <f t="shared" si="106"/>
        <v>0</v>
      </c>
      <c r="S750" s="13">
        <f t="shared" si="108"/>
        <v>100</v>
      </c>
      <c r="T750" s="13">
        <f t="shared" si="109"/>
        <v>200</v>
      </c>
      <c r="U750" s="13" t="s">
        <v>4181</v>
      </c>
      <c r="V750" s="23" t="s">
        <v>1811</v>
      </c>
    </row>
    <row r="751" spans="1:22" ht="30" customHeight="1">
      <c r="A751" s="93">
        <v>18</v>
      </c>
      <c r="B751" s="13">
        <v>6196</v>
      </c>
      <c r="C751" s="9" t="s">
        <v>722</v>
      </c>
      <c r="D751" s="9" t="s">
        <v>937</v>
      </c>
      <c r="E751" s="66" t="s">
        <v>1782</v>
      </c>
      <c r="F751" s="13">
        <v>2000</v>
      </c>
      <c r="G751" s="13">
        <v>0</v>
      </c>
      <c r="H751" s="13">
        <v>0</v>
      </c>
      <c r="I751" s="13">
        <v>0</v>
      </c>
      <c r="J751" s="13">
        <v>0</v>
      </c>
      <c r="K751" s="13">
        <v>0</v>
      </c>
      <c r="L751" s="13">
        <v>0</v>
      </c>
      <c r="M751" s="13">
        <v>0</v>
      </c>
      <c r="N751" s="12">
        <f t="shared" si="107"/>
        <v>0</v>
      </c>
      <c r="O751" s="13">
        <v>0</v>
      </c>
      <c r="P751" s="13">
        <v>0</v>
      </c>
      <c r="Q751" s="13">
        <v>0</v>
      </c>
      <c r="R751" s="14">
        <f t="shared" si="106"/>
        <v>0</v>
      </c>
      <c r="S751" s="13">
        <f t="shared" si="108"/>
        <v>100</v>
      </c>
      <c r="T751" s="13">
        <f t="shared" si="109"/>
        <v>200</v>
      </c>
      <c r="U751" s="13" t="s">
        <v>4181</v>
      </c>
      <c r="V751" s="23" t="s">
        <v>1812</v>
      </c>
    </row>
    <row r="752" spans="1:22" ht="30" customHeight="1">
      <c r="A752" s="13">
        <v>19</v>
      </c>
      <c r="B752" s="13">
        <v>6339</v>
      </c>
      <c r="C752" s="9" t="s">
        <v>1813</v>
      </c>
      <c r="D752" s="9" t="s">
        <v>1658</v>
      </c>
      <c r="E752" s="66" t="s">
        <v>1782</v>
      </c>
      <c r="F752" s="13">
        <v>2600</v>
      </c>
      <c r="G752" s="13">
        <v>0</v>
      </c>
      <c r="H752" s="13">
        <v>0</v>
      </c>
      <c r="I752" s="13">
        <v>0</v>
      </c>
      <c r="J752" s="13">
        <v>0</v>
      </c>
      <c r="K752" s="13">
        <v>0</v>
      </c>
      <c r="L752" s="13">
        <v>0</v>
      </c>
      <c r="M752" s="13">
        <v>0</v>
      </c>
      <c r="N752" s="12">
        <f t="shared" si="107"/>
        <v>0</v>
      </c>
      <c r="O752" s="13">
        <v>2600</v>
      </c>
      <c r="P752" s="13">
        <v>0</v>
      </c>
      <c r="Q752" s="13">
        <v>0</v>
      </c>
      <c r="R752" s="14">
        <f t="shared" si="106"/>
        <v>2600</v>
      </c>
      <c r="S752" s="13">
        <f t="shared" si="108"/>
        <v>2700</v>
      </c>
      <c r="T752" s="13">
        <f t="shared" si="109"/>
        <v>2800</v>
      </c>
      <c r="U752" s="13" t="s">
        <v>4181</v>
      </c>
      <c r="V752" s="23" t="s">
        <v>521</v>
      </c>
    </row>
    <row r="753" spans="1:23" ht="30" customHeight="1">
      <c r="A753" s="93">
        <v>20</v>
      </c>
      <c r="B753" s="13">
        <v>6394</v>
      </c>
      <c r="C753" s="9" t="s">
        <v>1814</v>
      </c>
      <c r="D753" s="9" t="s">
        <v>1815</v>
      </c>
      <c r="E753" s="66" t="s">
        <v>1782</v>
      </c>
      <c r="F753" s="13">
        <v>1400</v>
      </c>
      <c r="G753" s="13">
        <v>0</v>
      </c>
      <c r="H753" s="13">
        <v>0</v>
      </c>
      <c r="I753" s="13">
        <v>0</v>
      </c>
      <c r="J753" s="13">
        <v>0</v>
      </c>
      <c r="K753" s="13">
        <v>0</v>
      </c>
      <c r="L753" s="13">
        <v>0</v>
      </c>
      <c r="M753" s="13">
        <v>0</v>
      </c>
      <c r="N753" s="12">
        <f t="shared" si="107"/>
        <v>0</v>
      </c>
      <c r="O753" s="13">
        <v>400</v>
      </c>
      <c r="P753" s="13">
        <v>0</v>
      </c>
      <c r="Q753" s="13">
        <v>0</v>
      </c>
      <c r="R753" s="14">
        <f t="shared" si="106"/>
        <v>400</v>
      </c>
      <c r="S753" s="13">
        <f t="shared" si="108"/>
        <v>500</v>
      </c>
      <c r="T753" s="13">
        <f t="shared" si="109"/>
        <v>600</v>
      </c>
      <c r="U753" s="13" t="s">
        <v>4181</v>
      </c>
      <c r="V753" s="23" t="s">
        <v>1816</v>
      </c>
    </row>
    <row r="754" spans="1:23" ht="30" customHeight="1">
      <c r="A754" s="13">
        <v>21</v>
      </c>
      <c r="B754" s="13">
        <v>6407</v>
      </c>
      <c r="C754" s="9" t="s">
        <v>1817</v>
      </c>
      <c r="D754" s="9" t="s">
        <v>1818</v>
      </c>
      <c r="E754" s="66" t="s">
        <v>1782</v>
      </c>
      <c r="F754" s="13">
        <v>2600</v>
      </c>
      <c r="G754" s="13">
        <v>0</v>
      </c>
      <c r="H754" s="13">
        <v>0</v>
      </c>
      <c r="I754" s="13">
        <v>0</v>
      </c>
      <c r="J754" s="13">
        <v>0</v>
      </c>
      <c r="K754" s="13">
        <v>0</v>
      </c>
      <c r="L754" s="13">
        <v>0</v>
      </c>
      <c r="M754" s="13">
        <v>0</v>
      </c>
      <c r="N754" s="12">
        <f t="shared" si="107"/>
        <v>0</v>
      </c>
      <c r="O754" s="13">
        <v>0</v>
      </c>
      <c r="P754" s="13">
        <v>0</v>
      </c>
      <c r="Q754" s="13">
        <v>0</v>
      </c>
      <c r="R754" s="14">
        <f t="shared" si="106"/>
        <v>0</v>
      </c>
      <c r="S754" s="13">
        <f t="shared" si="108"/>
        <v>100</v>
      </c>
      <c r="T754" s="13">
        <f t="shared" si="109"/>
        <v>200</v>
      </c>
      <c r="U754" s="13" t="s">
        <v>4181</v>
      </c>
      <c r="V754" s="23" t="s">
        <v>1819</v>
      </c>
    </row>
    <row r="755" spans="1:23" ht="30" customHeight="1">
      <c r="A755" s="93">
        <v>22</v>
      </c>
      <c r="B755" s="13">
        <v>6408</v>
      </c>
      <c r="C755" s="9" t="s">
        <v>1820</v>
      </c>
      <c r="D755" s="9" t="s">
        <v>1821</v>
      </c>
      <c r="E755" s="66" t="s">
        <v>1782</v>
      </c>
      <c r="F755" s="13">
        <v>2500</v>
      </c>
      <c r="G755" s="13">
        <v>0</v>
      </c>
      <c r="H755" s="13">
        <v>0</v>
      </c>
      <c r="I755" s="13">
        <v>0</v>
      </c>
      <c r="J755" s="13">
        <v>0</v>
      </c>
      <c r="K755" s="13">
        <v>0</v>
      </c>
      <c r="L755" s="13">
        <v>0</v>
      </c>
      <c r="M755" s="13">
        <v>0</v>
      </c>
      <c r="N755" s="12">
        <f t="shared" si="107"/>
        <v>0</v>
      </c>
      <c r="O755" s="13">
        <v>2500</v>
      </c>
      <c r="P755" s="13">
        <v>0</v>
      </c>
      <c r="Q755" s="13">
        <v>0</v>
      </c>
      <c r="R755" s="14">
        <f t="shared" si="106"/>
        <v>2500</v>
      </c>
      <c r="S755" s="13">
        <f t="shared" si="108"/>
        <v>2600</v>
      </c>
      <c r="T755" s="13">
        <f t="shared" si="109"/>
        <v>2700</v>
      </c>
      <c r="U755" s="13" t="s">
        <v>4181</v>
      </c>
      <c r="V755" s="91" t="s">
        <v>1822</v>
      </c>
    </row>
    <row r="756" spans="1:23" ht="30" customHeight="1">
      <c r="A756" s="13">
        <v>23</v>
      </c>
      <c r="B756" s="13">
        <v>6423</v>
      </c>
      <c r="C756" s="9" t="s">
        <v>1823</v>
      </c>
      <c r="D756" s="9" t="s">
        <v>1824</v>
      </c>
      <c r="E756" s="66" t="s">
        <v>1782</v>
      </c>
      <c r="F756" s="13">
        <v>2600</v>
      </c>
      <c r="G756" s="13">
        <v>0</v>
      </c>
      <c r="H756" s="13">
        <v>0</v>
      </c>
      <c r="I756" s="13">
        <v>0</v>
      </c>
      <c r="J756" s="13">
        <v>0</v>
      </c>
      <c r="K756" s="13">
        <v>0</v>
      </c>
      <c r="L756" s="13">
        <v>0</v>
      </c>
      <c r="M756" s="13">
        <v>0</v>
      </c>
      <c r="N756" s="12">
        <f t="shared" si="107"/>
        <v>0</v>
      </c>
      <c r="O756" s="13">
        <v>0</v>
      </c>
      <c r="P756" s="13">
        <v>0</v>
      </c>
      <c r="Q756" s="13">
        <v>0</v>
      </c>
      <c r="R756" s="14">
        <f t="shared" si="106"/>
        <v>0</v>
      </c>
      <c r="S756" s="13">
        <f t="shared" si="108"/>
        <v>100</v>
      </c>
      <c r="T756" s="13">
        <f t="shared" si="109"/>
        <v>200</v>
      </c>
      <c r="U756" s="13" t="s">
        <v>4181</v>
      </c>
      <c r="V756" s="23" t="s">
        <v>1825</v>
      </c>
    </row>
    <row r="757" spans="1:23" ht="30" customHeight="1">
      <c r="A757" s="93">
        <v>24</v>
      </c>
      <c r="B757" s="13">
        <v>6454</v>
      </c>
      <c r="C757" s="9" t="s">
        <v>1826</v>
      </c>
      <c r="D757" s="9" t="s">
        <v>1827</v>
      </c>
      <c r="E757" s="66" t="s">
        <v>1782</v>
      </c>
      <c r="F757" s="13">
        <v>2400</v>
      </c>
      <c r="G757" s="13">
        <v>0</v>
      </c>
      <c r="H757" s="13">
        <v>0</v>
      </c>
      <c r="I757" s="13">
        <v>0</v>
      </c>
      <c r="J757" s="13">
        <v>0</v>
      </c>
      <c r="K757" s="13">
        <v>0</v>
      </c>
      <c r="L757" s="13">
        <v>0</v>
      </c>
      <c r="M757" s="13">
        <v>0</v>
      </c>
      <c r="N757" s="12">
        <f t="shared" si="107"/>
        <v>0</v>
      </c>
      <c r="O757" s="13">
        <v>0</v>
      </c>
      <c r="P757" s="13">
        <v>0</v>
      </c>
      <c r="Q757" s="13">
        <v>0</v>
      </c>
      <c r="R757" s="14">
        <f t="shared" si="106"/>
        <v>0</v>
      </c>
      <c r="S757" s="13">
        <f t="shared" si="108"/>
        <v>100</v>
      </c>
      <c r="T757" s="13">
        <f t="shared" si="109"/>
        <v>200</v>
      </c>
      <c r="U757" s="13" t="s">
        <v>4181</v>
      </c>
      <c r="V757" s="23" t="s">
        <v>1828</v>
      </c>
    </row>
    <row r="758" spans="1:23" ht="30" customHeight="1">
      <c r="A758" s="13">
        <v>25</v>
      </c>
      <c r="B758" s="13">
        <v>6467</v>
      </c>
      <c r="C758" s="9" t="s">
        <v>1829</v>
      </c>
      <c r="D758" s="9" t="s">
        <v>1830</v>
      </c>
      <c r="E758" s="66" t="s">
        <v>1782</v>
      </c>
      <c r="F758" s="13">
        <v>2400</v>
      </c>
      <c r="G758" s="13">
        <v>0</v>
      </c>
      <c r="H758" s="13">
        <v>0</v>
      </c>
      <c r="I758" s="13">
        <v>0</v>
      </c>
      <c r="J758" s="13">
        <v>0</v>
      </c>
      <c r="K758" s="13">
        <v>0</v>
      </c>
      <c r="L758" s="13">
        <v>0</v>
      </c>
      <c r="M758" s="13">
        <v>0</v>
      </c>
      <c r="N758" s="12">
        <f t="shared" si="107"/>
        <v>0</v>
      </c>
      <c r="O758" s="13">
        <v>0</v>
      </c>
      <c r="P758" s="13">
        <v>0</v>
      </c>
      <c r="Q758" s="13">
        <v>0</v>
      </c>
      <c r="R758" s="14">
        <f t="shared" si="106"/>
        <v>0</v>
      </c>
      <c r="S758" s="13">
        <f t="shared" si="108"/>
        <v>100</v>
      </c>
      <c r="T758" s="13">
        <f t="shared" si="109"/>
        <v>200</v>
      </c>
      <c r="U758" s="13" t="s">
        <v>4181</v>
      </c>
      <c r="V758" s="23" t="s">
        <v>1831</v>
      </c>
    </row>
    <row r="759" spans="1:23" ht="30" customHeight="1">
      <c r="A759" s="93">
        <v>26</v>
      </c>
      <c r="B759" s="13">
        <v>6513</v>
      </c>
      <c r="C759" s="9" t="s">
        <v>1832</v>
      </c>
      <c r="D759" s="9" t="s">
        <v>1184</v>
      </c>
      <c r="E759" s="66" t="s">
        <v>1782</v>
      </c>
      <c r="F759" s="13">
        <v>1600</v>
      </c>
      <c r="G759" s="13">
        <v>0</v>
      </c>
      <c r="H759" s="13">
        <v>0</v>
      </c>
      <c r="I759" s="13">
        <v>0</v>
      </c>
      <c r="J759" s="13">
        <v>0</v>
      </c>
      <c r="K759" s="13">
        <v>0</v>
      </c>
      <c r="L759" s="13">
        <v>0</v>
      </c>
      <c r="M759" s="13">
        <v>0</v>
      </c>
      <c r="N759" s="12">
        <f t="shared" si="107"/>
        <v>0</v>
      </c>
      <c r="O759" s="13">
        <v>0</v>
      </c>
      <c r="P759" s="13">
        <v>0</v>
      </c>
      <c r="Q759" s="13">
        <v>0</v>
      </c>
      <c r="R759" s="14">
        <f t="shared" si="106"/>
        <v>0</v>
      </c>
      <c r="S759" s="13">
        <f t="shared" si="108"/>
        <v>100</v>
      </c>
      <c r="T759" s="13">
        <f t="shared" si="109"/>
        <v>200</v>
      </c>
      <c r="U759" s="13" t="s">
        <v>4181</v>
      </c>
      <c r="V759" s="23" t="s">
        <v>1833</v>
      </c>
      <c r="W759" t="s">
        <v>1186</v>
      </c>
    </row>
    <row r="760" spans="1:23" ht="30" customHeight="1">
      <c r="A760" s="13">
        <v>27</v>
      </c>
      <c r="B760" s="13">
        <v>6514</v>
      </c>
      <c r="C760" s="9" t="s">
        <v>1834</v>
      </c>
      <c r="D760" s="9" t="s">
        <v>1751</v>
      </c>
      <c r="E760" s="66" t="s">
        <v>1782</v>
      </c>
      <c r="F760" s="13">
        <v>2000</v>
      </c>
      <c r="G760" s="13">
        <v>0</v>
      </c>
      <c r="H760" s="13">
        <v>0</v>
      </c>
      <c r="I760" s="13">
        <v>0</v>
      </c>
      <c r="J760" s="13">
        <v>0</v>
      </c>
      <c r="K760" s="13">
        <v>0</v>
      </c>
      <c r="L760" s="13">
        <v>0</v>
      </c>
      <c r="M760" s="13">
        <v>0</v>
      </c>
      <c r="N760" s="12">
        <f t="shared" si="107"/>
        <v>0</v>
      </c>
      <c r="O760" s="13">
        <v>2000</v>
      </c>
      <c r="P760" s="13">
        <v>0</v>
      </c>
      <c r="Q760" s="13">
        <v>0</v>
      </c>
      <c r="R760" s="14">
        <f t="shared" si="106"/>
        <v>2000</v>
      </c>
      <c r="S760" s="13">
        <f t="shared" si="108"/>
        <v>2100</v>
      </c>
      <c r="T760" s="13">
        <f t="shared" si="109"/>
        <v>2200</v>
      </c>
      <c r="U760" s="13" t="s">
        <v>4181</v>
      </c>
      <c r="V760" s="23" t="s">
        <v>1835</v>
      </c>
      <c r="W760" t="s">
        <v>1455</v>
      </c>
    </row>
    <row r="761" spans="1:23" ht="30" customHeight="1">
      <c r="A761" s="93">
        <v>28</v>
      </c>
      <c r="B761" s="13">
        <v>6541</v>
      </c>
      <c r="C761" s="9" t="s">
        <v>1836</v>
      </c>
      <c r="D761" s="9" t="s">
        <v>1837</v>
      </c>
      <c r="E761" s="66" t="s">
        <v>1782</v>
      </c>
      <c r="F761" s="13">
        <v>2600</v>
      </c>
      <c r="G761" s="13">
        <v>0</v>
      </c>
      <c r="H761" s="13">
        <v>0</v>
      </c>
      <c r="I761" s="13">
        <v>0</v>
      </c>
      <c r="J761" s="13">
        <v>0</v>
      </c>
      <c r="K761" s="13">
        <v>0</v>
      </c>
      <c r="L761" s="13">
        <v>0</v>
      </c>
      <c r="M761" s="13">
        <v>0</v>
      </c>
      <c r="N761" s="12">
        <f t="shared" si="107"/>
        <v>0</v>
      </c>
      <c r="O761" s="13">
        <v>0</v>
      </c>
      <c r="P761" s="13">
        <v>0</v>
      </c>
      <c r="Q761" s="13">
        <v>0</v>
      </c>
      <c r="R761" s="14">
        <f t="shared" si="106"/>
        <v>0</v>
      </c>
      <c r="S761" s="13">
        <f t="shared" si="108"/>
        <v>100</v>
      </c>
      <c r="T761" s="13">
        <f t="shared" si="109"/>
        <v>200</v>
      </c>
      <c r="U761" s="13" t="s">
        <v>4181</v>
      </c>
      <c r="V761" s="23" t="s">
        <v>1838</v>
      </c>
    </row>
    <row r="762" spans="1:23" ht="30" customHeight="1">
      <c r="A762" s="13">
        <v>29</v>
      </c>
      <c r="B762" s="13">
        <v>6583</v>
      </c>
      <c r="C762" s="9" t="s">
        <v>1839</v>
      </c>
      <c r="D762" s="9" t="s">
        <v>1470</v>
      </c>
      <c r="E762" s="66" t="s">
        <v>1782</v>
      </c>
      <c r="F762" s="13">
        <v>900</v>
      </c>
      <c r="G762" s="13">
        <v>0</v>
      </c>
      <c r="H762" s="13">
        <v>0</v>
      </c>
      <c r="I762" s="13">
        <v>0</v>
      </c>
      <c r="J762" s="13">
        <v>0</v>
      </c>
      <c r="K762" s="13">
        <v>0</v>
      </c>
      <c r="L762" s="13">
        <v>0</v>
      </c>
      <c r="M762" s="13">
        <v>0</v>
      </c>
      <c r="N762" s="12">
        <f t="shared" si="107"/>
        <v>0</v>
      </c>
      <c r="O762" s="13">
        <v>0</v>
      </c>
      <c r="P762" s="13">
        <v>0</v>
      </c>
      <c r="Q762" s="13">
        <v>0</v>
      </c>
      <c r="R762" s="14">
        <f t="shared" si="106"/>
        <v>0</v>
      </c>
      <c r="S762" s="13">
        <f t="shared" si="108"/>
        <v>100</v>
      </c>
      <c r="T762" s="13">
        <f t="shared" si="109"/>
        <v>200</v>
      </c>
      <c r="U762" s="13" t="s">
        <v>4181</v>
      </c>
      <c r="V762" s="23" t="s">
        <v>1471</v>
      </c>
      <c r="W762" t="s">
        <v>1472</v>
      </c>
    </row>
    <row r="763" spans="1:23" ht="30" customHeight="1">
      <c r="A763" s="93">
        <v>30</v>
      </c>
      <c r="B763" s="13">
        <v>6596</v>
      </c>
      <c r="C763" s="9" t="s">
        <v>1840</v>
      </c>
      <c r="D763" s="9" t="s">
        <v>1190</v>
      </c>
      <c r="E763" s="66" t="s">
        <v>1782</v>
      </c>
      <c r="F763" s="13">
        <v>2600</v>
      </c>
      <c r="G763" s="13">
        <v>0</v>
      </c>
      <c r="H763" s="13">
        <v>0</v>
      </c>
      <c r="I763" s="13">
        <v>0</v>
      </c>
      <c r="J763" s="13">
        <v>0</v>
      </c>
      <c r="K763" s="13">
        <v>0</v>
      </c>
      <c r="L763" s="13">
        <v>0</v>
      </c>
      <c r="M763" s="13">
        <v>0</v>
      </c>
      <c r="N763" s="12">
        <f t="shared" si="107"/>
        <v>0</v>
      </c>
      <c r="O763" s="13">
        <v>0</v>
      </c>
      <c r="P763" s="13">
        <v>0</v>
      </c>
      <c r="Q763" s="13">
        <v>0</v>
      </c>
      <c r="R763" s="14">
        <f t="shared" si="106"/>
        <v>0</v>
      </c>
      <c r="S763" s="13">
        <f t="shared" si="108"/>
        <v>100</v>
      </c>
      <c r="T763" s="13">
        <f t="shared" si="109"/>
        <v>200</v>
      </c>
      <c r="U763" s="13" t="s">
        <v>4181</v>
      </c>
      <c r="V763" s="72" t="s">
        <v>699</v>
      </c>
    </row>
    <row r="764" spans="1:23" ht="30" customHeight="1">
      <c r="A764" s="13">
        <v>31</v>
      </c>
      <c r="B764" s="13">
        <v>6602</v>
      </c>
      <c r="C764" s="9" t="s">
        <v>597</v>
      </c>
      <c r="D764" s="9" t="s">
        <v>1841</v>
      </c>
      <c r="E764" s="66" t="s">
        <v>1782</v>
      </c>
      <c r="F764" s="13">
        <v>2600</v>
      </c>
      <c r="G764" s="13">
        <v>0</v>
      </c>
      <c r="H764" s="13">
        <v>0</v>
      </c>
      <c r="I764" s="13">
        <v>0</v>
      </c>
      <c r="J764" s="13">
        <v>0</v>
      </c>
      <c r="K764" s="13">
        <v>0</v>
      </c>
      <c r="L764" s="13">
        <v>0</v>
      </c>
      <c r="M764" s="13">
        <v>0</v>
      </c>
      <c r="N764" s="12">
        <f t="shared" si="107"/>
        <v>0</v>
      </c>
      <c r="O764" s="13">
        <v>0</v>
      </c>
      <c r="P764" s="13">
        <v>0</v>
      </c>
      <c r="Q764" s="13">
        <v>0</v>
      </c>
      <c r="R764" s="14">
        <f t="shared" si="106"/>
        <v>0</v>
      </c>
      <c r="S764" s="13">
        <f t="shared" si="108"/>
        <v>100</v>
      </c>
      <c r="T764" s="13">
        <f t="shared" si="109"/>
        <v>200</v>
      </c>
      <c r="U764" s="13" t="s">
        <v>4181</v>
      </c>
      <c r="V764" s="15" t="s">
        <v>1842</v>
      </c>
    </row>
    <row r="765" spans="1:23" ht="30" customHeight="1">
      <c r="A765" s="93">
        <v>32</v>
      </c>
      <c r="B765" s="13">
        <v>6674</v>
      </c>
      <c r="C765" s="9" t="s">
        <v>1843</v>
      </c>
      <c r="D765" s="9" t="s">
        <v>1844</v>
      </c>
      <c r="E765" s="66" t="s">
        <v>1782</v>
      </c>
      <c r="F765" s="13">
        <v>2600</v>
      </c>
      <c r="G765" s="13">
        <v>0</v>
      </c>
      <c r="H765" s="13">
        <v>0</v>
      </c>
      <c r="I765" s="13">
        <v>0</v>
      </c>
      <c r="J765" s="13">
        <v>0</v>
      </c>
      <c r="K765" s="13">
        <v>0</v>
      </c>
      <c r="L765" s="13">
        <v>0</v>
      </c>
      <c r="M765" s="13">
        <v>0</v>
      </c>
      <c r="N765" s="12">
        <f t="shared" si="107"/>
        <v>0</v>
      </c>
      <c r="O765" s="13">
        <v>0</v>
      </c>
      <c r="P765" s="13">
        <v>0</v>
      </c>
      <c r="Q765" s="13">
        <v>0</v>
      </c>
      <c r="R765" s="14">
        <f t="shared" si="106"/>
        <v>0</v>
      </c>
      <c r="S765" s="13">
        <f t="shared" si="108"/>
        <v>100</v>
      </c>
      <c r="T765" s="13">
        <f t="shared" si="109"/>
        <v>200</v>
      </c>
      <c r="U765" s="13" t="s">
        <v>4181</v>
      </c>
      <c r="V765" s="15" t="s">
        <v>1845</v>
      </c>
    </row>
    <row r="766" spans="1:23" ht="30" customHeight="1">
      <c r="A766" s="13">
        <v>33</v>
      </c>
      <c r="B766" s="13">
        <v>6704</v>
      </c>
      <c r="C766" s="9" t="s">
        <v>1846</v>
      </c>
      <c r="D766" s="9" t="s">
        <v>328</v>
      </c>
      <c r="E766" s="66" t="s">
        <v>1782</v>
      </c>
      <c r="F766" s="13">
        <v>2600</v>
      </c>
      <c r="G766" s="13">
        <v>0</v>
      </c>
      <c r="H766" s="13">
        <v>0</v>
      </c>
      <c r="I766" s="13">
        <v>0</v>
      </c>
      <c r="J766" s="13">
        <v>0</v>
      </c>
      <c r="K766" s="13">
        <v>0</v>
      </c>
      <c r="L766" s="13">
        <v>0</v>
      </c>
      <c r="M766" s="13">
        <v>0</v>
      </c>
      <c r="N766" s="12">
        <f t="shared" si="107"/>
        <v>0</v>
      </c>
      <c r="O766" s="13">
        <v>0</v>
      </c>
      <c r="P766" s="13">
        <v>0</v>
      </c>
      <c r="Q766" s="13">
        <v>0</v>
      </c>
      <c r="R766" s="14">
        <f t="shared" si="106"/>
        <v>0</v>
      </c>
      <c r="S766" s="13">
        <f t="shared" si="108"/>
        <v>100</v>
      </c>
      <c r="T766" s="13">
        <f t="shared" si="109"/>
        <v>200</v>
      </c>
      <c r="U766" s="13" t="s">
        <v>4181</v>
      </c>
      <c r="V766" s="15" t="s">
        <v>1847</v>
      </c>
    </row>
    <row r="767" spans="1:23" ht="30" customHeight="1">
      <c r="A767" s="93">
        <v>34</v>
      </c>
      <c r="B767" s="13">
        <v>6718</v>
      </c>
      <c r="C767" s="9" t="s">
        <v>1848</v>
      </c>
      <c r="D767" s="9" t="s">
        <v>1400</v>
      </c>
      <c r="E767" s="66" t="s">
        <v>1782</v>
      </c>
      <c r="F767" s="13">
        <v>2600</v>
      </c>
      <c r="G767" s="13">
        <v>0</v>
      </c>
      <c r="H767" s="13">
        <v>0</v>
      </c>
      <c r="I767" s="13">
        <v>0</v>
      </c>
      <c r="J767" s="13">
        <v>0</v>
      </c>
      <c r="K767" s="13">
        <v>0</v>
      </c>
      <c r="L767" s="13">
        <v>0</v>
      </c>
      <c r="M767" s="13">
        <v>0</v>
      </c>
      <c r="N767" s="12">
        <f t="shared" si="107"/>
        <v>0</v>
      </c>
      <c r="O767" s="13">
        <v>0</v>
      </c>
      <c r="P767" s="13">
        <v>0</v>
      </c>
      <c r="Q767" s="13">
        <v>0</v>
      </c>
      <c r="R767" s="14">
        <f t="shared" si="106"/>
        <v>0</v>
      </c>
      <c r="S767" s="13">
        <f t="shared" si="108"/>
        <v>100</v>
      </c>
      <c r="T767" s="13">
        <f t="shared" si="109"/>
        <v>200</v>
      </c>
      <c r="U767" s="13" t="s">
        <v>4181</v>
      </c>
      <c r="V767" s="15" t="s">
        <v>1488</v>
      </c>
    </row>
    <row r="768" spans="1:23" ht="30" customHeight="1">
      <c r="A768" s="13">
        <v>35</v>
      </c>
      <c r="B768" s="13">
        <v>6751</v>
      </c>
      <c r="C768" s="9" t="s">
        <v>1849</v>
      </c>
      <c r="D768" s="9" t="s">
        <v>1850</v>
      </c>
      <c r="E768" s="66" t="s">
        <v>1782</v>
      </c>
      <c r="F768" s="13">
        <v>2600</v>
      </c>
      <c r="G768" s="13">
        <v>0</v>
      </c>
      <c r="H768" s="13">
        <v>0</v>
      </c>
      <c r="I768" s="13">
        <v>0</v>
      </c>
      <c r="J768" s="13">
        <v>0</v>
      </c>
      <c r="K768" s="13">
        <v>0</v>
      </c>
      <c r="L768" s="13">
        <v>0</v>
      </c>
      <c r="M768" s="13">
        <v>0</v>
      </c>
      <c r="N768" s="12">
        <f t="shared" si="107"/>
        <v>0</v>
      </c>
      <c r="O768" s="13">
        <v>2600</v>
      </c>
      <c r="P768" s="13">
        <v>0</v>
      </c>
      <c r="Q768" s="13">
        <v>0</v>
      </c>
      <c r="R768" s="14">
        <f t="shared" si="106"/>
        <v>2600</v>
      </c>
      <c r="S768" s="13">
        <f t="shared" si="108"/>
        <v>2700</v>
      </c>
      <c r="T768" s="13">
        <f t="shared" si="109"/>
        <v>2800</v>
      </c>
      <c r="U768" s="13" t="s">
        <v>4181</v>
      </c>
      <c r="V768" s="15" t="s">
        <v>1851</v>
      </c>
    </row>
    <row r="769" spans="1:23" ht="30" customHeight="1">
      <c r="A769" s="93">
        <v>36</v>
      </c>
      <c r="B769" s="13">
        <v>6835</v>
      </c>
      <c r="C769" s="9" t="s">
        <v>1852</v>
      </c>
      <c r="D769" s="9" t="s">
        <v>1853</v>
      </c>
      <c r="E769" s="66" t="s">
        <v>1782</v>
      </c>
      <c r="F769" s="13">
        <v>2600</v>
      </c>
      <c r="G769" s="13">
        <v>0</v>
      </c>
      <c r="H769" s="13">
        <v>0</v>
      </c>
      <c r="I769" s="13">
        <v>0</v>
      </c>
      <c r="J769" s="13">
        <v>0</v>
      </c>
      <c r="K769" s="13">
        <v>0</v>
      </c>
      <c r="L769" s="13">
        <v>0</v>
      </c>
      <c r="M769" s="13">
        <v>0</v>
      </c>
      <c r="N769" s="12">
        <f t="shared" si="107"/>
        <v>0</v>
      </c>
      <c r="O769" s="13">
        <v>0</v>
      </c>
      <c r="P769" s="13">
        <v>0</v>
      </c>
      <c r="Q769" s="13">
        <v>0</v>
      </c>
      <c r="R769" s="14">
        <f t="shared" si="106"/>
        <v>0</v>
      </c>
      <c r="S769" s="13">
        <f t="shared" si="108"/>
        <v>100</v>
      </c>
      <c r="T769" s="13">
        <f t="shared" si="109"/>
        <v>200</v>
      </c>
      <c r="U769" s="13" t="s">
        <v>4181</v>
      </c>
      <c r="V769" s="15" t="s">
        <v>1854</v>
      </c>
      <c r="W769" t="s">
        <v>1855</v>
      </c>
    </row>
    <row r="770" spans="1:23" ht="30" customHeight="1">
      <c r="A770" s="13">
        <v>37</v>
      </c>
      <c r="B770" s="13">
        <v>6845</v>
      </c>
      <c r="C770" s="9" t="s">
        <v>2131</v>
      </c>
      <c r="D770" s="9" t="s">
        <v>4046</v>
      </c>
      <c r="E770" s="66" t="s">
        <v>1782</v>
      </c>
      <c r="F770" s="13">
        <v>2600</v>
      </c>
      <c r="G770" s="13">
        <v>0</v>
      </c>
      <c r="H770" s="13">
        <v>0</v>
      </c>
      <c r="I770" s="13">
        <v>0</v>
      </c>
      <c r="J770" s="13">
        <v>0</v>
      </c>
      <c r="K770" s="13">
        <v>0</v>
      </c>
      <c r="L770" s="13">
        <v>0</v>
      </c>
      <c r="M770" s="13">
        <v>0</v>
      </c>
      <c r="N770" s="12">
        <f t="shared" si="107"/>
        <v>0</v>
      </c>
      <c r="O770" s="13">
        <v>2600</v>
      </c>
      <c r="P770" s="13">
        <v>0</v>
      </c>
      <c r="Q770" s="13">
        <v>0</v>
      </c>
      <c r="R770" s="14">
        <f t="shared" si="106"/>
        <v>2600</v>
      </c>
      <c r="S770" s="13">
        <f t="shared" si="108"/>
        <v>2700</v>
      </c>
      <c r="T770" s="13">
        <f t="shared" si="109"/>
        <v>2800</v>
      </c>
      <c r="U770" s="13" t="s">
        <v>4181</v>
      </c>
      <c r="V770" s="15" t="s">
        <v>4047</v>
      </c>
      <c r="W770" t="s">
        <v>1855</v>
      </c>
    </row>
    <row r="771" spans="1:23" ht="30" customHeight="1">
      <c r="A771" s="13">
        <v>38</v>
      </c>
      <c r="B771" s="13">
        <v>6880</v>
      </c>
      <c r="C771" s="9" t="s">
        <v>1480</v>
      </c>
      <c r="D771" s="9" t="s">
        <v>4183</v>
      </c>
      <c r="E771" s="291" t="s">
        <v>4184</v>
      </c>
      <c r="F771" s="13">
        <v>2600</v>
      </c>
      <c r="G771" s="13">
        <v>0</v>
      </c>
      <c r="H771" s="13">
        <v>0</v>
      </c>
      <c r="I771" s="13">
        <v>0</v>
      </c>
      <c r="J771" s="13">
        <v>0</v>
      </c>
      <c r="K771" s="13">
        <v>0</v>
      </c>
      <c r="L771" s="13">
        <v>0</v>
      </c>
      <c r="M771" s="13">
        <v>0</v>
      </c>
      <c r="N771" s="12">
        <f t="shared" ref="N771:N773" si="118">(SUM(G771:M771))</f>
        <v>0</v>
      </c>
      <c r="O771" s="13">
        <v>0</v>
      </c>
      <c r="P771" s="13">
        <v>0</v>
      </c>
      <c r="Q771" s="13">
        <v>3000</v>
      </c>
      <c r="R771" s="14">
        <f t="shared" ref="R771:R773" si="119">(SUM(N771:Q771))</f>
        <v>3000</v>
      </c>
      <c r="S771" s="13">
        <f t="shared" ref="S771:S773" si="120">R771+100</f>
        <v>3100</v>
      </c>
      <c r="T771" s="13">
        <f t="shared" ref="T771:T773" si="121">R771+200</f>
        <v>3200</v>
      </c>
      <c r="U771" s="13" t="s">
        <v>4181</v>
      </c>
      <c r="V771" s="15" t="s">
        <v>4185</v>
      </c>
      <c r="W771" t="s">
        <v>4165</v>
      </c>
    </row>
    <row r="772" spans="1:23" ht="30" customHeight="1">
      <c r="A772" s="13">
        <v>39</v>
      </c>
      <c r="B772" s="13">
        <v>6883</v>
      </c>
      <c r="C772" s="9" t="s">
        <v>358</v>
      </c>
      <c r="D772" s="9" t="s">
        <v>3538</v>
      </c>
      <c r="E772" s="291" t="s">
        <v>4184</v>
      </c>
      <c r="F772" s="13">
        <v>2600</v>
      </c>
      <c r="G772" s="13">
        <v>0</v>
      </c>
      <c r="H772" s="13">
        <v>0</v>
      </c>
      <c r="I772" s="13">
        <v>0</v>
      </c>
      <c r="J772" s="13">
        <v>0</v>
      </c>
      <c r="K772" s="13">
        <v>0</v>
      </c>
      <c r="L772" s="13">
        <v>0</v>
      </c>
      <c r="M772" s="13">
        <v>0</v>
      </c>
      <c r="N772" s="12">
        <f t="shared" ref="N772" si="122">(SUM(G772:M772))</f>
        <v>0</v>
      </c>
      <c r="O772" s="13">
        <v>0</v>
      </c>
      <c r="P772" s="13">
        <v>0</v>
      </c>
      <c r="Q772" s="13">
        <v>0</v>
      </c>
      <c r="R772" s="14">
        <f t="shared" ref="R772" si="123">(SUM(N772:Q772))</f>
        <v>0</v>
      </c>
      <c r="S772" s="13">
        <f t="shared" ref="S772" si="124">R772+100</f>
        <v>100</v>
      </c>
      <c r="T772" s="13">
        <f t="shared" ref="T772" si="125">R772+200</f>
        <v>200</v>
      </c>
      <c r="U772" s="13" t="s">
        <v>4181</v>
      </c>
      <c r="V772" s="15" t="s">
        <v>4192</v>
      </c>
      <c r="W772" t="s">
        <v>4165</v>
      </c>
    </row>
    <row r="773" spans="1:23" ht="30" customHeight="1">
      <c r="A773" s="93">
        <v>1</v>
      </c>
      <c r="B773" s="13">
        <v>6882</v>
      </c>
      <c r="C773" s="9" t="s">
        <v>4191</v>
      </c>
      <c r="D773" s="9" t="s">
        <v>3538</v>
      </c>
      <c r="E773" s="66" t="s">
        <v>4190</v>
      </c>
      <c r="F773" s="44">
        <v>2800</v>
      </c>
      <c r="G773" s="44">
        <v>0</v>
      </c>
      <c r="H773" s="44">
        <v>0</v>
      </c>
      <c r="I773" s="44">
        <v>0</v>
      </c>
      <c r="J773" s="44">
        <v>0</v>
      </c>
      <c r="K773" s="44">
        <v>0</v>
      </c>
      <c r="L773" s="44">
        <v>0</v>
      </c>
      <c r="M773" s="44">
        <v>0</v>
      </c>
      <c r="N773" s="12">
        <f t="shared" si="118"/>
        <v>0</v>
      </c>
      <c r="O773" s="44">
        <v>0</v>
      </c>
      <c r="P773" s="13">
        <v>0</v>
      </c>
      <c r="Q773" s="13">
        <v>0</v>
      </c>
      <c r="R773" s="14">
        <f t="shared" si="119"/>
        <v>0</v>
      </c>
      <c r="S773" s="13">
        <f t="shared" si="120"/>
        <v>100</v>
      </c>
      <c r="T773" s="13">
        <f t="shared" si="121"/>
        <v>200</v>
      </c>
      <c r="U773" s="13" t="s">
        <v>4181</v>
      </c>
      <c r="V773" s="23" t="s">
        <v>4192</v>
      </c>
      <c r="W773" t="s">
        <v>4193</v>
      </c>
    </row>
    <row r="774" spans="1:23" ht="30" customHeight="1">
      <c r="A774" s="93">
        <v>1</v>
      </c>
      <c r="B774" s="13">
        <v>1757</v>
      </c>
      <c r="C774" s="9" t="s">
        <v>1856</v>
      </c>
      <c r="D774" s="9" t="s">
        <v>180</v>
      </c>
      <c r="E774" s="66" t="s">
        <v>1857</v>
      </c>
      <c r="F774" s="44">
        <v>1500</v>
      </c>
      <c r="G774" s="44">
        <v>0</v>
      </c>
      <c r="H774" s="44">
        <v>0</v>
      </c>
      <c r="I774" s="44">
        <v>0</v>
      </c>
      <c r="J774" s="44">
        <v>0</v>
      </c>
      <c r="K774" s="44">
        <v>0</v>
      </c>
      <c r="L774" s="44">
        <v>0</v>
      </c>
      <c r="M774" s="44">
        <v>0</v>
      </c>
      <c r="N774" s="12">
        <f t="shared" si="107"/>
        <v>0</v>
      </c>
      <c r="O774" s="44">
        <v>0</v>
      </c>
      <c r="P774" s="13">
        <v>0</v>
      </c>
      <c r="Q774" s="13">
        <v>0</v>
      </c>
      <c r="R774" s="14">
        <f t="shared" si="106"/>
        <v>0</v>
      </c>
      <c r="S774" s="13">
        <f t="shared" si="108"/>
        <v>100</v>
      </c>
      <c r="T774" s="13">
        <f t="shared" si="109"/>
        <v>200</v>
      </c>
      <c r="U774" s="13" t="s">
        <v>4181</v>
      </c>
      <c r="V774" s="23" t="s">
        <v>1858</v>
      </c>
    </row>
    <row r="775" spans="1:23" ht="30" customHeight="1">
      <c r="A775" s="93">
        <v>2</v>
      </c>
      <c r="B775" s="13">
        <v>1766</v>
      </c>
      <c r="C775" s="9" t="s">
        <v>1859</v>
      </c>
      <c r="D775" s="9" t="s">
        <v>1860</v>
      </c>
      <c r="E775" s="66" t="s">
        <v>1857</v>
      </c>
      <c r="F775" s="44">
        <v>2800</v>
      </c>
      <c r="G775" s="44">
        <v>0</v>
      </c>
      <c r="H775" s="44">
        <v>0</v>
      </c>
      <c r="I775" s="44">
        <v>0</v>
      </c>
      <c r="J775" s="44">
        <v>0</v>
      </c>
      <c r="K775" s="44">
        <v>0</v>
      </c>
      <c r="L775" s="44">
        <v>0</v>
      </c>
      <c r="M775" s="44">
        <v>0</v>
      </c>
      <c r="N775" s="12">
        <f t="shared" si="107"/>
        <v>0</v>
      </c>
      <c r="O775" s="44">
        <v>0</v>
      </c>
      <c r="P775" s="13">
        <v>0</v>
      </c>
      <c r="Q775" s="13">
        <v>0</v>
      </c>
      <c r="R775" s="14">
        <f t="shared" si="106"/>
        <v>0</v>
      </c>
      <c r="S775" s="13">
        <f t="shared" si="108"/>
        <v>100</v>
      </c>
      <c r="T775" s="13">
        <f t="shared" si="109"/>
        <v>200</v>
      </c>
      <c r="U775" s="13" t="s">
        <v>4181</v>
      </c>
      <c r="V775" s="23" t="s">
        <v>376</v>
      </c>
    </row>
    <row r="776" spans="1:23" ht="30" customHeight="1">
      <c r="A776" s="93">
        <v>3</v>
      </c>
      <c r="B776" s="13">
        <v>1835</v>
      </c>
      <c r="C776" s="9" t="s">
        <v>377</v>
      </c>
      <c r="D776" s="9" t="s">
        <v>1616</v>
      </c>
      <c r="E776" s="66" t="s">
        <v>1857</v>
      </c>
      <c r="F776" s="44">
        <v>2800</v>
      </c>
      <c r="G776" s="44">
        <v>0</v>
      </c>
      <c r="H776" s="44">
        <v>0</v>
      </c>
      <c r="I776" s="44">
        <v>0</v>
      </c>
      <c r="J776" s="44">
        <v>0</v>
      </c>
      <c r="K776" s="44">
        <v>0</v>
      </c>
      <c r="L776" s="44">
        <v>0</v>
      </c>
      <c r="M776" s="44">
        <v>0</v>
      </c>
      <c r="N776" s="12">
        <f t="shared" si="107"/>
        <v>0</v>
      </c>
      <c r="O776" s="44">
        <v>0</v>
      </c>
      <c r="P776" s="13">
        <v>0</v>
      </c>
      <c r="Q776" s="13">
        <v>0</v>
      </c>
      <c r="R776" s="14">
        <f t="shared" si="106"/>
        <v>0</v>
      </c>
      <c r="S776" s="13">
        <f t="shared" si="108"/>
        <v>100</v>
      </c>
      <c r="T776" s="13">
        <f t="shared" si="109"/>
        <v>200</v>
      </c>
      <c r="U776" s="13" t="s">
        <v>4181</v>
      </c>
      <c r="V776" s="15" t="s">
        <v>611</v>
      </c>
    </row>
    <row r="777" spans="1:23" ht="30" customHeight="1">
      <c r="A777" s="93">
        <v>4</v>
      </c>
      <c r="B777" s="13">
        <v>1847</v>
      </c>
      <c r="C777" s="9" t="s">
        <v>1861</v>
      </c>
      <c r="D777" s="9" t="s">
        <v>1067</v>
      </c>
      <c r="E777" s="66" t="s">
        <v>1857</v>
      </c>
      <c r="F777" s="44">
        <v>2800</v>
      </c>
      <c r="G777" s="44">
        <v>0</v>
      </c>
      <c r="H777" s="44">
        <v>0</v>
      </c>
      <c r="I777" s="44">
        <v>0</v>
      </c>
      <c r="J777" s="44">
        <v>0</v>
      </c>
      <c r="K777" s="44">
        <v>0</v>
      </c>
      <c r="L777" s="44">
        <v>0</v>
      </c>
      <c r="M777" s="44">
        <v>0</v>
      </c>
      <c r="N777" s="12">
        <f t="shared" si="107"/>
        <v>0</v>
      </c>
      <c r="O777" s="44">
        <v>0</v>
      </c>
      <c r="P777" s="13">
        <v>0</v>
      </c>
      <c r="Q777" s="13">
        <v>3000</v>
      </c>
      <c r="R777" s="14">
        <f t="shared" si="106"/>
        <v>3000</v>
      </c>
      <c r="S777" s="13">
        <f t="shared" si="108"/>
        <v>3100</v>
      </c>
      <c r="T777" s="13">
        <f t="shared" si="109"/>
        <v>3200</v>
      </c>
      <c r="U777" s="13" t="s">
        <v>4181</v>
      </c>
      <c r="V777" s="15" t="s">
        <v>1328</v>
      </c>
    </row>
    <row r="778" spans="1:23" ht="30" customHeight="1">
      <c r="A778" s="93">
        <v>5</v>
      </c>
      <c r="B778" s="13">
        <v>1897</v>
      </c>
      <c r="C778" s="9" t="s">
        <v>1862</v>
      </c>
      <c r="D778" s="9" t="s">
        <v>1863</v>
      </c>
      <c r="E778" s="66" t="s">
        <v>1857</v>
      </c>
      <c r="F778" s="44">
        <v>2800</v>
      </c>
      <c r="G778" s="44">
        <v>0</v>
      </c>
      <c r="H778" s="44">
        <v>0</v>
      </c>
      <c r="I778" s="44">
        <v>0</v>
      </c>
      <c r="J778" s="44">
        <v>0</v>
      </c>
      <c r="K778" s="44">
        <v>0</v>
      </c>
      <c r="L778" s="44">
        <v>0</v>
      </c>
      <c r="M778" s="44">
        <v>0</v>
      </c>
      <c r="N778" s="12">
        <f t="shared" si="107"/>
        <v>0</v>
      </c>
      <c r="O778" s="44">
        <v>0</v>
      </c>
      <c r="P778" s="13">
        <v>0</v>
      </c>
      <c r="Q778" s="13">
        <v>0</v>
      </c>
      <c r="R778" s="14">
        <f t="shared" si="106"/>
        <v>0</v>
      </c>
      <c r="S778" s="13">
        <f t="shared" si="108"/>
        <v>100</v>
      </c>
      <c r="T778" s="13">
        <f t="shared" si="109"/>
        <v>200</v>
      </c>
      <c r="U778" s="13" t="s">
        <v>4181</v>
      </c>
      <c r="V778" s="77" t="s">
        <v>1864</v>
      </c>
    </row>
    <row r="779" spans="1:23" ht="30" customHeight="1">
      <c r="A779" s="93">
        <v>6</v>
      </c>
      <c r="B779" s="13">
        <v>1925</v>
      </c>
      <c r="C779" s="9" t="s">
        <v>759</v>
      </c>
      <c r="D779" s="9" t="s">
        <v>1055</v>
      </c>
      <c r="E779" s="66" t="s">
        <v>1857</v>
      </c>
      <c r="F779" s="44">
        <v>2800</v>
      </c>
      <c r="G779" s="44">
        <v>0</v>
      </c>
      <c r="H779" s="44">
        <v>0</v>
      </c>
      <c r="I779" s="44">
        <v>0</v>
      </c>
      <c r="J779" s="44">
        <v>0</v>
      </c>
      <c r="K779" s="44">
        <v>0</v>
      </c>
      <c r="L779" s="44">
        <v>0</v>
      </c>
      <c r="M779" s="44">
        <v>0</v>
      </c>
      <c r="N779" s="12">
        <f t="shared" si="107"/>
        <v>0</v>
      </c>
      <c r="O779" s="44">
        <v>0</v>
      </c>
      <c r="P779" s="13">
        <v>0</v>
      </c>
      <c r="Q779" s="13">
        <v>0</v>
      </c>
      <c r="R779" s="14">
        <f t="shared" si="106"/>
        <v>0</v>
      </c>
      <c r="S779" s="13">
        <f t="shared" si="108"/>
        <v>100</v>
      </c>
      <c r="T779" s="13">
        <f t="shared" si="109"/>
        <v>200</v>
      </c>
      <c r="U779" s="13" t="s">
        <v>4181</v>
      </c>
      <c r="V779" s="77" t="s">
        <v>1351</v>
      </c>
    </row>
    <row r="780" spans="1:23" ht="30" customHeight="1">
      <c r="A780" s="93">
        <v>7</v>
      </c>
      <c r="B780" s="13">
        <v>1938</v>
      </c>
      <c r="C780" s="9" t="s">
        <v>1865</v>
      </c>
      <c r="D780" s="9" t="s">
        <v>175</v>
      </c>
      <c r="E780" s="66" t="s">
        <v>1857</v>
      </c>
      <c r="F780" s="44">
        <v>2800</v>
      </c>
      <c r="G780" s="44">
        <v>0</v>
      </c>
      <c r="H780" s="44">
        <v>0</v>
      </c>
      <c r="I780" s="44">
        <v>0</v>
      </c>
      <c r="J780" s="44">
        <v>0</v>
      </c>
      <c r="K780" s="44">
        <v>0</v>
      </c>
      <c r="L780" s="44">
        <v>0</v>
      </c>
      <c r="M780" s="44">
        <v>0</v>
      </c>
      <c r="N780" s="12">
        <f t="shared" si="107"/>
        <v>0</v>
      </c>
      <c r="O780" s="44">
        <v>0</v>
      </c>
      <c r="P780" s="13">
        <v>0</v>
      </c>
      <c r="Q780" s="13">
        <v>0</v>
      </c>
      <c r="R780" s="14">
        <f t="shared" ref="R780:R819" si="126">(SUM(N780:Q780))</f>
        <v>0</v>
      </c>
      <c r="S780" s="13">
        <f t="shared" si="108"/>
        <v>100</v>
      </c>
      <c r="T780" s="13">
        <f t="shared" si="109"/>
        <v>200</v>
      </c>
      <c r="U780" s="13" t="s">
        <v>4181</v>
      </c>
      <c r="V780" s="15" t="s">
        <v>1866</v>
      </c>
    </row>
    <row r="781" spans="1:23" ht="30" customHeight="1">
      <c r="A781" s="93">
        <v>8</v>
      </c>
      <c r="B781" s="13">
        <v>4159</v>
      </c>
      <c r="C781" s="9" t="s">
        <v>640</v>
      </c>
      <c r="D781" s="9" t="s">
        <v>1091</v>
      </c>
      <c r="E781" s="66" t="s">
        <v>1857</v>
      </c>
      <c r="F781" s="44">
        <v>1800</v>
      </c>
      <c r="G781" s="44">
        <v>0</v>
      </c>
      <c r="H781" s="44">
        <v>0</v>
      </c>
      <c r="I781" s="44">
        <v>0</v>
      </c>
      <c r="J781" s="44">
        <v>0</v>
      </c>
      <c r="K781" s="44">
        <v>0</v>
      </c>
      <c r="L781" s="44">
        <v>0</v>
      </c>
      <c r="M781" s="44">
        <v>0</v>
      </c>
      <c r="N781" s="12">
        <f t="shared" ref="N781:N819" si="127">(SUM(G781:M781))</f>
        <v>0</v>
      </c>
      <c r="O781" s="44">
        <v>0</v>
      </c>
      <c r="P781" s="13">
        <v>0</v>
      </c>
      <c r="Q781" s="13">
        <v>0</v>
      </c>
      <c r="R781" s="14">
        <f t="shared" si="126"/>
        <v>0</v>
      </c>
      <c r="S781" s="13">
        <f t="shared" si="108"/>
        <v>100</v>
      </c>
      <c r="T781" s="13">
        <f t="shared" si="109"/>
        <v>200</v>
      </c>
      <c r="U781" s="13" t="s">
        <v>4181</v>
      </c>
      <c r="V781" s="15" t="s">
        <v>1092</v>
      </c>
    </row>
    <row r="782" spans="1:23" ht="30" customHeight="1">
      <c r="A782" s="93">
        <v>9</v>
      </c>
      <c r="B782" s="13">
        <v>4401</v>
      </c>
      <c r="C782" s="9" t="s">
        <v>779</v>
      </c>
      <c r="D782" s="9" t="s">
        <v>1711</v>
      </c>
      <c r="E782" s="66" t="s">
        <v>1857</v>
      </c>
      <c r="F782" s="44">
        <v>1800</v>
      </c>
      <c r="G782" s="44">
        <v>0</v>
      </c>
      <c r="H782" s="44">
        <v>0</v>
      </c>
      <c r="I782" s="44">
        <v>0</v>
      </c>
      <c r="J782" s="44">
        <v>0</v>
      </c>
      <c r="K782" s="44">
        <v>0</v>
      </c>
      <c r="L782" s="44">
        <v>0</v>
      </c>
      <c r="M782" s="44">
        <v>0</v>
      </c>
      <c r="N782" s="12">
        <f t="shared" si="127"/>
        <v>0</v>
      </c>
      <c r="O782" s="44">
        <v>0</v>
      </c>
      <c r="P782" s="13">
        <v>0</v>
      </c>
      <c r="Q782" s="13">
        <v>0</v>
      </c>
      <c r="R782" s="14">
        <f t="shared" si="126"/>
        <v>0</v>
      </c>
      <c r="S782" s="13">
        <f t="shared" si="108"/>
        <v>100</v>
      </c>
      <c r="T782" s="13">
        <f t="shared" si="109"/>
        <v>200</v>
      </c>
      <c r="U782" s="13" t="s">
        <v>4181</v>
      </c>
      <c r="V782" s="72" t="s">
        <v>1712</v>
      </c>
    </row>
    <row r="783" spans="1:23" ht="30" customHeight="1">
      <c r="A783" s="93">
        <v>10</v>
      </c>
      <c r="B783" s="13">
        <v>4513</v>
      </c>
      <c r="C783" s="9" t="s">
        <v>1867</v>
      </c>
      <c r="D783" s="9" t="s">
        <v>400</v>
      </c>
      <c r="E783" s="66" t="s">
        <v>1857</v>
      </c>
      <c r="F783" s="44">
        <v>2800</v>
      </c>
      <c r="G783" s="44">
        <v>0</v>
      </c>
      <c r="H783" s="44">
        <v>0</v>
      </c>
      <c r="I783" s="44">
        <v>0</v>
      </c>
      <c r="J783" s="44">
        <v>0</v>
      </c>
      <c r="K783" s="44">
        <v>0</v>
      </c>
      <c r="L783" s="44">
        <v>0</v>
      </c>
      <c r="M783" s="44">
        <v>0</v>
      </c>
      <c r="N783" s="12">
        <f t="shared" si="127"/>
        <v>0</v>
      </c>
      <c r="O783" s="44">
        <v>0</v>
      </c>
      <c r="P783" s="13">
        <v>0</v>
      </c>
      <c r="Q783" s="13">
        <v>0</v>
      </c>
      <c r="R783" s="14">
        <f t="shared" si="126"/>
        <v>0</v>
      </c>
      <c r="S783" s="13">
        <f t="shared" ref="S783:S818" si="128">R783+100</f>
        <v>100</v>
      </c>
      <c r="T783" s="13">
        <f t="shared" ref="T783:T818" si="129">R783+200</f>
        <v>200</v>
      </c>
      <c r="U783" s="13" t="s">
        <v>4181</v>
      </c>
      <c r="V783" s="72" t="s">
        <v>401</v>
      </c>
    </row>
    <row r="784" spans="1:23" ht="30" customHeight="1">
      <c r="A784" s="93">
        <v>11</v>
      </c>
      <c r="B784" s="13">
        <v>4535</v>
      </c>
      <c r="C784" s="9" t="s">
        <v>1868</v>
      </c>
      <c r="D784" s="9" t="s">
        <v>1869</v>
      </c>
      <c r="E784" s="66" t="s">
        <v>1857</v>
      </c>
      <c r="F784" s="44">
        <v>2500</v>
      </c>
      <c r="G784" s="44">
        <v>0</v>
      </c>
      <c r="H784" s="44">
        <v>0</v>
      </c>
      <c r="I784" s="44">
        <v>0</v>
      </c>
      <c r="J784" s="44">
        <v>0</v>
      </c>
      <c r="K784" s="44">
        <v>0</v>
      </c>
      <c r="L784" s="44">
        <v>0</v>
      </c>
      <c r="M784" s="44">
        <v>0</v>
      </c>
      <c r="N784" s="12">
        <f t="shared" si="127"/>
        <v>0</v>
      </c>
      <c r="O784" s="44">
        <v>0</v>
      </c>
      <c r="P784" s="13">
        <v>0</v>
      </c>
      <c r="Q784" s="13">
        <v>0</v>
      </c>
      <c r="R784" s="14">
        <f t="shared" si="126"/>
        <v>0</v>
      </c>
      <c r="S784" s="13">
        <f t="shared" si="128"/>
        <v>100</v>
      </c>
      <c r="T784" s="13">
        <f t="shared" si="129"/>
        <v>200</v>
      </c>
      <c r="U784" s="13" t="s">
        <v>4181</v>
      </c>
      <c r="V784" s="72" t="s">
        <v>1870</v>
      </c>
    </row>
    <row r="785" spans="1:23" ht="30" customHeight="1">
      <c r="A785" s="93">
        <v>12</v>
      </c>
      <c r="B785" s="13">
        <v>4616</v>
      </c>
      <c r="C785" s="9" t="s">
        <v>1871</v>
      </c>
      <c r="D785" s="9" t="s">
        <v>1872</v>
      </c>
      <c r="E785" s="66" t="s">
        <v>1857</v>
      </c>
      <c r="F785" s="44">
        <v>2600</v>
      </c>
      <c r="G785" s="44">
        <v>0</v>
      </c>
      <c r="H785" s="44">
        <v>0</v>
      </c>
      <c r="I785" s="44">
        <v>0</v>
      </c>
      <c r="J785" s="44">
        <v>0</v>
      </c>
      <c r="K785" s="44">
        <v>0</v>
      </c>
      <c r="L785" s="44">
        <v>0</v>
      </c>
      <c r="M785" s="44">
        <v>0</v>
      </c>
      <c r="N785" s="12">
        <f t="shared" si="127"/>
        <v>0</v>
      </c>
      <c r="O785" s="44">
        <v>0</v>
      </c>
      <c r="P785" s="13">
        <v>0</v>
      </c>
      <c r="Q785" s="13">
        <v>0</v>
      </c>
      <c r="R785" s="14">
        <f t="shared" si="126"/>
        <v>0</v>
      </c>
      <c r="S785" s="13">
        <f t="shared" si="128"/>
        <v>100</v>
      </c>
      <c r="T785" s="13">
        <f t="shared" si="129"/>
        <v>200</v>
      </c>
      <c r="U785" s="13" t="s">
        <v>4181</v>
      </c>
      <c r="V785" s="72" t="s">
        <v>1873</v>
      </c>
    </row>
    <row r="786" spans="1:23" ht="30" customHeight="1">
      <c r="A786" s="93">
        <v>13</v>
      </c>
      <c r="B786" s="13">
        <v>4626</v>
      </c>
      <c r="C786" s="9" t="s">
        <v>1874</v>
      </c>
      <c r="D786" s="9" t="s">
        <v>178</v>
      </c>
      <c r="E786" s="66" t="s">
        <v>1857</v>
      </c>
      <c r="F786" s="44">
        <v>2800</v>
      </c>
      <c r="G786" s="44">
        <v>0</v>
      </c>
      <c r="H786" s="44">
        <v>0</v>
      </c>
      <c r="I786" s="44">
        <v>0</v>
      </c>
      <c r="J786" s="44">
        <v>0</v>
      </c>
      <c r="K786" s="44">
        <v>0</v>
      </c>
      <c r="L786" s="44">
        <v>0</v>
      </c>
      <c r="M786" s="44">
        <v>0</v>
      </c>
      <c r="N786" s="12">
        <f t="shared" si="127"/>
        <v>0</v>
      </c>
      <c r="O786" s="44">
        <v>0</v>
      </c>
      <c r="P786" s="13">
        <v>0</v>
      </c>
      <c r="Q786" s="13">
        <v>0</v>
      </c>
      <c r="R786" s="14">
        <f t="shared" si="126"/>
        <v>0</v>
      </c>
      <c r="S786" s="13">
        <f t="shared" si="128"/>
        <v>100</v>
      </c>
      <c r="T786" s="13">
        <f t="shared" si="129"/>
        <v>200</v>
      </c>
      <c r="U786" s="13" t="s">
        <v>4181</v>
      </c>
      <c r="V786" s="72" t="s">
        <v>1410</v>
      </c>
    </row>
    <row r="787" spans="1:23" ht="30" customHeight="1">
      <c r="A787" s="93">
        <v>14</v>
      </c>
      <c r="B787" s="8">
        <v>4690</v>
      </c>
      <c r="C787" s="9" t="s">
        <v>1875</v>
      </c>
      <c r="D787" s="9" t="s">
        <v>369</v>
      </c>
      <c r="E787" s="66" t="s">
        <v>1857</v>
      </c>
      <c r="F787" s="44">
        <v>2800</v>
      </c>
      <c r="G787" s="44">
        <v>0</v>
      </c>
      <c r="H787" s="44">
        <v>0</v>
      </c>
      <c r="I787" s="44">
        <v>0</v>
      </c>
      <c r="J787" s="44">
        <v>0</v>
      </c>
      <c r="K787" s="44">
        <v>0</v>
      </c>
      <c r="L787" s="44">
        <v>0</v>
      </c>
      <c r="M787" s="44">
        <v>0</v>
      </c>
      <c r="N787" s="12">
        <f t="shared" si="127"/>
        <v>0</v>
      </c>
      <c r="O787" s="44">
        <v>0</v>
      </c>
      <c r="P787" s="13">
        <v>0</v>
      </c>
      <c r="Q787" s="13">
        <v>0</v>
      </c>
      <c r="R787" s="14">
        <f t="shared" si="126"/>
        <v>0</v>
      </c>
      <c r="S787" s="13">
        <f t="shared" si="128"/>
        <v>100</v>
      </c>
      <c r="T787" s="13">
        <f t="shared" si="129"/>
        <v>200</v>
      </c>
      <c r="U787" s="13" t="s">
        <v>4181</v>
      </c>
      <c r="V787" s="72" t="s">
        <v>370</v>
      </c>
    </row>
    <row r="788" spans="1:23" ht="30" customHeight="1">
      <c r="A788" s="93">
        <v>15</v>
      </c>
      <c r="B788" s="13">
        <v>4719</v>
      </c>
      <c r="C788" s="95" t="s">
        <v>1876</v>
      </c>
      <c r="D788" s="9" t="s">
        <v>1877</v>
      </c>
      <c r="E788" s="66" t="s">
        <v>1857</v>
      </c>
      <c r="F788" s="44">
        <v>2800</v>
      </c>
      <c r="G788" s="44">
        <v>0</v>
      </c>
      <c r="H788" s="44">
        <v>0</v>
      </c>
      <c r="I788" s="44">
        <v>0</v>
      </c>
      <c r="J788" s="44">
        <v>0</v>
      </c>
      <c r="K788" s="44">
        <v>0</v>
      </c>
      <c r="L788" s="44">
        <v>0</v>
      </c>
      <c r="M788" s="44">
        <v>0</v>
      </c>
      <c r="N788" s="12">
        <f t="shared" si="127"/>
        <v>0</v>
      </c>
      <c r="O788" s="44">
        <v>0</v>
      </c>
      <c r="P788" s="13">
        <v>0</v>
      </c>
      <c r="Q788" s="13">
        <v>0</v>
      </c>
      <c r="R788" s="14">
        <f t="shared" si="126"/>
        <v>0</v>
      </c>
      <c r="S788" s="13">
        <f t="shared" si="128"/>
        <v>100</v>
      </c>
      <c r="T788" s="13">
        <f t="shared" si="129"/>
        <v>200</v>
      </c>
      <c r="U788" s="13" t="s">
        <v>4181</v>
      </c>
      <c r="V788" s="72" t="s">
        <v>1878</v>
      </c>
    </row>
    <row r="789" spans="1:23" ht="30" customHeight="1">
      <c r="A789" s="93">
        <v>16</v>
      </c>
      <c r="B789" s="33">
        <v>4929</v>
      </c>
      <c r="C789" s="10" t="s">
        <v>1879</v>
      </c>
      <c r="D789" s="10" t="s">
        <v>732</v>
      </c>
      <c r="E789" s="66" t="s">
        <v>1857</v>
      </c>
      <c r="F789" s="96">
        <v>2300</v>
      </c>
      <c r="G789" s="96">
        <v>0</v>
      </c>
      <c r="H789" s="96">
        <v>0</v>
      </c>
      <c r="I789" s="96">
        <v>0</v>
      </c>
      <c r="J789" s="96">
        <v>0</v>
      </c>
      <c r="K789" s="96">
        <v>0</v>
      </c>
      <c r="L789" s="96">
        <v>0</v>
      </c>
      <c r="M789" s="96">
        <v>0</v>
      </c>
      <c r="N789" s="12">
        <f t="shared" si="127"/>
        <v>0</v>
      </c>
      <c r="O789" s="96">
        <v>0</v>
      </c>
      <c r="P789" s="13">
        <v>0</v>
      </c>
      <c r="Q789" s="13">
        <v>0</v>
      </c>
      <c r="R789" s="14">
        <f t="shared" si="126"/>
        <v>0</v>
      </c>
      <c r="S789" s="13">
        <f t="shared" si="128"/>
        <v>100</v>
      </c>
      <c r="T789" s="13">
        <f t="shared" si="129"/>
        <v>200</v>
      </c>
      <c r="U789" s="13" t="s">
        <v>4181</v>
      </c>
      <c r="V789" s="83" t="s">
        <v>1284</v>
      </c>
      <c r="W789" t="s">
        <v>4147</v>
      </c>
    </row>
    <row r="790" spans="1:23" ht="30" customHeight="1">
      <c r="A790" s="93">
        <v>17</v>
      </c>
      <c r="B790" s="13">
        <v>5010</v>
      </c>
      <c r="C790" s="9" t="s">
        <v>661</v>
      </c>
      <c r="D790" s="9" t="s">
        <v>1880</v>
      </c>
      <c r="E790" s="66" t="s">
        <v>1857</v>
      </c>
      <c r="F790" s="44">
        <v>2800</v>
      </c>
      <c r="G790" s="44">
        <v>0</v>
      </c>
      <c r="H790" s="44">
        <v>0</v>
      </c>
      <c r="I790" s="44">
        <v>0</v>
      </c>
      <c r="J790" s="44">
        <v>0</v>
      </c>
      <c r="K790" s="44">
        <v>0</v>
      </c>
      <c r="L790" s="44">
        <v>0</v>
      </c>
      <c r="M790" s="44">
        <v>0</v>
      </c>
      <c r="N790" s="12">
        <f t="shared" si="127"/>
        <v>0</v>
      </c>
      <c r="O790" s="44">
        <v>0</v>
      </c>
      <c r="P790" s="13">
        <v>0</v>
      </c>
      <c r="Q790" s="13">
        <v>0</v>
      </c>
      <c r="R790" s="14">
        <f t="shared" si="126"/>
        <v>0</v>
      </c>
      <c r="S790" s="13">
        <f t="shared" si="128"/>
        <v>100</v>
      </c>
      <c r="T790" s="13">
        <f t="shared" si="129"/>
        <v>200</v>
      </c>
      <c r="U790" s="13" t="s">
        <v>4181</v>
      </c>
      <c r="V790" s="72" t="s">
        <v>1881</v>
      </c>
    </row>
    <row r="791" spans="1:23" ht="30" customHeight="1">
      <c r="A791" s="93">
        <v>18</v>
      </c>
      <c r="B791" s="13">
        <v>5028</v>
      </c>
      <c r="C791" s="9" t="s">
        <v>1882</v>
      </c>
      <c r="D791" s="9" t="s">
        <v>1883</v>
      </c>
      <c r="E791" s="66" t="s">
        <v>1857</v>
      </c>
      <c r="F791" s="44">
        <v>1400</v>
      </c>
      <c r="G791" s="44">
        <v>0</v>
      </c>
      <c r="H791" s="44">
        <v>0</v>
      </c>
      <c r="I791" s="44">
        <v>0</v>
      </c>
      <c r="J791" s="44">
        <v>0</v>
      </c>
      <c r="K791" s="44">
        <v>0</v>
      </c>
      <c r="L791" s="44">
        <v>0</v>
      </c>
      <c r="M791" s="44">
        <v>0</v>
      </c>
      <c r="N791" s="12">
        <f t="shared" si="127"/>
        <v>0</v>
      </c>
      <c r="O791" s="44">
        <v>1400</v>
      </c>
      <c r="P791" s="13">
        <v>0</v>
      </c>
      <c r="Q791" s="13">
        <v>0</v>
      </c>
      <c r="R791" s="14">
        <f t="shared" si="126"/>
        <v>1400</v>
      </c>
      <c r="S791" s="13">
        <f t="shared" si="128"/>
        <v>1500</v>
      </c>
      <c r="T791" s="13">
        <f t="shared" si="129"/>
        <v>1600</v>
      </c>
      <c r="U791" s="13" t="s">
        <v>4181</v>
      </c>
      <c r="V791" s="72" t="s">
        <v>1884</v>
      </c>
    </row>
    <row r="792" spans="1:23" ht="30" customHeight="1">
      <c r="A792" s="93">
        <v>19</v>
      </c>
      <c r="B792" s="13">
        <v>5049</v>
      </c>
      <c r="C792" s="9" t="s">
        <v>1885</v>
      </c>
      <c r="D792" s="9" t="s">
        <v>1291</v>
      </c>
      <c r="E792" s="66" t="s">
        <v>1857</v>
      </c>
      <c r="F792" s="44">
        <v>1900</v>
      </c>
      <c r="G792" s="44">
        <v>0</v>
      </c>
      <c r="H792" s="44">
        <v>0</v>
      </c>
      <c r="I792" s="44">
        <v>0</v>
      </c>
      <c r="J792" s="44">
        <v>0</v>
      </c>
      <c r="K792" s="44">
        <v>0</v>
      </c>
      <c r="L792" s="44">
        <v>0</v>
      </c>
      <c r="M792" s="44">
        <v>0</v>
      </c>
      <c r="N792" s="12">
        <f t="shared" si="127"/>
        <v>0</v>
      </c>
      <c r="O792" s="44">
        <v>0</v>
      </c>
      <c r="P792" s="13">
        <v>0</v>
      </c>
      <c r="Q792" s="13">
        <v>0</v>
      </c>
      <c r="R792" s="14">
        <f t="shared" si="126"/>
        <v>0</v>
      </c>
      <c r="S792" s="13">
        <f t="shared" si="128"/>
        <v>100</v>
      </c>
      <c r="T792" s="13">
        <f t="shared" si="129"/>
        <v>200</v>
      </c>
      <c r="U792" s="13" t="s">
        <v>4181</v>
      </c>
      <c r="V792" s="72" t="s">
        <v>1292</v>
      </c>
    </row>
    <row r="793" spans="1:23" ht="30" customHeight="1">
      <c r="A793" s="93">
        <v>20</v>
      </c>
      <c r="B793" s="19">
        <v>6000</v>
      </c>
      <c r="C793" s="21" t="s">
        <v>750</v>
      </c>
      <c r="D793" s="21" t="s">
        <v>684</v>
      </c>
      <c r="E793" s="66" t="s">
        <v>1857</v>
      </c>
      <c r="F793" s="44">
        <v>2400</v>
      </c>
      <c r="G793" s="44">
        <v>0</v>
      </c>
      <c r="H793" s="44">
        <v>0</v>
      </c>
      <c r="I793" s="44">
        <v>0</v>
      </c>
      <c r="J793" s="44">
        <v>0</v>
      </c>
      <c r="K793" s="44">
        <v>0</v>
      </c>
      <c r="L793" s="44">
        <v>0</v>
      </c>
      <c r="M793" s="44">
        <v>0</v>
      </c>
      <c r="N793" s="12">
        <f t="shared" si="127"/>
        <v>0</v>
      </c>
      <c r="O793" s="44">
        <v>0</v>
      </c>
      <c r="P793" s="13">
        <v>0</v>
      </c>
      <c r="Q793" s="13">
        <v>0</v>
      </c>
      <c r="R793" s="14">
        <f t="shared" si="126"/>
        <v>0</v>
      </c>
      <c r="S793" s="13">
        <f t="shared" si="128"/>
        <v>100</v>
      </c>
      <c r="T793" s="13">
        <f t="shared" si="129"/>
        <v>200</v>
      </c>
      <c r="U793" s="13" t="s">
        <v>4181</v>
      </c>
      <c r="V793" s="97" t="s">
        <v>1886</v>
      </c>
    </row>
    <row r="794" spans="1:23" ht="30" customHeight="1">
      <c r="A794" s="93">
        <v>21</v>
      </c>
      <c r="B794" s="19">
        <v>6018</v>
      </c>
      <c r="C794" s="21" t="s">
        <v>1887</v>
      </c>
      <c r="D794" s="21" t="s">
        <v>411</v>
      </c>
      <c r="E794" s="66" t="s">
        <v>1857</v>
      </c>
      <c r="F794" s="44">
        <v>2800</v>
      </c>
      <c r="G794" s="44">
        <v>0</v>
      </c>
      <c r="H794" s="44">
        <v>0</v>
      </c>
      <c r="I794" s="44">
        <v>0</v>
      </c>
      <c r="J794" s="44">
        <v>0</v>
      </c>
      <c r="K794" s="44">
        <v>0</v>
      </c>
      <c r="L794" s="44">
        <v>0</v>
      </c>
      <c r="M794" s="44">
        <v>0</v>
      </c>
      <c r="N794" s="12">
        <f t="shared" si="127"/>
        <v>0</v>
      </c>
      <c r="O794" s="44">
        <v>0</v>
      </c>
      <c r="P794" s="13">
        <v>0</v>
      </c>
      <c r="Q794" s="13">
        <v>0</v>
      </c>
      <c r="R794" s="14">
        <f t="shared" si="126"/>
        <v>0</v>
      </c>
      <c r="S794" s="13">
        <f t="shared" si="128"/>
        <v>100</v>
      </c>
      <c r="T794" s="13">
        <f t="shared" si="129"/>
        <v>200</v>
      </c>
      <c r="U794" s="13" t="s">
        <v>4181</v>
      </c>
      <c r="V794" s="97" t="s">
        <v>1233</v>
      </c>
    </row>
    <row r="795" spans="1:23" ht="30" customHeight="1">
      <c r="A795" s="93">
        <v>22</v>
      </c>
      <c r="B795" s="19">
        <v>6060</v>
      </c>
      <c r="C795" s="21" t="s">
        <v>1888</v>
      </c>
      <c r="D795" s="21" t="s">
        <v>1889</v>
      </c>
      <c r="E795" s="66" t="s">
        <v>1857</v>
      </c>
      <c r="F795" s="44">
        <v>2800</v>
      </c>
      <c r="G795" s="44">
        <v>0</v>
      </c>
      <c r="H795" s="44">
        <v>0</v>
      </c>
      <c r="I795" s="44">
        <v>0</v>
      </c>
      <c r="J795" s="44">
        <v>0</v>
      </c>
      <c r="K795" s="44">
        <v>0</v>
      </c>
      <c r="L795" s="44">
        <v>0</v>
      </c>
      <c r="M795" s="44">
        <v>0</v>
      </c>
      <c r="N795" s="12">
        <f t="shared" si="127"/>
        <v>0</v>
      </c>
      <c r="O795" s="44">
        <v>0</v>
      </c>
      <c r="P795" s="13">
        <v>0</v>
      </c>
      <c r="Q795" s="13">
        <v>0</v>
      </c>
      <c r="R795" s="14">
        <f t="shared" si="126"/>
        <v>0</v>
      </c>
      <c r="S795" s="13">
        <f t="shared" si="128"/>
        <v>100</v>
      </c>
      <c r="T795" s="13">
        <f t="shared" si="129"/>
        <v>200</v>
      </c>
      <c r="U795" s="13" t="s">
        <v>4181</v>
      </c>
      <c r="V795" s="97" t="s">
        <v>1890</v>
      </c>
    </row>
    <row r="796" spans="1:23" ht="30" customHeight="1">
      <c r="A796" s="93">
        <v>23</v>
      </c>
      <c r="B796" s="13">
        <v>6080</v>
      </c>
      <c r="C796" s="9" t="s">
        <v>1891</v>
      </c>
      <c r="D796" s="9" t="s">
        <v>434</v>
      </c>
      <c r="E796" s="66" t="s">
        <v>1857</v>
      </c>
      <c r="F796" s="44">
        <v>2800</v>
      </c>
      <c r="G796" s="44">
        <v>0</v>
      </c>
      <c r="H796" s="44">
        <v>0</v>
      </c>
      <c r="I796" s="44">
        <v>0</v>
      </c>
      <c r="J796" s="44">
        <v>0</v>
      </c>
      <c r="K796" s="44">
        <v>0</v>
      </c>
      <c r="L796" s="44">
        <v>0</v>
      </c>
      <c r="M796" s="44">
        <v>0</v>
      </c>
      <c r="N796" s="12">
        <f t="shared" si="127"/>
        <v>0</v>
      </c>
      <c r="O796" s="44">
        <v>0</v>
      </c>
      <c r="P796" s="13">
        <v>0</v>
      </c>
      <c r="Q796" s="13">
        <v>0</v>
      </c>
      <c r="R796" s="14">
        <f t="shared" si="126"/>
        <v>0</v>
      </c>
      <c r="S796" s="13">
        <f t="shared" si="128"/>
        <v>100</v>
      </c>
      <c r="T796" s="13">
        <f t="shared" si="129"/>
        <v>200</v>
      </c>
      <c r="U796" s="13" t="s">
        <v>4181</v>
      </c>
      <c r="V796" s="72" t="s">
        <v>435</v>
      </c>
    </row>
    <row r="797" spans="1:23" ht="30" customHeight="1">
      <c r="A797" s="93">
        <v>24</v>
      </c>
      <c r="B797" s="19">
        <v>6201</v>
      </c>
      <c r="C797" s="21" t="s">
        <v>1892</v>
      </c>
      <c r="D797" s="21" t="s">
        <v>1297</v>
      </c>
      <c r="E797" s="66" t="s">
        <v>1857</v>
      </c>
      <c r="F797" s="44">
        <v>1450</v>
      </c>
      <c r="G797" s="44">
        <v>0</v>
      </c>
      <c r="H797" s="44">
        <v>0</v>
      </c>
      <c r="I797" s="44">
        <v>0</v>
      </c>
      <c r="J797" s="44">
        <v>0</v>
      </c>
      <c r="K797" s="44">
        <v>0</v>
      </c>
      <c r="L797" s="44">
        <v>0</v>
      </c>
      <c r="M797" s="44">
        <v>0</v>
      </c>
      <c r="N797" s="12">
        <f t="shared" si="127"/>
        <v>0</v>
      </c>
      <c r="O797" s="44">
        <v>0</v>
      </c>
      <c r="P797" s="13">
        <v>0</v>
      </c>
      <c r="Q797" s="13">
        <v>0</v>
      </c>
      <c r="R797" s="14">
        <f t="shared" si="126"/>
        <v>0</v>
      </c>
      <c r="S797" s="13">
        <f t="shared" si="128"/>
        <v>100</v>
      </c>
      <c r="T797" s="13">
        <f t="shared" si="129"/>
        <v>200</v>
      </c>
      <c r="U797" s="13" t="s">
        <v>4181</v>
      </c>
      <c r="V797" s="97" t="s">
        <v>1298</v>
      </c>
    </row>
    <row r="798" spans="1:23" ht="30" customHeight="1">
      <c r="A798" s="93">
        <v>25</v>
      </c>
      <c r="B798" s="19">
        <v>6222</v>
      </c>
      <c r="C798" s="21" t="s">
        <v>1893</v>
      </c>
      <c r="D798" s="21" t="s">
        <v>1894</v>
      </c>
      <c r="E798" s="66" t="s">
        <v>1857</v>
      </c>
      <c r="F798" s="44">
        <v>2800</v>
      </c>
      <c r="G798" s="44">
        <v>0</v>
      </c>
      <c r="H798" s="44">
        <v>0</v>
      </c>
      <c r="I798" s="44">
        <v>0</v>
      </c>
      <c r="J798" s="44">
        <v>0</v>
      </c>
      <c r="K798" s="44">
        <v>0</v>
      </c>
      <c r="L798" s="44">
        <v>0</v>
      </c>
      <c r="M798" s="44">
        <v>0</v>
      </c>
      <c r="N798" s="12">
        <f t="shared" si="127"/>
        <v>0</v>
      </c>
      <c r="O798" s="44">
        <v>0</v>
      </c>
      <c r="P798" s="13">
        <v>0</v>
      </c>
      <c r="Q798" s="13">
        <v>0</v>
      </c>
      <c r="R798" s="14">
        <f t="shared" si="126"/>
        <v>0</v>
      </c>
      <c r="S798" s="13">
        <f t="shared" si="128"/>
        <v>100</v>
      </c>
      <c r="T798" s="13">
        <f t="shared" si="129"/>
        <v>200</v>
      </c>
      <c r="U798" s="13" t="s">
        <v>4181</v>
      </c>
      <c r="V798" s="97" t="s">
        <v>1895</v>
      </c>
    </row>
    <row r="799" spans="1:23" ht="30" customHeight="1">
      <c r="A799" s="93">
        <v>26</v>
      </c>
      <c r="B799" s="19">
        <v>6259</v>
      </c>
      <c r="C799" s="21" t="s">
        <v>1896</v>
      </c>
      <c r="D799" s="21" t="s">
        <v>1897</v>
      </c>
      <c r="E799" s="66" t="s">
        <v>1857</v>
      </c>
      <c r="F799" s="44">
        <v>0</v>
      </c>
      <c r="G799" s="44">
        <v>0</v>
      </c>
      <c r="H799" s="44">
        <v>0</v>
      </c>
      <c r="I799" s="44">
        <v>0</v>
      </c>
      <c r="J799" s="44">
        <v>0</v>
      </c>
      <c r="K799" s="44">
        <v>0</v>
      </c>
      <c r="L799" s="44">
        <v>0</v>
      </c>
      <c r="M799" s="44">
        <v>0</v>
      </c>
      <c r="N799" s="12">
        <f t="shared" si="127"/>
        <v>0</v>
      </c>
      <c r="O799" s="44">
        <v>0</v>
      </c>
      <c r="P799" s="13">
        <v>0</v>
      </c>
      <c r="Q799" s="13">
        <v>0</v>
      </c>
      <c r="R799" s="14">
        <f t="shared" si="126"/>
        <v>0</v>
      </c>
      <c r="S799" s="13">
        <f t="shared" si="128"/>
        <v>100</v>
      </c>
      <c r="T799" s="13">
        <f t="shared" si="129"/>
        <v>200</v>
      </c>
      <c r="U799" s="13" t="s">
        <v>4181</v>
      </c>
      <c r="V799" s="46" t="s">
        <v>749</v>
      </c>
    </row>
    <row r="800" spans="1:23" ht="30" customHeight="1">
      <c r="A800" s="93">
        <v>27</v>
      </c>
      <c r="B800" s="19">
        <v>6305</v>
      </c>
      <c r="C800" s="21" t="s">
        <v>1898</v>
      </c>
      <c r="D800" s="21" t="s">
        <v>882</v>
      </c>
      <c r="E800" s="66" t="s">
        <v>1857</v>
      </c>
      <c r="F800" s="44">
        <v>1700</v>
      </c>
      <c r="G800" s="44">
        <v>0</v>
      </c>
      <c r="H800" s="44">
        <v>0</v>
      </c>
      <c r="I800" s="44">
        <v>0</v>
      </c>
      <c r="J800" s="44">
        <v>0</v>
      </c>
      <c r="K800" s="44">
        <v>0</v>
      </c>
      <c r="L800" s="44">
        <v>0</v>
      </c>
      <c r="M800" s="44">
        <v>0</v>
      </c>
      <c r="N800" s="12">
        <f t="shared" si="127"/>
        <v>0</v>
      </c>
      <c r="O800" s="44">
        <v>0</v>
      </c>
      <c r="P800" s="13">
        <v>0</v>
      </c>
      <c r="Q800" s="13">
        <v>0</v>
      </c>
      <c r="R800" s="14">
        <f t="shared" si="126"/>
        <v>0</v>
      </c>
      <c r="S800" s="13">
        <f t="shared" si="128"/>
        <v>100</v>
      </c>
      <c r="T800" s="13">
        <f t="shared" si="129"/>
        <v>200</v>
      </c>
      <c r="U800" s="13" t="s">
        <v>4181</v>
      </c>
      <c r="V800" s="46" t="s">
        <v>1899</v>
      </c>
    </row>
    <row r="801" spans="1:23" ht="30" customHeight="1">
      <c r="A801" s="93">
        <v>28</v>
      </c>
      <c r="B801" s="19">
        <v>6306</v>
      </c>
      <c r="C801" s="21" t="s">
        <v>1900</v>
      </c>
      <c r="D801" s="21" t="s">
        <v>444</v>
      </c>
      <c r="E801" s="66" t="s">
        <v>1857</v>
      </c>
      <c r="F801" s="44">
        <v>2800</v>
      </c>
      <c r="G801" s="44">
        <v>0</v>
      </c>
      <c r="H801" s="44">
        <v>0</v>
      </c>
      <c r="I801" s="44">
        <v>0</v>
      </c>
      <c r="J801" s="44">
        <v>0</v>
      </c>
      <c r="K801" s="44">
        <v>0</v>
      </c>
      <c r="L801" s="44">
        <v>0</v>
      </c>
      <c r="M801" s="44">
        <v>0</v>
      </c>
      <c r="N801" s="12">
        <f t="shared" si="127"/>
        <v>0</v>
      </c>
      <c r="O801" s="44">
        <v>0</v>
      </c>
      <c r="P801" s="13">
        <v>0</v>
      </c>
      <c r="Q801" s="13">
        <v>0</v>
      </c>
      <c r="R801" s="14">
        <f t="shared" si="126"/>
        <v>0</v>
      </c>
      <c r="S801" s="13">
        <f t="shared" si="128"/>
        <v>100</v>
      </c>
      <c r="T801" s="13">
        <f t="shared" si="129"/>
        <v>200</v>
      </c>
      <c r="U801" s="13" t="s">
        <v>4181</v>
      </c>
      <c r="V801" s="46" t="s">
        <v>1901</v>
      </c>
    </row>
    <row r="802" spans="1:23" ht="30" customHeight="1">
      <c r="A802" s="93">
        <v>29</v>
      </c>
      <c r="B802" s="19">
        <v>6341</v>
      </c>
      <c r="C802" s="21" t="s">
        <v>1902</v>
      </c>
      <c r="D802" s="21" t="s">
        <v>1903</v>
      </c>
      <c r="E802" s="66" t="s">
        <v>1857</v>
      </c>
      <c r="F802" s="44">
        <v>2800</v>
      </c>
      <c r="G802" s="44">
        <v>0</v>
      </c>
      <c r="H802" s="44">
        <v>0</v>
      </c>
      <c r="I802" s="44">
        <v>0</v>
      </c>
      <c r="J802" s="44">
        <v>0</v>
      </c>
      <c r="K802" s="44">
        <v>0</v>
      </c>
      <c r="L802" s="44">
        <v>0</v>
      </c>
      <c r="M802" s="44">
        <v>0</v>
      </c>
      <c r="N802" s="12">
        <f t="shared" si="127"/>
        <v>0</v>
      </c>
      <c r="O802" s="44">
        <v>800</v>
      </c>
      <c r="P802" s="13">
        <v>0</v>
      </c>
      <c r="Q802" s="13">
        <v>0</v>
      </c>
      <c r="R802" s="14">
        <f t="shared" si="126"/>
        <v>800</v>
      </c>
      <c r="S802" s="13">
        <f t="shared" si="128"/>
        <v>900</v>
      </c>
      <c r="T802" s="13">
        <f t="shared" si="129"/>
        <v>1000</v>
      </c>
      <c r="U802" s="13" t="s">
        <v>4181</v>
      </c>
      <c r="V802" s="46" t="s">
        <v>1904</v>
      </c>
    </row>
    <row r="803" spans="1:23" ht="30" customHeight="1">
      <c r="A803" s="93">
        <v>30</v>
      </c>
      <c r="B803" s="19">
        <v>6400</v>
      </c>
      <c r="C803" s="21" t="s">
        <v>1905</v>
      </c>
      <c r="D803" s="21" t="s">
        <v>855</v>
      </c>
      <c r="E803" s="66" t="s">
        <v>1857</v>
      </c>
      <c r="F803" s="44">
        <v>2800</v>
      </c>
      <c r="G803" s="44">
        <v>0</v>
      </c>
      <c r="H803" s="44">
        <v>0</v>
      </c>
      <c r="I803" s="44">
        <v>0</v>
      </c>
      <c r="J803" s="44">
        <v>0</v>
      </c>
      <c r="K803" s="44">
        <v>0</v>
      </c>
      <c r="L803" s="44">
        <v>0</v>
      </c>
      <c r="M803" s="44">
        <v>0</v>
      </c>
      <c r="N803" s="12">
        <f t="shared" si="127"/>
        <v>0</v>
      </c>
      <c r="O803" s="44">
        <v>0</v>
      </c>
      <c r="P803" s="13">
        <v>0</v>
      </c>
      <c r="Q803" s="13">
        <v>0</v>
      </c>
      <c r="R803" s="14">
        <f t="shared" si="126"/>
        <v>0</v>
      </c>
      <c r="S803" s="13">
        <f t="shared" si="128"/>
        <v>100</v>
      </c>
      <c r="T803" s="13">
        <f t="shared" si="129"/>
        <v>200</v>
      </c>
      <c r="U803" s="13" t="s">
        <v>4181</v>
      </c>
      <c r="V803" s="46" t="s">
        <v>1906</v>
      </c>
    </row>
    <row r="804" spans="1:23" ht="30" customHeight="1">
      <c r="A804" s="93">
        <v>31</v>
      </c>
      <c r="B804" s="19">
        <v>6476</v>
      </c>
      <c r="C804" s="21" t="s">
        <v>1907</v>
      </c>
      <c r="D804" s="21" t="s">
        <v>1908</v>
      </c>
      <c r="E804" s="66" t="s">
        <v>1857</v>
      </c>
      <c r="F804" s="44">
        <v>2800</v>
      </c>
      <c r="G804" s="44">
        <v>0</v>
      </c>
      <c r="H804" s="44">
        <v>0</v>
      </c>
      <c r="I804" s="44">
        <v>0</v>
      </c>
      <c r="J804" s="44">
        <v>0</v>
      </c>
      <c r="K804" s="44">
        <v>0</v>
      </c>
      <c r="L804" s="44">
        <v>0</v>
      </c>
      <c r="M804" s="44">
        <v>0</v>
      </c>
      <c r="N804" s="12">
        <f t="shared" si="127"/>
        <v>0</v>
      </c>
      <c r="O804" s="44">
        <v>0</v>
      </c>
      <c r="P804" s="13">
        <v>0</v>
      </c>
      <c r="Q804" s="13">
        <v>0</v>
      </c>
      <c r="R804" s="14">
        <f t="shared" si="126"/>
        <v>0</v>
      </c>
      <c r="S804" s="13">
        <f t="shared" si="128"/>
        <v>100</v>
      </c>
      <c r="T804" s="13">
        <f t="shared" si="129"/>
        <v>200</v>
      </c>
      <c r="U804" s="13" t="s">
        <v>4181</v>
      </c>
      <c r="V804" s="46" t="s">
        <v>1909</v>
      </c>
    </row>
    <row r="805" spans="1:23" ht="30" customHeight="1">
      <c r="A805" s="93">
        <v>32</v>
      </c>
      <c r="B805" s="19">
        <v>6560</v>
      </c>
      <c r="C805" s="21" t="s">
        <v>1910</v>
      </c>
      <c r="D805" s="21" t="s">
        <v>1911</v>
      </c>
      <c r="E805" s="66" t="s">
        <v>1857</v>
      </c>
      <c r="F805" s="44">
        <v>2300</v>
      </c>
      <c r="G805" s="44">
        <v>0</v>
      </c>
      <c r="H805" s="44">
        <v>0</v>
      </c>
      <c r="I805" s="44">
        <v>0</v>
      </c>
      <c r="J805" s="44">
        <v>0</v>
      </c>
      <c r="K805" s="44">
        <v>0</v>
      </c>
      <c r="L805" s="44">
        <v>0</v>
      </c>
      <c r="M805" s="44">
        <v>0</v>
      </c>
      <c r="N805" s="12">
        <f t="shared" si="127"/>
        <v>0</v>
      </c>
      <c r="O805" s="44">
        <v>0</v>
      </c>
      <c r="P805" s="13">
        <v>0</v>
      </c>
      <c r="Q805" s="13">
        <v>0</v>
      </c>
      <c r="R805" s="14">
        <f t="shared" si="126"/>
        <v>0</v>
      </c>
      <c r="S805" s="13">
        <f t="shared" si="128"/>
        <v>100</v>
      </c>
      <c r="T805" s="13">
        <f t="shared" si="129"/>
        <v>200</v>
      </c>
      <c r="U805" s="13" t="s">
        <v>4181</v>
      </c>
      <c r="V805" s="46" t="s">
        <v>1912</v>
      </c>
    </row>
    <row r="806" spans="1:23" ht="30" customHeight="1">
      <c r="A806" s="93">
        <v>33</v>
      </c>
      <c r="B806" s="13">
        <v>6603</v>
      </c>
      <c r="C806" s="9" t="s">
        <v>1913</v>
      </c>
      <c r="D806" s="9" t="s">
        <v>1022</v>
      </c>
      <c r="E806" s="66" t="s">
        <v>1857</v>
      </c>
      <c r="F806" s="44">
        <v>1600</v>
      </c>
      <c r="G806" s="44">
        <v>0</v>
      </c>
      <c r="H806" s="44">
        <v>0</v>
      </c>
      <c r="I806" s="44">
        <v>0</v>
      </c>
      <c r="J806" s="44">
        <v>0</v>
      </c>
      <c r="K806" s="44">
        <v>0</v>
      </c>
      <c r="L806" s="44">
        <v>0</v>
      </c>
      <c r="M806" s="44">
        <v>0</v>
      </c>
      <c r="N806" s="12">
        <f t="shared" si="127"/>
        <v>0</v>
      </c>
      <c r="O806" s="44">
        <v>0</v>
      </c>
      <c r="P806" s="13">
        <v>0</v>
      </c>
      <c r="Q806" s="13">
        <v>0</v>
      </c>
      <c r="R806" s="14">
        <f t="shared" si="126"/>
        <v>0</v>
      </c>
      <c r="S806" s="13">
        <f t="shared" si="128"/>
        <v>100</v>
      </c>
      <c r="T806" s="13">
        <f t="shared" si="129"/>
        <v>200</v>
      </c>
      <c r="U806" s="13" t="s">
        <v>4181</v>
      </c>
      <c r="V806" s="23" t="s">
        <v>1023</v>
      </c>
    </row>
    <row r="807" spans="1:23" ht="30" customHeight="1">
      <c r="A807" s="93">
        <v>34</v>
      </c>
      <c r="B807" s="13">
        <v>6644</v>
      </c>
      <c r="C807" s="9" t="s">
        <v>1914</v>
      </c>
      <c r="D807" s="9" t="s">
        <v>1387</v>
      </c>
      <c r="E807" s="66" t="s">
        <v>1857</v>
      </c>
      <c r="F807" s="44">
        <v>2800</v>
      </c>
      <c r="G807" s="44">
        <v>0</v>
      </c>
      <c r="H807" s="44">
        <v>0</v>
      </c>
      <c r="I807" s="44">
        <v>0</v>
      </c>
      <c r="J807" s="44">
        <v>0</v>
      </c>
      <c r="K807" s="44">
        <v>0</v>
      </c>
      <c r="L807" s="44">
        <v>0</v>
      </c>
      <c r="M807" s="44">
        <v>0</v>
      </c>
      <c r="N807" s="12">
        <f t="shared" si="127"/>
        <v>0</v>
      </c>
      <c r="O807" s="44">
        <v>0</v>
      </c>
      <c r="P807" s="13">
        <v>0</v>
      </c>
      <c r="Q807" s="13">
        <v>0</v>
      </c>
      <c r="R807" s="14">
        <f t="shared" si="126"/>
        <v>0</v>
      </c>
      <c r="S807" s="13">
        <f t="shared" si="128"/>
        <v>100</v>
      </c>
      <c r="T807" s="13">
        <f t="shared" si="129"/>
        <v>200</v>
      </c>
      <c r="U807" s="13" t="s">
        <v>4181</v>
      </c>
      <c r="V807" s="23" t="s">
        <v>1388</v>
      </c>
      <c r="W807" t="s">
        <v>423</v>
      </c>
    </row>
    <row r="808" spans="1:23" ht="30" customHeight="1">
      <c r="A808" s="93">
        <v>35</v>
      </c>
      <c r="B808" s="13">
        <v>6679</v>
      </c>
      <c r="C808" s="9" t="s">
        <v>1915</v>
      </c>
      <c r="D808" s="9" t="s">
        <v>1916</v>
      </c>
      <c r="E808" s="66" t="s">
        <v>1857</v>
      </c>
      <c r="F808" s="44">
        <v>2800</v>
      </c>
      <c r="G808" s="44">
        <v>0</v>
      </c>
      <c r="H808" s="44">
        <v>0</v>
      </c>
      <c r="I808" s="44">
        <v>0</v>
      </c>
      <c r="J808" s="44">
        <v>0</v>
      </c>
      <c r="K808" s="44">
        <v>0</v>
      </c>
      <c r="L808" s="44">
        <v>0</v>
      </c>
      <c r="M808" s="44">
        <v>0</v>
      </c>
      <c r="N808" s="12">
        <f t="shared" si="127"/>
        <v>0</v>
      </c>
      <c r="O808" s="44">
        <v>0</v>
      </c>
      <c r="P808" s="13">
        <v>0</v>
      </c>
      <c r="Q808" s="13">
        <v>0</v>
      </c>
      <c r="R808" s="14">
        <f t="shared" si="126"/>
        <v>0</v>
      </c>
      <c r="S808" s="13">
        <f t="shared" si="128"/>
        <v>100</v>
      </c>
      <c r="T808" s="13">
        <f t="shared" si="129"/>
        <v>200</v>
      </c>
      <c r="U808" s="13" t="s">
        <v>4181</v>
      </c>
      <c r="V808" s="23" t="s">
        <v>1917</v>
      </c>
    </row>
    <row r="809" spans="1:23" ht="30" customHeight="1">
      <c r="A809" s="93">
        <v>36</v>
      </c>
      <c r="B809" s="13">
        <v>6684</v>
      </c>
      <c r="C809" s="9" t="s">
        <v>1921</v>
      </c>
      <c r="D809" s="9" t="s">
        <v>645</v>
      </c>
      <c r="E809" s="66" t="s">
        <v>1857</v>
      </c>
      <c r="F809" s="44">
        <v>2800</v>
      </c>
      <c r="G809" s="44">
        <v>0</v>
      </c>
      <c r="H809" s="44">
        <v>0</v>
      </c>
      <c r="I809" s="44">
        <v>0</v>
      </c>
      <c r="J809" s="44">
        <v>0</v>
      </c>
      <c r="K809" s="44">
        <v>0</v>
      </c>
      <c r="L809" s="44">
        <v>0</v>
      </c>
      <c r="M809" s="44">
        <v>0</v>
      </c>
      <c r="N809" s="12">
        <f t="shared" si="127"/>
        <v>0</v>
      </c>
      <c r="O809" s="44">
        <v>0</v>
      </c>
      <c r="P809" s="13">
        <v>0</v>
      </c>
      <c r="Q809" s="13">
        <v>0</v>
      </c>
      <c r="R809" s="14">
        <f t="shared" si="126"/>
        <v>0</v>
      </c>
      <c r="S809" s="13">
        <f t="shared" si="128"/>
        <v>100</v>
      </c>
      <c r="T809" s="13">
        <f t="shared" si="129"/>
        <v>200</v>
      </c>
      <c r="U809" s="13" t="s">
        <v>4181</v>
      </c>
      <c r="V809" s="23" t="s">
        <v>646</v>
      </c>
    </row>
    <row r="810" spans="1:23" ht="30" customHeight="1">
      <c r="A810" s="93">
        <v>37</v>
      </c>
      <c r="B810" s="13">
        <v>6714</v>
      </c>
      <c r="C810" s="9" t="s">
        <v>1922</v>
      </c>
      <c r="D810" s="9" t="s">
        <v>572</v>
      </c>
      <c r="E810" s="66" t="s">
        <v>1857</v>
      </c>
      <c r="F810" s="44">
        <v>2500</v>
      </c>
      <c r="G810" s="44">
        <v>0</v>
      </c>
      <c r="H810" s="44">
        <v>0</v>
      </c>
      <c r="I810" s="44">
        <v>0</v>
      </c>
      <c r="J810" s="44">
        <v>0</v>
      </c>
      <c r="K810" s="44">
        <v>0</v>
      </c>
      <c r="L810" s="44">
        <v>0</v>
      </c>
      <c r="M810" s="44">
        <v>0</v>
      </c>
      <c r="N810" s="12">
        <f t="shared" si="127"/>
        <v>0</v>
      </c>
      <c r="O810" s="44">
        <v>2500</v>
      </c>
      <c r="P810" s="13">
        <v>0</v>
      </c>
      <c r="Q810" s="13">
        <v>0</v>
      </c>
      <c r="R810" s="14">
        <f t="shared" si="126"/>
        <v>2500</v>
      </c>
      <c r="S810" s="13">
        <f t="shared" si="128"/>
        <v>2600</v>
      </c>
      <c r="T810" s="13">
        <f t="shared" si="129"/>
        <v>2700</v>
      </c>
      <c r="U810" s="13" t="s">
        <v>4181</v>
      </c>
      <c r="V810" s="23" t="s">
        <v>1923</v>
      </c>
      <c r="W810" t="s">
        <v>1924</v>
      </c>
    </row>
    <row r="811" spans="1:23" ht="30" customHeight="1">
      <c r="A811" s="93">
        <v>38</v>
      </c>
      <c r="B811" s="13">
        <v>6724</v>
      </c>
      <c r="C811" s="9" t="s">
        <v>1925</v>
      </c>
      <c r="D811" s="9" t="s">
        <v>1926</v>
      </c>
      <c r="E811" s="66" t="s">
        <v>1857</v>
      </c>
      <c r="F811" s="44">
        <v>2000</v>
      </c>
      <c r="G811" s="44">
        <v>0</v>
      </c>
      <c r="H811" s="44">
        <v>0</v>
      </c>
      <c r="I811" s="44">
        <v>0</v>
      </c>
      <c r="J811" s="44">
        <v>0</v>
      </c>
      <c r="K811" s="44">
        <v>0</v>
      </c>
      <c r="L811" s="44">
        <v>0</v>
      </c>
      <c r="M811" s="44">
        <v>0</v>
      </c>
      <c r="N811" s="12">
        <f t="shared" si="127"/>
        <v>0</v>
      </c>
      <c r="O811" s="44">
        <v>0</v>
      </c>
      <c r="P811" s="13">
        <v>0</v>
      </c>
      <c r="Q811" s="13">
        <v>0</v>
      </c>
      <c r="R811" s="14">
        <f t="shared" si="126"/>
        <v>0</v>
      </c>
      <c r="S811" s="13">
        <f t="shared" si="128"/>
        <v>100</v>
      </c>
      <c r="T811" s="13">
        <f t="shared" si="129"/>
        <v>200</v>
      </c>
      <c r="U811" s="13" t="s">
        <v>4181</v>
      </c>
      <c r="V811" s="23" t="s">
        <v>1927</v>
      </c>
    </row>
    <row r="812" spans="1:23" ht="30" customHeight="1">
      <c r="A812" s="93">
        <v>39</v>
      </c>
      <c r="B812" s="13">
        <v>6725</v>
      </c>
      <c r="C812" s="9" t="s">
        <v>661</v>
      </c>
      <c r="D812" s="9" t="s">
        <v>1928</v>
      </c>
      <c r="E812" s="66" t="s">
        <v>1857</v>
      </c>
      <c r="F812" s="44">
        <v>2800</v>
      </c>
      <c r="G812" s="44">
        <v>0</v>
      </c>
      <c r="H812" s="44">
        <v>0</v>
      </c>
      <c r="I812" s="44">
        <v>0</v>
      </c>
      <c r="J812" s="44">
        <v>0</v>
      </c>
      <c r="K812" s="44">
        <v>0</v>
      </c>
      <c r="L812" s="44">
        <v>0</v>
      </c>
      <c r="M812" s="44">
        <v>0</v>
      </c>
      <c r="N812" s="12">
        <f t="shared" si="127"/>
        <v>0</v>
      </c>
      <c r="O812" s="44">
        <v>0</v>
      </c>
      <c r="P812" s="13">
        <v>0</v>
      </c>
      <c r="Q812" s="13">
        <v>0</v>
      </c>
      <c r="R812" s="14">
        <f t="shared" si="126"/>
        <v>0</v>
      </c>
      <c r="S812" s="13">
        <f t="shared" si="128"/>
        <v>100</v>
      </c>
      <c r="T812" s="13">
        <f t="shared" si="129"/>
        <v>200</v>
      </c>
      <c r="U812" s="13" t="s">
        <v>4181</v>
      </c>
      <c r="V812" s="23" t="s">
        <v>1929</v>
      </c>
    </row>
    <row r="813" spans="1:23" ht="30" customHeight="1">
      <c r="A813" s="93">
        <v>40</v>
      </c>
      <c r="B813" s="13">
        <v>6752</v>
      </c>
      <c r="C813" s="9" t="s">
        <v>1930</v>
      </c>
      <c r="D813" s="9" t="s">
        <v>1765</v>
      </c>
      <c r="E813" s="66" t="s">
        <v>1857</v>
      </c>
      <c r="F813" s="44">
        <v>2800</v>
      </c>
      <c r="G813" s="44">
        <v>0</v>
      </c>
      <c r="H813" s="44">
        <v>0</v>
      </c>
      <c r="I813" s="44">
        <v>0</v>
      </c>
      <c r="J813" s="44">
        <v>0</v>
      </c>
      <c r="K813" s="44">
        <v>0</v>
      </c>
      <c r="L813" s="44">
        <v>0</v>
      </c>
      <c r="M813" s="44">
        <v>0</v>
      </c>
      <c r="N813" s="12">
        <f t="shared" si="127"/>
        <v>0</v>
      </c>
      <c r="O813" s="44">
        <v>2800</v>
      </c>
      <c r="P813" s="13">
        <v>0</v>
      </c>
      <c r="Q813" s="13">
        <v>0</v>
      </c>
      <c r="R813" s="14">
        <f t="shared" si="126"/>
        <v>2800</v>
      </c>
      <c r="S813" s="13">
        <f t="shared" si="128"/>
        <v>2900</v>
      </c>
      <c r="T813" s="13">
        <f t="shared" si="129"/>
        <v>3000</v>
      </c>
      <c r="U813" s="13" t="s">
        <v>4181</v>
      </c>
      <c r="V813" s="23" t="s">
        <v>1931</v>
      </c>
      <c r="W813" t="s">
        <v>1932</v>
      </c>
    </row>
    <row r="814" spans="1:23" ht="30" customHeight="1">
      <c r="A814" s="93">
        <v>41</v>
      </c>
      <c r="B814" s="13">
        <v>6754</v>
      </c>
      <c r="C814" s="9" t="s">
        <v>1933</v>
      </c>
      <c r="D814" s="9" t="s">
        <v>776</v>
      </c>
      <c r="E814" s="66" t="s">
        <v>1857</v>
      </c>
      <c r="F814" s="44">
        <v>1600</v>
      </c>
      <c r="G814" s="44">
        <v>0</v>
      </c>
      <c r="H814" s="44">
        <v>0</v>
      </c>
      <c r="I814" s="44">
        <v>0</v>
      </c>
      <c r="J814" s="44">
        <v>0</v>
      </c>
      <c r="K814" s="44">
        <v>0</v>
      </c>
      <c r="L814" s="44">
        <v>0</v>
      </c>
      <c r="M814" s="44">
        <v>0</v>
      </c>
      <c r="N814" s="12">
        <f t="shared" si="127"/>
        <v>0</v>
      </c>
      <c r="O814" s="44">
        <v>0</v>
      </c>
      <c r="P814" s="13">
        <v>0</v>
      </c>
      <c r="Q814" s="13">
        <v>0</v>
      </c>
      <c r="R814" s="14">
        <f t="shared" si="126"/>
        <v>0</v>
      </c>
      <c r="S814" s="13">
        <f t="shared" si="128"/>
        <v>100</v>
      </c>
      <c r="T814" s="13">
        <f t="shared" si="129"/>
        <v>200</v>
      </c>
      <c r="U814" s="13" t="s">
        <v>4181</v>
      </c>
      <c r="V814" s="23" t="s">
        <v>1934</v>
      </c>
      <c r="W814" t="s">
        <v>1932</v>
      </c>
    </row>
    <row r="815" spans="1:23" ht="30" customHeight="1">
      <c r="A815" s="93">
        <v>42</v>
      </c>
      <c r="B815" s="13">
        <v>6840</v>
      </c>
      <c r="C815" s="9" t="s">
        <v>4039</v>
      </c>
      <c r="D815" s="9" t="s">
        <v>1333</v>
      </c>
      <c r="E815" s="66" t="s">
        <v>1857</v>
      </c>
      <c r="F815" s="44">
        <v>2800</v>
      </c>
      <c r="G815" s="44">
        <v>0</v>
      </c>
      <c r="H815" s="44">
        <v>0</v>
      </c>
      <c r="I815" s="44">
        <v>0</v>
      </c>
      <c r="J815" s="44">
        <v>0</v>
      </c>
      <c r="K815" s="44">
        <v>0</v>
      </c>
      <c r="L815" s="44">
        <v>0</v>
      </c>
      <c r="M815" s="44">
        <v>0</v>
      </c>
      <c r="N815" s="12">
        <f t="shared" si="127"/>
        <v>0</v>
      </c>
      <c r="O815" s="44">
        <v>0</v>
      </c>
      <c r="P815" s="13">
        <v>0</v>
      </c>
      <c r="Q815" s="13">
        <v>0</v>
      </c>
      <c r="R815" s="14">
        <f t="shared" si="126"/>
        <v>0</v>
      </c>
      <c r="S815" s="13">
        <f t="shared" si="128"/>
        <v>100</v>
      </c>
      <c r="T815" s="13">
        <f t="shared" si="129"/>
        <v>200</v>
      </c>
      <c r="U815" s="13" t="s">
        <v>4181</v>
      </c>
      <c r="V815" s="23" t="s">
        <v>4040</v>
      </c>
      <c r="W815" t="s">
        <v>1938</v>
      </c>
    </row>
    <row r="816" spans="1:23" ht="30" customHeight="1">
      <c r="A816" s="93">
        <v>43</v>
      </c>
      <c r="B816" s="13">
        <v>6843</v>
      </c>
      <c r="C816" s="9" t="s">
        <v>4043</v>
      </c>
      <c r="D816" s="9" t="s">
        <v>732</v>
      </c>
      <c r="E816" s="66" t="s">
        <v>1857</v>
      </c>
      <c r="F816" s="44">
        <v>2800</v>
      </c>
      <c r="G816" s="44">
        <v>0</v>
      </c>
      <c r="H816" s="44">
        <v>0</v>
      </c>
      <c r="I816" s="44">
        <v>0</v>
      </c>
      <c r="J816" s="44">
        <v>0</v>
      </c>
      <c r="K816" s="44">
        <v>0</v>
      </c>
      <c r="L816" s="44">
        <v>0</v>
      </c>
      <c r="M816" s="44">
        <v>0</v>
      </c>
      <c r="N816" s="12">
        <f t="shared" si="127"/>
        <v>0</v>
      </c>
      <c r="O816" s="44">
        <v>0</v>
      </c>
      <c r="P816" s="13">
        <v>0</v>
      </c>
      <c r="Q816" s="13">
        <v>0</v>
      </c>
      <c r="R816" s="14">
        <f t="shared" si="126"/>
        <v>0</v>
      </c>
      <c r="S816" s="13">
        <f t="shared" si="128"/>
        <v>100</v>
      </c>
      <c r="T816" s="13">
        <f t="shared" si="129"/>
        <v>200</v>
      </c>
      <c r="U816" s="13" t="s">
        <v>4181</v>
      </c>
      <c r="V816" s="23" t="s">
        <v>4044</v>
      </c>
      <c r="W816" t="s">
        <v>1938</v>
      </c>
    </row>
    <row r="817" spans="1:23" ht="30" customHeight="1">
      <c r="A817" s="93">
        <v>44</v>
      </c>
      <c r="B817" s="13">
        <v>6844</v>
      </c>
      <c r="C817" s="9" t="s">
        <v>4045</v>
      </c>
      <c r="D817" s="9" t="s">
        <v>732</v>
      </c>
      <c r="E817" s="66" t="s">
        <v>1857</v>
      </c>
      <c r="F817" s="44">
        <v>2800</v>
      </c>
      <c r="G817" s="44">
        <v>0</v>
      </c>
      <c r="H817" s="44">
        <v>0</v>
      </c>
      <c r="I817" s="44">
        <v>0</v>
      </c>
      <c r="J817" s="44">
        <v>0</v>
      </c>
      <c r="K817" s="44">
        <v>0</v>
      </c>
      <c r="L817" s="44">
        <v>0</v>
      </c>
      <c r="M817" s="44">
        <v>0</v>
      </c>
      <c r="N817" s="12">
        <f t="shared" si="127"/>
        <v>0</v>
      </c>
      <c r="O817" s="44">
        <v>0</v>
      </c>
      <c r="P817" s="13">
        <v>0</v>
      </c>
      <c r="Q817" s="13">
        <v>0</v>
      </c>
      <c r="R817" s="14">
        <f t="shared" si="126"/>
        <v>0</v>
      </c>
      <c r="S817" s="13">
        <f t="shared" si="128"/>
        <v>100</v>
      </c>
      <c r="T817" s="13">
        <f t="shared" si="129"/>
        <v>200</v>
      </c>
      <c r="U817" s="13" t="s">
        <v>4181</v>
      </c>
      <c r="V817" s="23" t="s">
        <v>4044</v>
      </c>
      <c r="W817" t="s">
        <v>1938</v>
      </c>
    </row>
    <row r="818" spans="1:23" ht="30" customHeight="1">
      <c r="A818" s="93">
        <v>45</v>
      </c>
      <c r="B818" s="13">
        <v>6872</v>
      </c>
      <c r="C818" s="9" t="s">
        <v>4143</v>
      </c>
      <c r="D818" s="9" t="s">
        <v>4144</v>
      </c>
      <c r="E818" s="66" t="s">
        <v>1857</v>
      </c>
      <c r="F818" s="44">
        <v>2800</v>
      </c>
      <c r="G818" s="44">
        <v>0</v>
      </c>
      <c r="H818" s="44">
        <v>0</v>
      </c>
      <c r="I818" s="44">
        <v>0</v>
      </c>
      <c r="J818" s="44">
        <v>0</v>
      </c>
      <c r="K818" s="44">
        <v>0</v>
      </c>
      <c r="L818" s="44">
        <v>0</v>
      </c>
      <c r="M818" s="44">
        <v>0</v>
      </c>
      <c r="N818" s="12">
        <f t="shared" si="127"/>
        <v>0</v>
      </c>
      <c r="O818" s="44">
        <v>0</v>
      </c>
      <c r="P818" s="13">
        <v>0</v>
      </c>
      <c r="Q818" s="13">
        <v>0</v>
      </c>
      <c r="R818" s="14">
        <f t="shared" si="126"/>
        <v>0</v>
      </c>
      <c r="S818" s="13">
        <f t="shared" si="128"/>
        <v>100</v>
      </c>
      <c r="T818" s="13">
        <f t="shared" si="129"/>
        <v>200</v>
      </c>
      <c r="U818" s="13" t="s">
        <v>4181</v>
      </c>
      <c r="V818" s="23" t="s">
        <v>4145</v>
      </c>
      <c r="W818" t="s">
        <v>4146</v>
      </c>
    </row>
    <row r="819" spans="1:23" ht="30" customHeight="1">
      <c r="A819" s="93">
        <v>1</v>
      </c>
      <c r="B819" s="13">
        <v>6878</v>
      </c>
      <c r="C819" s="9" t="s">
        <v>4161</v>
      </c>
      <c r="D819" s="9" t="s">
        <v>4162</v>
      </c>
      <c r="E819" s="66" t="s">
        <v>4163</v>
      </c>
      <c r="F819" s="44">
        <v>1500</v>
      </c>
      <c r="G819" s="44">
        <v>0</v>
      </c>
      <c r="H819" s="44">
        <v>0</v>
      </c>
      <c r="I819" s="44">
        <v>0</v>
      </c>
      <c r="J819" s="44">
        <v>0</v>
      </c>
      <c r="K819" s="44">
        <v>0</v>
      </c>
      <c r="L819" s="44">
        <v>0</v>
      </c>
      <c r="M819" s="44">
        <v>0</v>
      </c>
      <c r="N819" s="12">
        <f t="shared" si="127"/>
        <v>0</v>
      </c>
      <c r="O819" s="44">
        <v>0</v>
      </c>
      <c r="P819" s="13">
        <v>0</v>
      </c>
      <c r="Q819" s="13">
        <v>1000</v>
      </c>
      <c r="R819" s="14">
        <f t="shared" si="126"/>
        <v>1000</v>
      </c>
      <c r="S819" s="13">
        <f t="shared" ref="S819" si="130">R819+100</f>
        <v>1100</v>
      </c>
      <c r="T819" s="13">
        <f t="shared" ref="T819" si="131">R819+200</f>
        <v>1200</v>
      </c>
      <c r="U819" s="13" t="s">
        <v>4181</v>
      </c>
      <c r="V819" s="15" t="s">
        <v>4164</v>
      </c>
      <c r="W819" t="s">
        <v>4165</v>
      </c>
    </row>
    <row r="820" spans="1:23" ht="30" customHeight="1">
      <c r="A820" s="93">
        <v>2</v>
      </c>
      <c r="B820" s="13">
        <v>6881</v>
      </c>
      <c r="C820" s="9" t="s">
        <v>4200</v>
      </c>
      <c r="D820" s="9" t="s">
        <v>4187</v>
      </c>
      <c r="E820" s="66" t="s">
        <v>4189</v>
      </c>
      <c r="F820" s="44">
        <v>2800</v>
      </c>
      <c r="G820" s="44">
        <v>0</v>
      </c>
      <c r="H820" s="44">
        <v>0</v>
      </c>
      <c r="I820" s="44">
        <v>0</v>
      </c>
      <c r="J820" s="44">
        <v>0</v>
      </c>
      <c r="K820" s="44">
        <v>0</v>
      </c>
      <c r="L820" s="44">
        <v>0</v>
      </c>
      <c r="M820" s="44">
        <v>0</v>
      </c>
      <c r="N820" s="12">
        <f t="shared" ref="N820" si="132">(SUM(G820:M820))</f>
        <v>0</v>
      </c>
      <c r="O820" s="44">
        <v>0</v>
      </c>
      <c r="P820" s="13">
        <v>0</v>
      </c>
      <c r="Q820" s="13">
        <v>3000</v>
      </c>
      <c r="R820" s="14">
        <f t="shared" ref="R820" si="133">(SUM(N820:Q820))</f>
        <v>3000</v>
      </c>
      <c r="S820" s="13">
        <f t="shared" ref="S820" si="134">R820+100</f>
        <v>3100</v>
      </c>
      <c r="T820" s="13">
        <f t="shared" ref="T820" si="135">R820+200</f>
        <v>3200</v>
      </c>
      <c r="U820" s="13" t="s">
        <v>4181</v>
      </c>
      <c r="V820" s="23" t="s">
        <v>4188</v>
      </c>
      <c r="W820" t="s">
        <v>4146</v>
      </c>
    </row>
    <row r="821" spans="1:23" ht="30" customHeight="1">
      <c r="A821" s="93">
        <v>3</v>
      </c>
      <c r="B821" s="13">
        <v>6893</v>
      </c>
      <c r="C821" s="9" t="s">
        <v>4217</v>
      </c>
      <c r="D821" s="9" t="s">
        <v>4218</v>
      </c>
      <c r="E821" s="66" t="s">
        <v>4189</v>
      </c>
      <c r="F821" s="44">
        <v>2800</v>
      </c>
      <c r="G821" s="44">
        <v>0</v>
      </c>
      <c r="H821" s="44">
        <v>0</v>
      </c>
      <c r="I821" s="44">
        <v>0</v>
      </c>
      <c r="J821" s="44">
        <v>0</v>
      </c>
      <c r="K821" s="44">
        <v>0</v>
      </c>
      <c r="L821" s="44">
        <v>0</v>
      </c>
      <c r="M821" s="44">
        <v>0</v>
      </c>
      <c r="N821" s="12">
        <f t="shared" ref="N821" si="136">(SUM(G821:M821))</f>
        <v>0</v>
      </c>
      <c r="O821" s="44">
        <v>0</v>
      </c>
      <c r="P821" s="13">
        <v>0</v>
      </c>
      <c r="Q821" s="13">
        <v>1300</v>
      </c>
      <c r="R821" s="14">
        <f t="shared" ref="R821" si="137">(SUM(N821:Q821))</f>
        <v>1300</v>
      </c>
      <c r="S821" s="13">
        <f t="shared" ref="S821" si="138">R821+100</f>
        <v>1400</v>
      </c>
      <c r="T821" s="13">
        <f t="shared" ref="T821" si="139">R821+200</f>
        <v>1500</v>
      </c>
      <c r="U821" s="13" t="s">
        <v>4181</v>
      </c>
      <c r="V821" s="23" t="s">
        <v>4219</v>
      </c>
      <c r="W821" t="s">
        <v>4146</v>
      </c>
    </row>
    <row r="822" spans="1:23" ht="30" customHeight="1">
      <c r="A822" s="93">
        <v>1</v>
      </c>
      <c r="B822" s="13">
        <v>4815</v>
      </c>
      <c r="C822" s="9" t="s">
        <v>1939</v>
      </c>
      <c r="D822" s="9" t="s">
        <v>1070</v>
      </c>
      <c r="E822" s="66" t="s">
        <v>1940</v>
      </c>
      <c r="F822" s="44">
        <v>0</v>
      </c>
      <c r="G822" s="44">
        <v>0</v>
      </c>
      <c r="H822" s="44">
        <v>0</v>
      </c>
      <c r="I822" s="44">
        <v>0</v>
      </c>
      <c r="J822" s="44">
        <v>0</v>
      </c>
      <c r="K822" s="44">
        <v>0</v>
      </c>
      <c r="L822" s="44">
        <v>0</v>
      </c>
      <c r="M822" s="44">
        <v>0</v>
      </c>
      <c r="N822" s="12">
        <f t="shared" ref="N822:N885" si="140">(SUM(G822:M822))</f>
        <v>0</v>
      </c>
      <c r="O822" s="44">
        <v>0</v>
      </c>
      <c r="P822" s="13">
        <v>0</v>
      </c>
      <c r="Q822" s="13">
        <v>0</v>
      </c>
      <c r="R822" s="14">
        <f t="shared" ref="R822:R885" si="141">(SUM(N822:Q822))</f>
        <v>0</v>
      </c>
      <c r="S822" s="13">
        <f t="shared" ref="S822:S853" si="142">R822+100</f>
        <v>100</v>
      </c>
      <c r="T822" s="13">
        <f t="shared" ref="T822:T853" si="143">R822+200</f>
        <v>200</v>
      </c>
      <c r="U822" s="13" t="s">
        <v>4181</v>
      </c>
      <c r="V822" s="23" t="s">
        <v>1071</v>
      </c>
    </row>
    <row r="823" spans="1:23" ht="30" customHeight="1">
      <c r="A823" s="93">
        <v>2</v>
      </c>
      <c r="B823" s="13">
        <v>1811</v>
      </c>
      <c r="C823" s="9" t="s">
        <v>207</v>
      </c>
      <c r="D823" s="9" t="s">
        <v>1278</v>
      </c>
      <c r="E823" s="66" t="s">
        <v>1940</v>
      </c>
      <c r="F823" s="44">
        <v>2800</v>
      </c>
      <c r="G823" s="44">
        <v>0</v>
      </c>
      <c r="H823" s="44">
        <v>0</v>
      </c>
      <c r="I823" s="44">
        <v>0</v>
      </c>
      <c r="J823" s="44">
        <v>0</v>
      </c>
      <c r="K823" s="44">
        <v>0</v>
      </c>
      <c r="L823" s="44">
        <v>0</v>
      </c>
      <c r="M823" s="44">
        <v>0</v>
      </c>
      <c r="N823" s="12">
        <f t="shared" si="140"/>
        <v>0</v>
      </c>
      <c r="O823" s="44">
        <v>0</v>
      </c>
      <c r="P823" s="13">
        <v>0</v>
      </c>
      <c r="Q823" s="13">
        <v>0</v>
      </c>
      <c r="R823" s="14">
        <f t="shared" si="141"/>
        <v>0</v>
      </c>
      <c r="S823" s="13">
        <f t="shared" si="142"/>
        <v>100</v>
      </c>
      <c r="T823" s="13">
        <f t="shared" si="143"/>
        <v>200</v>
      </c>
      <c r="U823" s="13" t="s">
        <v>4181</v>
      </c>
      <c r="V823" s="15" t="s">
        <v>1274</v>
      </c>
    </row>
    <row r="824" spans="1:23" ht="30" customHeight="1">
      <c r="A824" s="93">
        <v>3</v>
      </c>
      <c r="B824" s="13">
        <v>1814</v>
      </c>
      <c r="C824" s="9" t="s">
        <v>1941</v>
      </c>
      <c r="D824" s="9" t="s">
        <v>774</v>
      </c>
      <c r="E824" s="66" t="s">
        <v>1940</v>
      </c>
      <c r="F824" s="44">
        <v>1900</v>
      </c>
      <c r="G824" s="44">
        <v>0</v>
      </c>
      <c r="H824" s="44">
        <v>0</v>
      </c>
      <c r="I824" s="44">
        <v>0</v>
      </c>
      <c r="J824" s="44">
        <v>0</v>
      </c>
      <c r="K824" s="44">
        <v>0</v>
      </c>
      <c r="L824" s="44">
        <v>0</v>
      </c>
      <c r="M824" s="44">
        <v>0</v>
      </c>
      <c r="N824" s="12">
        <f t="shared" si="140"/>
        <v>0</v>
      </c>
      <c r="O824" s="44">
        <v>0</v>
      </c>
      <c r="P824" s="13">
        <v>0</v>
      </c>
      <c r="Q824" s="13">
        <v>0</v>
      </c>
      <c r="R824" s="14">
        <f t="shared" si="141"/>
        <v>0</v>
      </c>
      <c r="S824" s="13">
        <f t="shared" si="142"/>
        <v>100</v>
      </c>
      <c r="T824" s="13">
        <f t="shared" si="143"/>
        <v>200</v>
      </c>
      <c r="U824" s="13" t="s">
        <v>4181</v>
      </c>
      <c r="V824" s="15" t="s">
        <v>1942</v>
      </c>
    </row>
    <row r="825" spans="1:23" ht="30" customHeight="1">
      <c r="A825" s="93">
        <v>4</v>
      </c>
      <c r="B825" s="13">
        <v>1817</v>
      </c>
      <c r="C825" s="9" t="s">
        <v>1943</v>
      </c>
      <c r="D825" s="9" t="s">
        <v>1265</v>
      </c>
      <c r="E825" s="66" t="s">
        <v>1940</v>
      </c>
      <c r="F825" s="44">
        <v>2800</v>
      </c>
      <c r="G825" s="44">
        <v>0</v>
      </c>
      <c r="H825" s="44">
        <v>0</v>
      </c>
      <c r="I825" s="44">
        <v>0</v>
      </c>
      <c r="J825" s="44">
        <v>0</v>
      </c>
      <c r="K825" s="44">
        <v>0</v>
      </c>
      <c r="L825" s="44">
        <v>0</v>
      </c>
      <c r="M825" s="44">
        <v>0</v>
      </c>
      <c r="N825" s="12">
        <f t="shared" si="140"/>
        <v>0</v>
      </c>
      <c r="O825" s="44">
        <v>2800</v>
      </c>
      <c r="P825" s="13">
        <v>0</v>
      </c>
      <c r="Q825" s="13">
        <v>0</v>
      </c>
      <c r="R825" s="14">
        <f t="shared" si="141"/>
        <v>2800</v>
      </c>
      <c r="S825" s="13">
        <f t="shared" si="142"/>
        <v>2900</v>
      </c>
      <c r="T825" s="13">
        <f t="shared" si="143"/>
        <v>3000</v>
      </c>
      <c r="U825" s="13" t="s">
        <v>4181</v>
      </c>
      <c r="V825" s="15" t="s">
        <v>1944</v>
      </c>
    </row>
    <row r="826" spans="1:23" ht="30" customHeight="1">
      <c r="A826" s="93">
        <v>5</v>
      </c>
      <c r="B826" s="19">
        <v>1836</v>
      </c>
      <c r="C826" s="21" t="s">
        <v>1945</v>
      </c>
      <c r="D826" s="21" t="s">
        <v>1946</v>
      </c>
      <c r="E826" s="66" t="s">
        <v>1940</v>
      </c>
      <c r="F826" s="44">
        <v>2800</v>
      </c>
      <c r="G826" s="44">
        <v>0</v>
      </c>
      <c r="H826" s="44">
        <v>0</v>
      </c>
      <c r="I826" s="44">
        <v>0</v>
      </c>
      <c r="J826" s="44">
        <v>0</v>
      </c>
      <c r="K826" s="44">
        <v>0</v>
      </c>
      <c r="L826" s="44">
        <v>0</v>
      </c>
      <c r="M826" s="44">
        <v>0</v>
      </c>
      <c r="N826" s="12">
        <f t="shared" si="140"/>
        <v>0</v>
      </c>
      <c r="O826" s="44">
        <v>0</v>
      </c>
      <c r="P826" s="13">
        <v>0</v>
      </c>
      <c r="Q826" s="13">
        <v>0</v>
      </c>
      <c r="R826" s="14">
        <f t="shared" si="141"/>
        <v>0</v>
      </c>
      <c r="S826" s="13">
        <f t="shared" si="142"/>
        <v>100</v>
      </c>
      <c r="T826" s="13">
        <f t="shared" si="143"/>
        <v>200</v>
      </c>
      <c r="U826" s="13" t="s">
        <v>4181</v>
      </c>
      <c r="V826" s="39" t="s">
        <v>1947</v>
      </c>
    </row>
    <row r="827" spans="1:23" ht="30" customHeight="1">
      <c r="A827" s="93">
        <v>6</v>
      </c>
      <c r="B827" s="13">
        <v>4141</v>
      </c>
      <c r="C827" s="9" t="s">
        <v>1948</v>
      </c>
      <c r="D827" s="9" t="s">
        <v>1949</v>
      </c>
      <c r="E827" s="66" t="s">
        <v>1940</v>
      </c>
      <c r="F827" s="44">
        <v>500</v>
      </c>
      <c r="G827" s="44">
        <v>0</v>
      </c>
      <c r="H827" s="44">
        <v>0</v>
      </c>
      <c r="I827" s="44">
        <v>0</v>
      </c>
      <c r="J827" s="44">
        <v>0</v>
      </c>
      <c r="K827" s="44">
        <v>0</v>
      </c>
      <c r="L827" s="44">
        <v>0</v>
      </c>
      <c r="M827" s="44">
        <v>0</v>
      </c>
      <c r="N827" s="12">
        <f t="shared" si="140"/>
        <v>0</v>
      </c>
      <c r="O827" s="44">
        <v>0</v>
      </c>
      <c r="P827" s="13">
        <v>0</v>
      </c>
      <c r="Q827" s="13">
        <v>0</v>
      </c>
      <c r="R827" s="14">
        <f t="shared" si="141"/>
        <v>0</v>
      </c>
      <c r="S827" s="13">
        <f t="shared" si="142"/>
        <v>100</v>
      </c>
      <c r="T827" s="13">
        <f t="shared" si="143"/>
        <v>200</v>
      </c>
      <c r="U827" s="13" t="s">
        <v>4181</v>
      </c>
      <c r="V827" s="98" t="s">
        <v>1950</v>
      </c>
    </row>
    <row r="828" spans="1:23" ht="30" customHeight="1">
      <c r="A828" s="93">
        <v>7</v>
      </c>
      <c r="B828" s="13">
        <v>4400</v>
      </c>
      <c r="C828" s="9" t="s">
        <v>1951</v>
      </c>
      <c r="D828" s="9" t="s">
        <v>1952</v>
      </c>
      <c r="E828" s="66" t="s">
        <v>1940</v>
      </c>
      <c r="F828" s="44">
        <v>2600</v>
      </c>
      <c r="G828" s="44">
        <v>0</v>
      </c>
      <c r="H828" s="44">
        <v>0</v>
      </c>
      <c r="I828" s="44">
        <v>0</v>
      </c>
      <c r="J828" s="44">
        <v>0</v>
      </c>
      <c r="K828" s="44">
        <v>0</v>
      </c>
      <c r="L828" s="44">
        <v>0</v>
      </c>
      <c r="M828" s="44">
        <v>0</v>
      </c>
      <c r="N828" s="12">
        <f t="shared" si="140"/>
        <v>0</v>
      </c>
      <c r="O828" s="44">
        <v>0</v>
      </c>
      <c r="P828" s="13">
        <v>0</v>
      </c>
      <c r="Q828" s="13">
        <v>0</v>
      </c>
      <c r="R828" s="14">
        <f t="shared" si="141"/>
        <v>0</v>
      </c>
      <c r="S828" s="13">
        <f t="shared" si="142"/>
        <v>100</v>
      </c>
      <c r="T828" s="13">
        <f t="shared" si="143"/>
        <v>200</v>
      </c>
      <c r="U828" s="13" t="s">
        <v>4181</v>
      </c>
      <c r="V828" s="72" t="s">
        <v>1953</v>
      </c>
      <c r="W828" t="s">
        <v>1954</v>
      </c>
    </row>
    <row r="829" spans="1:23" ht="30" customHeight="1">
      <c r="A829" s="93">
        <v>8</v>
      </c>
      <c r="B829" s="19">
        <v>4989</v>
      </c>
      <c r="C829" s="21" t="s">
        <v>536</v>
      </c>
      <c r="D829" s="21" t="s">
        <v>753</v>
      </c>
      <c r="E829" s="66" t="s">
        <v>1940</v>
      </c>
      <c r="F829" s="44">
        <v>2400</v>
      </c>
      <c r="G829" s="44">
        <v>0</v>
      </c>
      <c r="H829" s="44">
        <v>0</v>
      </c>
      <c r="I829" s="44">
        <v>0</v>
      </c>
      <c r="J829" s="44">
        <v>0</v>
      </c>
      <c r="K829" s="44">
        <v>0</v>
      </c>
      <c r="L829" s="44">
        <v>0</v>
      </c>
      <c r="M829" s="44">
        <v>0</v>
      </c>
      <c r="N829" s="12">
        <f t="shared" si="140"/>
        <v>0</v>
      </c>
      <c r="O829" s="44">
        <v>0</v>
      </c>
      <c r="P829" s="13">
        <v>0</v>
      </c>
      <c r="Q829" s="13">
        <v>0</v>
      </c>
      <c r="R829" s="14">
        <f t="shared" si="141"/>
        <v>0</v>
      </c>
      <c r="S829" s="13">
        <f t="shared" si="142"/>
        <v>100</v>
      </c>
      <c r="T829" s="13">
        <f t="shared" si="143"/>
        <v>200</v>
      </c>
      <c r="U829" s="13" t="s">
        <v>4181</v>
      </c>
      <c r="V829" s="46" t="s">
        <v>1958</v>
      </c>
    </row>
    <row r="830" spans="1:23" ht="30" customHeight="1">
      <c r="A830" s="93">
        <v>9</v>
      </c>
      <c r="B830" s="13">
        <v>5017</v>
      </c>
      <c r="C830" s="9" t="s">
        <v>1959</v>
      </c>
      <c r="D830" s="9" t="s">
        <v>1960</v>
      </c>
      <c r="E830" s="66" t="s">
        <v>1940</v>
      </c>
      <c r="F830" s="44">
        <v>2800</v>
      </c>
      <c r="G830" s="44">
        <v>0</v>
      </c>
      <c r="H830" s="44">
        <v>0</v>
      </c>
      <c r="I830" s="44">
        <v>0</v>
      </c>
      <c r="J830" s="44">
        <v>0</v>
      </c>
      <c r="K830" s="44">
        <v>0</v>
      </c>
      <c r="L830" s="44">
        <v>0</v>
      </c>
      <c r="M830" s="44">
        <v>0</v>
      </c>
      <c r="N830" s="12">
        <f t="shared" si="140"/>
        <v>0</v>
      </c>
      <c r="O830" s="44">
        <v>0</v>
      </c>
      <c r="P830" s="13">
        <v>0</v>
      </c>
      <c r="Q830" s="13">
        <v>0</v>
      </c>
      <c r="R830" s="14">
        <f t="shared" si="141"/>
        <v>0</v>
      </c>
      <c r="S830" s="13">
        <f t="shared" si="142"/>
        <v>100</v>
      </c>
      <c r="T830" s="13">
        <f t="shared" si="143"/>
        <v>200</v>
      </c>
      <c r="U830" s="13" t="s">
        <v>4181</v>
      </c>
      <c r="V830" s="23" t="s">
        <v>1961</v>
      </c>
    </row>
    <row r="831" spans="1:23" ht="30" customHeight="1">
      <c r="A831" s="93">
        <v>10</v>
      </c>
      <c r="B831" s="13">
        <v>6016</v>
      </c>
      <c r="C831" s="9" t="s">
        <v>382</v>
      </c>
      <c r="D831" s="9" t="s">
        <v>918</v>
      </c>
      <c r="E831" s="66" t="s">
        <v>1940</v>
      </c>
      <c r="F831" s="44">
        <v>2800</v>
      </c>
      <c r="G831" s="44">
        <v>0</v>
      </c>
      <c r="H831" s="44">
        <v>0</v>
      </c>
      <c r="I831" s="44">
        <v>0</v>
      </c>
      <c r="J831" s="44">
        <v>0</v>
      </c>
      <c r="K831" s="44">
        <v>0</v>
      </c>
      <c r="L831" s="44">
        <v>0</v>
      </c>
      <c r="M831" s="44">
        <v>0</v>
      </c>
      <c r="N831" s="12">
        <f t="shared" si="140"/>
        <v>0</v>
      </c>
      <c r="O831" s="44">
        <v>0</v>
      </c>
      <c r="P831" s="13">
        <v>0</v>
      </c>
      <c r="Q831" s="13">
        <v>0</v>
      </c>
      <c r="R831" s="14">
        <f t="shared" si="141"/>
        <v>0</v>
      </c>
      <c r="S831" s="13">
        <f t="shared" si="142"/>
        <v>100</v>
      </c>
      <c r="T831" s="13">
        <f t="shared" si="143"/>
        <v>200</v>
      </c>
      <c r="U831" s="13" t="s">
        <v>4181</v>
      </c>
      <c r="V831" s="72" t="s">
        <v>919</v>
      </c>
    </row>
    <row r="832" spans="1:23" ht="30" customHeight="1">
      <c r="A832" s="93">
        <v>11</v>
      </c>
      <c r="B832" s="13">
        <v>6128</v>
      </c>
      <c r="C832" s="9" t="s">
        <v>1962</v>
      </c>
      <c r="D832" s="9" t="s">
        <v>1963</v>
      </c>
      <c r="E832" s="66" t="s">
        <v>1940</v>
      </c>
      <c r="F832" s="44">
        <v>2800</v>
      </c>
      <c r="G832" s="44">
        <v>0</v>
      </c>
      <c r="H832" s="44">
        <v>0</v>
      </c>
      <c r="I832" s="44">
        <v>0</v>
      </c>
      <c r="J832" s="44">
        <v>0</v>
      </c>
      <c r="K832" s="44">
        <v>0</v>
      </c>
      <c r="L832" s="44">
        <v>0</v>
      </c>
      <c r="M832" s="44">
        <v>0</v>
      </c>
      <c r="N832" s="12">
        <f t="shared" si="140"/>
        <v>0</v>
      </c>
      <c r="O832" s="44">
        <v>0</v>
      </c>
      <c r="P832" s="13">
        <v>0</v>
      </c>
      <c r="Q832" s="13">
        <v>0</v>
      </c>
      <c r="R832" s="14">
        <f t="shared" si="141"/>
        <v>0</v>
      </c>
      <c r="S832" s="13">
        <f t="shared" si="142"/>
        <v>100</v>
      </c>
      <c r="T832" s="13">
        <f t="shared" si="143"/>
        <v>200</v>
      </c>
      <c r="U832" s="13" t="s">
        <v>4181</v>
      </c>
      <c r="V832" s="72" t="s">
        <v>1964</v>
      </c>
    </row>
    <row r="833" spans="1:23" ht="30" customHeight="1">
      <c r="A833" s="93">
        <v>12</v>
      </c>
      <c r="B833" s="13">
        <v>6396</v>
      </c>
      <c r="C833" s="9" t="s">
        <v>615</v>
      </c>
      <c r="D833" s="9" t="s">
        <v>1966</v>
      </c>
      <c r="E833" s="66" t="s">
        <v>1940</v>
      </c>
      <c r="F833" s="44">
        <v>2500</v>
      </c>
      <c r="G833" s="44">
        <v>0</v>
      </c>
      <c r="H833" s="44">
        <v>0</v>
      </c>
      <c r="I833" s="44">
        <v>0</v>
      </c>
      <c r="J833" s="44">
        <v>0</v>
      </c>
      <c r="K833" s="44">
        <v>0</v>
      </c>
      <c r="L833" s="44">
        <v>0</v>
      </c>
      <c r="M833" s="44">
        <v>0</v>
      </c>
      <c r="N833" s="12">
        <f t="shared" si="140"/>
        <v>0</v>
      </c>
      <c r="O833" s="44">
        <v>0</v>
      </c>
      <c r="P833" s="13">
        <v>0</v>
      </c>
      <c r="Q833" s="13">
        <v>0</v>
      </c>
      <c r="R833" s="14">
        <f t="shared" si="141"/>
        <v>0</v>
      </c>
      <c r="S833" s="13">
        <f t="shared" si="142"/>
        <v>100</v>
      </c>
      <c r="T833" s="13">
        <f t="shared" si="143"/>
        <v>200</v>
      </c>
      <c r="U833" s="13" t="s">
        <v>4181</v>
      </c>
      <c r="V833" s="23" t="s">
        <v>1967</v>
      </c>
    </row>
    <row r="834" spans="1:23" ht="30" customHeight="1">
      <c r="A834" s="93">
        <v>13</v>
      </c>
      <c r="B834" s="13">
        <v>6406</v>
      </c>
      <c r="C834" s="9" t="s">
        <v>1970</v>
      </c>
      <c r="D834" s="9" t="s">
        <v>1971</v>
      </c>
      <c r="E834" s="66" t="s">
        <v>1940</v>
      </c>
      <c r="F834" s="44">
        <v>2800</v>
      </c>
      <c r="G834" s="44">
        <v>0</v>
      </c>
      <c r="H834" s="44">
        <v>0</v>
      </c>
      <c r="I834" s="44">
        <v>0</v>
      </c>
      <c r="J834" s="44">
        <v>0</v>
      </c>
      <c r="K834" s="44">
        <v>0</v>
      </c>
      <c r="L834" s="44">
        <v>0</v>
      </c>
      <c r="M834" s="44">
        <v>0</v>
      </c>
      <c r="N834" s="12">
        <f t="shared" si="140"/>
        <v>0</v>
      </c>
      <c r="O834" s="44">
        <v>0</v>
      </c>
      <c r="P834" s="13">
        <v>0</v>
      </c>
      <c r="Q834" s="13">
        <v>0</v>
      </c>
      <c r="R834" s="14">
        <f t="shared" si="141"/>
        <v>0</v>
      </c>
      <c r="S834" s="13">
        <f t="shared" si="142"/>
        <v>100</v>
      </c>
      <c r="T834" s="13">
        <f t="shared" si="143"/>
        <v>200</v>
      </c>
      <c r="U834" s="13" t="s">
        <v>4181</v>
      </c>
      <c r="V834" s="23" t="s">
        <v>1972</v>
      </c>
    </row>
    <row r="835" spans="1:23" ht="30" customHeight="1">
      <c r="A835" s="93">
        <v>14</v>
      </c>
      <c r="B835" s="13">
        <v>6613</v>
      </c>
      <c r="C835" s="9" t="s">
        <v>1976</v>
      </c>
      <c r="D835" s="9" t="s">
        <v>751</v>
      </c>
      <c r="E835" s="66" t="s">
        <v>1940</v>
      </c>
      <c r="F835" s="44">
        <v>2500</v>
      </c>
      <c r="G835" s="44">
        <v>0</v>
      </c>
      <c r="H835" s="44">
        <v>0</v>
      </c>
      <c r="I835" s="44">
        <v>0</v>
      </c>
      <c r="J835" s="44">
        <v>0</v>
      </c>
      <c r="K835" s="44">
        <v>0</v>
      </c>
      <c r="L835" s="44">
        <v>0</v>
      </c>
      <c r="M835" s="44">
        <v>0</v>
      </c>
      <c r="N835" s="12">
        <f t="shared" si="140"/>
        <v>0</v>
      </c>
      <c r="O835" s="44">
        <v>0</v>
      </c>
      <c r="P835" s="13">
        <v>0</v>
      </c>
      <c r="Q835" s="13">
        <v>0</v>
      </c>
      <c r="R835" s="14">
        <f t="shared" si="141"/>
        <v>0</v>
      </c>
      <c r="S835" s="13">
        <f t="shared" si="142"/>
        <v>100</v>
      </c>
      <c r="T835" s="13">
        <f t="shared" si="143"/>
        <v>200</v>
      </c>
      <c r="U835" s="13" t="s">
        <v>4181</v>
      </c>
      <c r="V835" s="23" t="s">
        <v>1977</v>
      </c>
      <c r="W835" t="s">
        <v>853</v>
      </c>
    </row>
    <row r="836" spans="1:23" ht="30" customHeight="1">
      <c r="A836" s="93">
        <v>15</v>
      </c>
      <c r="B836" s="13">
        <v>6645</v>
      </c>
      <c r="C836" s="9" t="s">
        <v>1978</v>
      </c>
      <c r="D836" s="9" t="s">
        <v>1387</v>
      </c>
      <c r="E836" s="66" t="s">
        <v>1940</v>
      </c>
      <c r="F836" s="44">
        <v>0</v>
      </c>
      <c r="G836" s="44">
        <v>0</v>
      </c>
      <c r="H836" s="44">
        <v>0</v>
      </c>
      <c r="I836" s="44">
        <v>0</v>
      </c>
      <c r="J836" s="44">
        <v>0</v>
      </c>
      <c r="K836" s="44">
        <v>0</v>
      </c>
      <c r="L836" s="44">
        <v>0</v>
      </c>
      <c r="M836" s="44">
        <v>0</v>
      </c>
      <c r="N836" s="12">
        <f t="shared" si="140"/>
        <v>0</v>
      </c>
      <c r="O836" s="44">
        <v>0</v>
      </c>
      <c r="P836" s="13">
        <v>0</v>
      </c>
      <c r="Q836" s="13">
        <v>0</v>
      </c>
      <c r="R836" s="14">
        <f t="shared" si="141"/>
        <v>0</v>
      </c>
      <c r="S836" s="13">
        <f t="shared" si="142"/>
        <v>100</v>
      </c>
      <c r="T836" s="13">
        <f t="shared" si="143"/>
        <v>200</v>
      </c>
      <c r="U836" s="13" t="s">
        <v>4181</v>
      </c>
      <c r="V836" s="23" t="s">
        <v>1979</v>
      </c>
    </row>
    <row r="837" spans="1:23" ht="30" customHeight="1">
      <c r="A837" s="93">
        <v>16</v>
      </c>
      <c r="B837" s="13">
        <v>6676</v>
      </c>
      <c r="C837" s="9" t="s">
        <v>1980</v>
      </c>
      <c r="D837" s="9" t="s">
        <v>1981</v>
      </c>
      <c r="E837" s="66" t="s">
        <v>1940</v>
      </c>
      <c r="F837" s="44">
        <v>2800</v>
      </c>
      <c r="G837" s="44">
        <v>0</v>
      </c>
      <c r="H837" s="44">
        <v>0</v>
      </c>
      <c r="I837" s="44">
        <v>0</v>
      </c>
      <c r="J837" s="44">
        <v>0</v>
      </c>
      <c r="K837" s="44">
        <v>0</v>
      </c>
      <c r="L837" s="44">
        <v>0</v>
      </c>
      <c r="M837" s="44">
        <v>0</v>
      </c>
      <c r="N837" s="12">
        <f t="shared" si="140"/>
        <v>0</v>
      </c>
      <c r="O837" s="44">
        <v>0</v>
      </c>
      <c r="P837" s="13">
        <v>0</v>
      </c>
      <c r="Q837" s="13">
        <v>0</v>
      </c>
      <c r="R837" s="14">
        <f t="shared" si="141"/>
        <v>0</v>
      </c>
      <c r="S837" s="13">
        <f t="shared" si="142"/>
        <v>100</v>
      </c>
      <c r="T837" s="13">
        <f t="shared" si="143"/>
        <v>200</v>
      </c>
      <c r="U837" s="13" t="s">
        <v>4181</v>
      </c>
      <c r="V837" s="23" t="s">
        <v>1982</v>
      </c>
    </row>
    <row r="838" spans="1:23" ht="30" customHeight="1">
      <c r="A838" s="93">
        <v>17</v>
      </c>
      <c r="B838" s="13">
        <v>6677</v>
      </c>
      <c r="C838" s="9" t="s">
        <v>166</v>
      </c>
      <c r="D838" s="9" t="s">
        <v>1983</v>
      </c>
      <c r="E838" s="66" t="s">
        <v>1940</v>
      </c>
      <c r="F838" s="44">
        <v>2800</v>
      </c>
      <c r="G838" s="44">
        <v>0</v>
      </c>
      <c r="H838" s="44">
        <v>0</v>
      </c>
      <c r="I838" s="44">
        <v>0</v>
      </c>
      <c r="J838" s="44">
        <v>0</v>
      </c>
      <c r="K838" s="44">
        <v>0</v>
      </c>
      <c r="L838" s="44">
        <v>0</v>
      </c>
      <c r="M838" s="44">
        <v>0</v>
      </c>
      <c r="N838" s="12">
        <f t="shared" si="140"/>
        <v>0</v>
      </c>
      <c r="O838" s="44">
        <v>0</v>
      </c>
      <c r="P838" s="13">
        <v>0</v>
      </c>
      <c r="Q838" s="13">
        <v>0</v>
      </c>
      <c r="R838" s="14">
        <f t="shared" si="141"/>
        <v>0</v>
      </c>
      <c r="S838" s="13">
        <f t="shared" si="142"/>
        <v>100</v>
      </c>
      <c r="T838" s="13">
        <f t="shared" si="143"/>
        <v>200</v>
      </c>
      <c r="U838" s="13" t="s">
        <v>4181</v>
      </c>
      <c r="V838" s="23" t="s">
        <v>1984</v>
      </c>
    </row>
    <row r="839" spans="1:23" ht="30" customHeight="1">
      <c r="A839" s="93">
        <v>18</v>
      </c>
      <c r="B839" s="13">
        <v>6678</v>
      </c>
      <c r="C839" s="9" t="s">
        <v>41</v>
      </c>
      <c r="D839" s="9" t="s">
        <v>1394</v>
      </c>
      <c r="E839" s="66" t="s">
        <v>1940</v>
      </c>
      <c r="F839" s="44">
        <v>2800</v>
      </c>
      <c r="G839" s="44">
        <v>0</v>
      </c>
      <c r="H839" s="44">
        <v>0</v>
      </c>
      <c r="I839" s="44">
        <v>0</v>
      </c>
      <c r="J839" s="44">
        <v>0</v>
      </c>
      <c r="K839" s="44">
        <v>0</v>
      </c>
      <c r="L839" s="44">
        <v>0</v>
      </c>
      <c r="M839" s="44">
        <v>0</v>
      </c>
      <c r="N839" s="12">
        <f t="shared" si="140"/>
        <v>0</v>
      </c>
      <c r="O839" s="44">
        <v>0</v>
      </c>
      <c r="P839" s="13">
        <v>0</v>
      </c>
      <c r="Q839" s="13">
        <v>0</v>
      </c>
      <c r="R839" s="14">
        <f t="shared" si="141"/>
        <v>0</v>
      </c>
      <c r="S839" s="13">
        <f t="shared" si="142"/>
        <v>100</v>
      </c>
      <c r="T839" s="13">
        <f t="shared" si="143"/>
        <v>200</v>
      </c>
      <c r="U839" s="13" t="s">
        <v>4181</v>
      </c>
      <c r="V839" s="23" t="s">
        <v>1985</v>
      </c>
    </row>
    <row r="840" spans="1:23" ht="30" customHeight="1">
      <c r="A840" s="93">
        <v>19</v>
      </c>
      <c r="B840" s="13">
        <v>6680</v>
      </c>
      <c r="C840" s="9" t="s">
        <v>1986</v>
      </c>
      <c r="D840" s="9" t="s">
        <v>1824</v>
      </c>
      <c r="E840" s="66" t="s">
        <v>1940</v>
      </c>
      <c r="F840" s="44">
        <v>2800</v>
      </c>
      <c r="G840" s="44">
        <v>0</v>
      </c>
      <c r="H840" s="44">
        <v>0</v>
      </c>
      <c r="I840" s="44">
        <v>0</v>
      </c>
      <c r="J840" s="44">
        <v>0</v>
      </c>
      <c r="K840" s="44">
        <v>0</v>
      </c>
      <c r="L840" s="44">
        <v>0</v>
      </c>
      <c r="M840" s="44">
        <v>0</v>
      </c>
      <c r="N840" s="12">
        <f t="shared" si="140"/>
        <v>0</v>
      </c>
      <c r="O840" s="44">
        <v>0</v>
      </c>
      <c r="P840" s="13">
        <v>0</v>
      </c>
      <c r="Q840" s="13">
        <v>0</v>
      </c>
      <c r="R840" s="14">
        <f t="shared" si="141"/>
        <v>0</v>
      </c>
      <c r="S840" s="13">
        <f t="shared" si="142"/>
        <v>100</v>
      </c>
      <c r="T840" s="13">
        <f t="shared" si="143"/>
        <v>200</v>
      </c>
      <c r="U840" s="13" t="s">
        <v>4181</v>
      </c>
      <c r="V840" s="23" t="s">
        <v>1987</v>
      </c>
    </row>
    <row r="841" spans="1:23" ht="30" customHeight="1">
      <c r="A841" s="93">
        <v>20</v>
      </c>
      <c r="B841" s="13">
        <v>6681</v>
      </c>
      <c r="C841" s="9" t="s">
        <v>1988</v>
      </c>
      <c r="D841" s="9" t="s">
        <v>1989</v>
      </c>
      <c r="E841" s="66" t="s">
        <v>1940</v>
      </c>
      <c r="F841" s="44">
        <v>2800</v>
      </c>
      <c r="G841" s="44">
        <v>0</v>
      </c>
      <c r="H841" s="44">
        <v>0</v>
      </c>
      <c r="I841" s="44">
        <v>0</v>
      </c>
      <c r="J841" s="44">
        <v>0</v>
      </c>
      <c r="K841" s="44">
        <v>0</v>
      </c>
      <c r="L841" s="44">
        <v>0</v>
      </c>
      <c r="M841" s="44">
        <v>0</v>
      </c>
      <c r="N841" s="12">
        <f t="shared" si="140"/>
        <v>0</v>
      </c>
      <c r="O841" s="44">
        <v>2800</v>
      </c>
      <c r="P841" s="13">
        <v>0</v>
      </c>
      <c r="Q841" s="13">
        <v>0</v>
      </c>
      <c r="R841" s="14">
        <f t="shared" si="141"/>
        <v>2800</v>
      </c>
      <c r="S841" s="13">
        <f t="shared" si="142"/>
        <v>2900</v>
      </c>
      <c r="T841" s="13">
        <f t="shared" si="143"/>
        <v>3000</v>
      </c>
      <c r="U841" s="13" t="s">
        <v>4181</v>
      </c>
      <c r="V841" s="23" t="s">
        <v>1990</v>
      </c>
    </row>
    <row r="842" spans="1:23" ht="30" customHeight="1">
      <c r="A842" s="93">
        <v>21</v>
      </c>
      <c r="B842" s="13">
        <v>6821</v>
      </c>
      <c r="C842" s="9" t="s">
        <v>444</v>
      </c>
      <c r="D842" s="9" t="s">
        <v>957</v>
      </c>
      <c r="E842" s="66" t="s">
        <v>1940</v>
      </c>
      <c r="F842" s="44">
        <v>1500</v>
      </c>
      <c r="G842" s="44">
        <v>0</v>
      </c>
      <c r="H842" s="44">
        <v>0</v>
      </c>
      <c r="I842" s="44">
        <v>0</v>
      </c>
      <c r="J842" s="44">
        <v>0</v>
      </c>
      <c r="K842" s="44">
        <v>0</v>
      </c>
      <c r="L842" s="44">
        <v>0</v>
      </c>
      <c r="M842" s="44">
        <v>0</v>
      </c>
      <c r="N842" s="12">
        <f t="shared" si="140"/>
        <v>0</v>
      </c>
      <c r="O842" s="44">
        <v>0</v>
      </c>
      <c r="P842" s="13">
        <v>0</v>
      </c>
      <c r="Q842" s="13">
        <v>0</v>
      </c>
      <c r="R842" s="14">
        <f t="shared" si="141"/>
        <v>0</v>
      </c>
      <c r="S842" s="13">
        <f t="shared" si="142"/>
        <v>100</v>
      </c>
      <c r="T842" s="13">
        <f t="shared" si="143"/>
        <v>200</v>
      </c>
      <c r="U842" s="13" t="s">
        <v>4181</v>
      </c>
      <c r="V842" s="23" t="s">
        <v>958</v>
      </c>
      <c r="W842" t="s">
        <v>124</v>
      </c>
    </row>
    <row r="843" spans="1:23" ht="30" customHeight="1">
      <c r="A843" s="93">
        <v>22</v>
      </c>
      <c r="B843" s="13" t="s">
        <v>2048</v>
      </c>
      <c r="C843" s="9" t="s">
        <v>2049</v>
      </c>
      <c r="D843" s="9" t="s">
        <v>490</v>
      </c>
      <c r="E843" s="66" t="s">
        <v>1940</v>
      </c>
      <c r="F843" s="44">
        <v>2800</v>
      </c>
      <c r="G843" s="44">
        <v>0</v>
      </c>
      <c r="H843" s="44">
        <v>0</v>
      </c>
      <c r="I843" s="44">
        <v>0</v>
      </c>
      <c r="J843" s="44">
        <v>0</v>
      </c>
      <c r="K843" s="44">
        <v>0</v>
      </c>
      <c r="L843" s="44">
        <v>0</v>
      </c>
      <c r="M843" s="44">
        <v>0</v>
      </c>
      <c r="N843" s="12">
        <f t="shared" si="140"/>
        <v>0</v>
      </c>
      <c r="O843" s="44">
        <v>0</v>
      </c>
      <c r="P843" s="13">
        <v>0</v>
      </c>
      <c r="Q843" s="13">
        <v>0</v>
      </c>
      <c r="R843" s="14">
        <f t="shared" si="141"/>
        <v>0</v>
      </c>
      <c r="S843" s="13">
        <f t="shared" si="142"/>
        <v>100</v>
      </c>
      <c r="T843" s="13">
        <f t="shared" si="143"/>
        <v>200</v>
      </c>
      <c r="U843" s="13" t="s">
        <v>4181</v>
      </c>
      <c r="V843" s="72" t="s">
        <v>2050</v>
      </c>
    </row>
    <row r="844" spans="1:23" ht="30" customHeight="1">
      <c r="A844" s="93">
        <v>23</v>
      </c>
      <c r="B844" s="13">
        <v>6848</v>
      </c>
      <c r="C844" s="9" t="s">
        <v>4064</v>
      </c>
      <c r="D844" s="9" t="s">
        <v>4065</v>
      </c>
      <c r="E844" s="66" t="s">
        <v>1940</v>
      </c>
      <c r="F844" s="44">
        <v>2600</v>
      </c>
      <c r="G844" s="44">
        <v>0</v>
      </c>
      <c r="H844" s="44">
        <v>0</v>
      </c>
      <c r="I844" s="44">
        <v>0</v>
      </c>
      <c r="J844" s="44">
        <v>0</v>
      </c>
      <c r="K844" s="44">
        <v>0</v>
      </c>
      <c r="L844" s="44">
        <v>0</v>
      </c>
      <c r="M844" s="44">
        <v>0</v>
      </c>
      <c r="N844" s="12">
        <f t="shared" si="140"/>
        <v>0</v>
      </c>
      <c r="O844" s="44">
        <v>0</v>
      </c>
      <c r="P844" s="13">
        <v>0</v>
      </c>
      <c r="Q844" s="13">
        <v>0</v>
      </c>
      <c r="R844" s="14">
        <f t="shared" si="141"/>
        <v>0</v>
      </c>
      <c r="S844" s="13">
        <f t="shared" si="142"/>
        <v>100</v>
      </c>
      <c r="T844" s="13">
        <f t="shared" si="143"/>
        <v>200</v>
      </c>
      <c r="U844" s="13" t="s">
        <v>4181</v>
      </c>
      <c r="V844" s="72" t="s">
        <v>4066</v>
      </c>
      <c r="W844" t="s">
        <v>4063</v>
      </c>
    </row>
    <row r="845" spans="1:23" ht="30" customHeight="1">
      <c r="A845" s="93">
        <v>24</v>
      </c>
      <c r="B845" s="13">
        <v>6863</v>
      </c>
      <c r="C845" s="9" t="s">
        <v>4115</v>
      </c>
      <c r="D845" s="9" t="s">
        <v>4116</v>
      </c>
      <c r="E845" s="66" t="s">
        <v>1940</v>
      </c>
      <c r="F845" s="44">
        <v>2500</v>
      </c>
      <c r="G845" s="44">
        <v>0</v>
      </c>
      <c r="H845" s="44">
        <v>0</v>
      </c>
      <c r="I845" s="44">
        <v>0</v>
      </c>
      <c r="J845" s="44">
        <v>0</v>
      </c>
      <c r="K845" s="44">
        <v>0</v>
      </c>
      <c r="L845" s="44">
        <v>0</v>
      </c>
      <c r="M845" s="44">
        <v>0</v>
      </c>
      <c r="N845" s="12">
        <f t="shared" si="140"/>
        <v>0</v>
      </c>
      <c r="O845" s="44">
        <v>0</v>
      </c>
      <c r="P845" s="13">
        <v>0</v>
      </c>
      <c r="Q845" s="13">
        <v>0</v>
      </c>
      <c r="R845" s="14">
        <f t="shared" si="141"/>
        <v>0</v>
      </c>
      <c r="S845" s="13">
        <f t="shared" si="142"/>
        <v>100</v>
      </c>
      <c r="T845" s="13">
        <f t="shared" si="143"/>
        <v>200</v>
      </c>
      <c r="U845" s="13" t="s">
        <v>4181</v>
      </c>
      <c r="V845" s="72" t="s">
        <v>4117</v>
      </c>
      <c r="W845" t="s">
        <v>4063</v>
      </c>
    </row>
    <row r="846" spans="1:23" ht="30" customHeight="1">
      <c r="A846" s="93">
        <v>1</v>
      </c>
      <c r="B846" s="13">
        <v>1852</v>
      </c>
      <c r="C846" s="9" t="s">
        <v>1991</v>
      </c>
      <c r="D846" s="9" t="s">
        <v>92</v>
      </c>
      <c r="E846" s="66" t="s">
        <v>1992</v>
      </c>
      <c r="F846" s="44">
        <v>2800</v>
      </c>
      <c r="G846" s="44">
        <v>0</v>
      </c>
      <c r="H846" s="44">
        <v>0</v>
      </c>
      <c r="I846" s="44">
        <v>0</v>
      </c>
      <c r="J846" s="44">
        <v>0</v>
      </c>
      <c r="K846" s="44">
        <v>0</v>
      </c>
      <c r="L846" s="44">
        <v>0</v>
      </c>
      <c r="M846" s="44">
        <v>0</v>
      </c>
      <c r="N846" s="12">
        <f t="shared" si="140"/>
        <v>0</v>
      </c>
      <c r="O846" s="44">
        <v>0</v>
      </c>
      <c r="P846" s="13">
        <v>0</v>
      </c>
      <c r="Q846" s="13">
        <v>0</v>
      </c>
      <c r="R846" s="14">
        <f t="shared" si="141"/>
        <v>0</v>
      </c>
      <c r="S846" s="13">
        <f t="shared" si="142"/>
        <v>100</v>
      </c>
      <c r="T846" s="13">
        <f t="shared" si="143"/>
        <v>200</v>
      </c>
      <c r="U846" s="13" t="s">
        <v>4181</v>
      </c>
      <c r="V846" s="15" t="s">
        <v>1993</v>
      </c>
    </row>
    <row r="847" spans="1:23" ht="30" customHeight="1">
      <c r="A847" s="93">
        <v>2</v>
      </c>
      <c r="B847" s="13">
        <v>1971</v>
      </c>
      <c r="C847" s="9" t="s">
        <v>1994</v>
      </c>
      <c r="D847" s="9" t="s">
        <v>1353</v>
      </c>
      <c r="E847" s="66" t="s">
        <v>1992</v>
      </c>
      <c r="F847" s="44">
        <v>1300</v>
      </c>
      <c r="G847" s="44">
        <v>0</v>
      </c>
      <c r="H847" s="44">
        <v>0</v>
      </c>
      <c r="I847" s="44">
        <v>0</v>
      </c>
      <c r="J847" s="44">
        <v>0</v>
      </c>
      <c r="K847" s="44">
        <v>0</v>
      </c>
      <c r="L847" s="44">
        <v>0</v>
      </c>
      <c r="M847" s="44">
        <v>0</v>
      </c>
      <c r="N847" s="12">
        <f t="shared" si="140"/>
        <v>0</v>
      </c>
      <c r="O847" s="44">
        <v>1300</v>
      </c>
      <c r="P847" s="13">
        <v>0</v>
      </c>
      <c r="Q847" s="99">
        <v>0</v>
      </c>
      <c r="R847" s="14">
        <f t="shared" si="141"/>
        <v>1300</v>
      </c>
      <c r="S847" s="13">
        <f t="shared" si="142"/>
        <v>1400</v>
      </c>
      <c r="T847" s="13">
        <f t="shared" si="143"/>
        <v>1500</v>
      </c>
      <c r="U847" s="13" t="s">
        <v>4181</v>
      </c>
      <c r="V847" s="23" t="s">
        <v>1995</v>
      </c>
      <c r="W847" t="s">
        <v>1996</v>
      </c>
    </row>
    <row r="848" spans="1:23" ht="30" customHeight="1">
      <c r="A848" s="93">
        <v>3</v>
      </c>
      <c r="B848" s="13">
        <v>4301</v>
      </c>
      <c r="C848" s="9" t="s">
        <v>1997</v>
      </c>
      <c r="D848" s="9" t="s">
        <v>403</v>
      </c>
      <c r="E848" s="66" t="s">
        <v>1992</v>
      </c>
      <c r="F848" s="44">
        <v>2800</v>
      </c>
      <c r="G848" s="44">
        <v>0</v>
      </c>
      <c r="H848" s="44">
        <v>0</v>
      </c>
      <c r="I848" s="44">
        <v>0</v>
      </c>
      <c r="J848" s="44">
        <v>0</v>
      </c>
      <c r="K848" s="44">
        <v>0</v>
      </c>
      <c r="L848" s="44">
        <v>0</v>
      </c>
      <c r="M848" s="44">
        <v>0</v>
      </c>
      <c r="N848" s="12">
        <f t="shared" si="140"/>
        <v>0</v>
      </c>
      <c r="O848" s="44">
        <v>0</v>
      </c>
      <c r="P848" s="13">
        <v>0</v>
      </c>
      <c r="Q848" s="13">
        <v>0</v>
      </c>
      <c r="R848" s="14">
        <f t="shared" si="141"/>
        <v>0</v>
      </c>
      <c r="S848" s="13">
        <f t="shared" si="142"/>
        <v>100</v>
      </c>
      <c r="T848" s="13">
        <f t="shared" si="143"/>
        <v>200</v>
      </c>
      <c r="U848" s="13" t="s">
        <v>4181</v>
      </c>
      <c r="V848" s="72" t="s">
        <v>404</v>
      </c>
    </row>
    <row r="849" spans="1:22" ht="30" customHeight="1">
      <c r="A849" s="93">
        <v>4</v>
      </c>
      <c r="B849" s="13">
        <v>4559</v>
      </c>
      <c r="C849" s="9" t="s">
        <v>1998</v>
      </c>
      <c r="D849" s="9" t="s">
        <v>1055</v>
      </c>
      <c r="E849" s="66" t="s">
        <v>1992</v>
      </c>
      <c r="F849" s="44">
        <v>2800</v>
      </c>
      <c r="G849" s="44">
        <v>0</v>
      </c>
      <c r="H849" s="44">
        <v>0</v>
      </c>
      <c r="I849" s="44">
        <v>0</v>
      </c>
      <c r="J849" s="44">
        <v>0</v>
      </c>
      <c r="K849" s="44">
        <v>0</v>
      </c>
      <c r="L849" s="44">
        <v>0</v>
      </c>
      <c r="M849" s="44">
        <v>0</v>
      </c>
      <c r="N849" s="12">
        <f t="shared" si="140"/>
        <v>0</v>
      </c>
      <c r="O849" s="44">
        <v>2800</v>
      </c>
      <c r="P849" s="13">
        <v>0</v>
      </c>
      <c r="Q849" s="13">
        <v>0</v>
      </c>
      <c r="R849" s="14">
        <f t="shared" si="141"/>
        <v>2800</v>
      </c>
      <c r="S849" s="13">
        <f t="shared" si="142"/>
        <v>2900</v>
      </c>
      <c r="T849" s="13">
        <f t="shared" si="143"/>
        <v>3000</v>
      </c>
      <c r="U849" s="13" t="s">
        <v>4181</v>
      </c>
      <c r="V849" s="72" t="s">
        <v>1999</v>
      </c>
    </row>
    <row r="850" spans="1:22" ht="30" customHeight="1">
      <c r="A850" s="93">
        <v>5</v>
      </c>
      <c r="B850" s="13">
        <v>4711</v>
      </c>
      <c r="C850" s="9" t="s">
        <v>2000</v>
      </c>
      <c r="D850" s="9" t="s">
        <v>1369</v>
      </c>
      <c r="E850" s="66" t="s">
        <v>1992</v>
      </c>
      <c r="F850" s="44">
        <v>1300</v>
      </c>
      <c r="G850" s="44">
        <v>0</v>
      </c>
      <c r="H850" s="44">
        <v>0</v>
      </c>
      <c r="I850" s="44">
        <v>0</v>
      </c>
      <c r="J850" s="44">
        <v>0</v>
      </c>
      <c r="K850" s="44">
        <v>0</v>
      </c>
      <c r="L850" s="44">
        <v>0</v>
      </c>
      <c r="M850" s="44">
        <v>0</v>
      </c>
      <c r="N850" s="12">
        <f t="shared" si="140"/>
        <v>0</v>
      </c>
      <c r="O850" s="44">
        <v>0</v>
      </c>
      <c r="P850" s="13">
        <v>0</v>
      </c>
      <c r="Q850" s="13">
        <v>0</v>
      </c>
      <c r="R850" s="14">
        <f t="shared" si="141"/>
        <v>0</v>
      </c>
      <c r="S850" s="13">
        <f t="shared" si="142"/>
        <v>100</v>
      </c>
      <c r="T850" s="13">
        <f t="shared" si="143"/>
        <v>200</v>
      </c>
      <c r="U850" s="13" t="s">
        <v>4181</v>
      </c>
      <c r="V850" s="23" t="s">
        <v>2001</v>
      </c>
    </row>
    <row r="851" spans="1:22" ht="30" customHeight="1">
      <c r="A851" s="93">
        <v>6</v>
      </c>
      <c r="B851" s="13">
        <v>4736</v>
      </c>
      <c r="C851" s="9" t="s">
        <v>382</v>
      </c>
      <c r="D851" s="9" t="s">
        <v>670</v>
      </c>
      <c r="E851" s="66" t="s">
        <v>1992</v>
      </c>
      <c r="F851" s="44">
        <v>2150</v>
      </c>
      <c r="G851" s="44">
        <v>0</v>
      </c>
      <c r="H851" s="44">
        <v>0</v>
      </c>
      <c r="I851" s="44">
        <v>0</v>
      </c>
      <c r="J851" s="44">
        <v>0</v>
      </c>
      <c r="K851" s="44">
        <v>0</v>
      </c>
      <c r="L851" s="44">
        <v>0</v>
      </c>
      <c r="M851" s="44">
        <v>0</v>
      </c>
      <c r="N851" s="12">
        <f t="shared" si="140"/>
        <v>0</v>
      </c>
      <c r="O851" s="44">
        <v>0</v>
      </c>
      <c r="P851" s="13">
        <v>0</v>
      </c>
      <c r="Q851" s="13">
        <v>0</v>
      </c>
      <c r="R851" s="14">
        <f t="shared" si="141"/>
        <v>0</v>
      </c>
      <c r="S851" s="13">
        <f t="shared" si="142"/>
        <v>100</v>
      </c>
      <c r="T851" s="13">
        <f t="shared" si="143"/>
        <v>200</v>
      </c>
      <c r="U851" s="13" t="s">
        <v>4181</v>
      </c>
      <c r="V851" s="23" t="s">
        <v>2002</v>
      </c>
    </row>
    <row r="852" spans="1:22" ht="30" customHeight="1">
      <c r="A852" s="93">
        <v>7</v>
      </c>
      <c r="B852" s="13">
        <v>4836</v>
      </c>
      <c r="C852" s="9" t="s">
        <v>2003</v>
      </c>
      <c r="D852" s="9" t="s">
        <v>774</v>
      </c>
      <c r="E852" s="66" t="s">
        <v>1992</v>
      </c>
      <c r="F852" s="44">
        <v>1900</v>
      </c>
      <c r="G852" s="44">
        <v>0</v>
      </c>
      <c r="H852" s="44">
        <v>0</v>
      </c>
      <c r="I852" s="44">
        <v>0</v>
      </c>
      <c r="J852" s="44">
        <v>0</v>
      </c>
      <c r="K852" s="44">
        <v>0</v>
      </c>
      <c r="L852" s="44">
        <v>0</v>
      </c>
      <c r="M852" s="44">
        <v>0</v>
      </c>
      <c r="N852" s="12">
        <f t="shared" si="140"/>
        <v>0</v>
      </c>
      <c r="O852" s="44">
        <v>200</v>
      </c>
      <c r="P852" s="13">
        <v>0</v>
      </c>
      <c r="Q852" s="13">
        <v>0</v>
      </c>
      <c r="R852" s="14">
        <f t="shared" si="141"/>
        <v>200</v>
      </c>
      <c r="S852" s="13">
        <f t="shared" si="142"/>
        <v>300</v>
      </c>
      <c r="T852" s="13">
        <f t="shared" si="143"/>
        <v>400</v>
      </c>
      <c r="U852" s="13" t="s">
        <v>4181</v>
      </c>
      <c r="V852" s="23" t="s">
        <v>2004</v>
      </c>
    </row>
    <row r="853" spans="1:22" ht="30" customHeight="1">
      <c r="A853" s="93">
        <v>8</v>
      </c>
      <c r="B853" s="13">
        <v>4988</v>
      </c>
      <c r="C853" s="9" t="s">
        <v>2005</v>
      </c>
      <c r="D853" s="9" t="s">
        <v>753</v>
      </c>
      <c r="E853" s="66" t="s">
        <v>1992</v>
      </c>
      <c r="F853" s="44">
        <v>2400</v>
      </c>
      <c r="G853" s="44">
        <v>0</v>
      </c>
      <c r="H853" s="44">
        <v>0</v>
      </c>
      <c r="I853" s="44">
        <v>0</v>
      </c>
      <c r="J853" s="44">
        <v>0</v>
      </c>
      <c r="K853" s="44">
        <v>0</v>
      </c>
      <c r="L853" s="44">
        <v>0</v>
      </c>
      <c r="M853" s="44">
        <v>0</v>
      </c>
      <c r="N853" s="12">
        <f t="shared" si="140"/>
        <v>0</v>
      </c>
      <c r="O853" s="44">
        <v>0</v>
      </c>
      <c r="P853" s="13">
        <v>0</v>
      </c>
      <c r="Q853" s="13">
        <v>0</v>
      </c>
      <c r="R853" s="14">
        <f t="shared" si="141"/>
        <v>0</v>
      </c>
      <c r="S853" s="13">
        <f t="shared" si="142"/>
        <v>100</v>
      </c>
      <c r="T853" s="13">
        <f t="shared" si="143"/>
        <v>200</v>
      </c>
      <c r="U853" s="13" t="s">
        <v>4181</v>
      </c>
      <c r="V853" s="23" t="s">
        <v>1958</v>
      </c>
    </row>
    <row r="854" spans="1:22" ht="30" customHeight="1">
      <c r="A854" s="93">
        <v>9</v>
      </c>
      <c r="B854" s="13">
        <v>6084</v>
      </c>
      <c r="C854" s="9" t="s">
        <v>2006</v>
      </c>
      <c r="D854" s="9" t="s">
        <v>2007</v>
      </c>
      <c r="E854" s="66" t="s">
        <v>1992</v>
      </c>
      <c r="F854" s="44">
        <v>2800</v>
      </c>
      <c r="G854" s="44">
        <v>0</v>
      </c>
      <c r="H854" s="44">
        <v>0</v>
      </c>
      <c r="I854" s="44">
        <v>0</v>
      </c>
      <c r="J854" s="44">
        <v>0</v>
      </c>
      <c r="K854" s="44">
        <v>0</v>
      </c>
      <c r="L854" s="44">
        <v>0</v>
      </c>
      <c r="M854" s="44">
        <v>0</v>
      </c>
      <c r="N854" s="12">
        <f t="shared" si="140"/>
        <v>0</v>
      </c>
      <c r="O854" s="44">
        <v>0</v>
      </c>
      <c r="P854" s="13">
        <v>0</v>
      </c>
      <c r="Q854" s="13">
        <v>0</v>
      </c>
      <c r="R854" s="14">
        <f t="shared" si="141"/>
        <v>0</v>
      </c>
      <c r="S854" s="13">
        <f t="shared" ref="S854:S885" si="144">R854+100</f>
        <v>100</v>
      </c>
      <c r="T854" s="13">
        <f t="shared" ref="T854:T885" si="145">R854+200</f>
        <v>200</v>
      </c>
      <c r="U854" s="13" t="s">
        <v>4181</v>
      </c>
      <c r="V854" s="72" t="s">
        <v>2008</v>
      </c>
    </row>
    <row r="855" spans="1:22" ht="30" customHeight="1">
      <c r="A855" s="93">
        <v>10</v>
      </c>
      <c r="B855" s="13">
        <v>6129</v>
      </c>
      <c r="C855" s="9" t="s">
        <v>121</v>
      </c>
      <c r="D855" s="9" t="s">
        <v>2012</v>
      </c>
      <c r="E855" s="66" t="s">
        <v>1992</v>
      </c>
      <c r="F855" s="44">
        <v>1800</v>
      </c>
      <c r="G855" s="44">
        <v>0</v>
      </c>
      <c r="H855" s="44">
        <v>0</v>
      </c>
      <c r="I855" s="44">
        <v>0</v>
      </c>
      <c r="J855" s="44">
        <v>0</v>
      </c>
      <c r="K855" s="44">
        <v>0</v>
      </c>
      <c r="L855" s="44">
        <v>0</v>
      </c>
      <c r="M855" s="44">
        <v>0</v>
      </c>
      <c r="N855" s="12">
        <f t="shared" si="140"/>
        <v>0</v>
      </c>
      <c r="O855" s="44">
        <v>0</v>
      </c>
      <c r="P855" s="13">
        <v>0</v>
      </c>
      <c r="Q855" s="13">
        <v>0</v>
      </c>
      <c r="R855" s="14">
        <f t="shared" si="141"/>
        <v>0</v>
      </c>
      <c r="S855" s="13">
        <f t="shared" si="144"/>
        <v>100</v>
      </c>
      <c r="T855" s="13">
        <f t="shared" si="145"/>
        <v>200</v>
      </c>
      <c r="U855" s="13" t="s">
        <v>4181</v>
      </c>
      <c r="V855" s="72" t="s">
        <v>2013</v>
      </c>
    </row>
    <row r="856" spans="1:22" ht="30" customHeight="1">
      <c r="A856" s="93">
        <v>11</v>
      </c>
      <c r="B856" s="13">
        <v>6142</v>
      </c>
      <c r="C856" s="9" t="s">
        <v>2014</v>
      </c>
      <c r="D856" s="9" t="s">
        <v>2015</v>
      </c>
      <c r="E856" s="66" t="s">
        <v>1992</v>
      </c>
      <c r="F856" s="44">
        <v>2600</v>
      </c>
      <c r="G856" s="44">
        <v>0</v>
      </c>
      <c r="H856" s="44">
        <v>0</v>
      </c>
      <c r="I856" s="44">
        <v>0</v>
      </c>
      <c r="J856" s="44">
        <v>0</v>
      </c>
      <c r="K856" s="44">
        <v>0</v>
      </c>
      <c r="L856" s="44">
        <v>0</v>
      </c>
      <c r="M856" s="44">
        <v>0</v>
      </c>
      <c r="N856" s="12">
        <f t="shared" si="140"/>
        <v>0</v>
      </c>
      <c r="O856" s="44">
        <v>0</v>
      </c>
      <c r="P856" s="13">
        <v>0</v>
      </c>
      <c r="Q856" s="13">
        <v>0</v>
      </c>
      <c r="R856" s="14">
        <f t="shared" si="141"/>
        <v>0</v>
      </c>
      <c r="S856" s="13">
        <f t="shared" si="144"/>
        <v>100</v>
      </c>
      <c r="T856" s="13">
        <f t="shared" si="145"/>
        <v>200</v>
      </c>
      <c r="U856" s="13" t="s">
        <v>4181</v>
      </c>
      <c r="V856" s="72" t="s">
        <v>2016</v>
      </c>
    </row>
    <row r="857" spans="1:22" ht="30" customHeight="1">
      <c r="A857" s="93">
        <v>12</v>
      </c>
      <c r="B857" s="13">
        <v>6299</v>
      </c>
      <c r="C857" s="9" t="s">
        <v>2017</v>
      </c>
      <c r="D857" s="9" t="s">
        <v>2018</v>
      </c>
      <c r="E857" s="66" t="s">
        <v>1992</v>
      </c>
      <c r="F857" s="44">
        <v>2800</v>
      </c>
      <c r="G857" s="44">
        <v>0</v>
      </c>
      <c r="H857" s="44">
        <v>0</v>
      </c>
      <c r="I857" s="44">
        <v>0</v>
      </c>
      <c r="J857" s="44">
        <v>0</v>
      </c>
      <c r="K857" s="44">
        <v>0</v>
      </c>
      <c r="L857" s="44">
        <v>0</v>
      </c>
      <c r="M857" s="44">
        <v>0</v>
      </c>
      <c r="N857" s="12">
        <f t="shared" si="140"/>
        <v>0</v>
      </c>
      <c r="O857" s="44">
        <v>0</v>
      </c>
      <c r="P857" s="13">
        <v>0</v>
      </c>
      <c r="Q857" s="13">
        <v>0</v>
      </c>
      <c r="R857" s="14">
        <f t="shared" si="141"/>
        <v>0</v>
      </c>
      <c r="S857" s="13">
        <f t="shared" si="144"/>
        <v>100</v>
      </c>
      <c r="T857" s="13">
        <f t="shared" si="145"/>
        <v>200</v>
      </c>
      <c r="U857" s="13" t="s">
        <v>4181</v>
      </c>
      <c r="V857" s="23" t="s">
        <v>2019</v>
      </c>
    </row>
    <row r="858" spans="1:22" ht="30" customHeight="1">
      <c r="A858" s="93">
        <v>13</v>
      </c>
      <c r="B858" s="13">
        <v>6315</v>
      </c>
      <c r="C858" s="9" t="s">
        <v>2020</v>
      </c>
      <c r="D858" s="9" t="s">
        <v>1265</v>
      </c>
      <c r="E858" s="66" t="s">
        <v>1992</v>
      </c>
      <c r="F858" s="44">
        <v>2800</v>
      </c>
      <c r="G858" s="44">
        <v>0</v>
      </c>
      <c r="H858" s="44">
        <v>0</v>
      </c>
      <c r="I858" s="44">
        <v>0</v>
      </c>
      <c r="J858" s="44">
        <v>0</v>
      </c>
      <c r="K858" s="44">
        <v>0</v>
      </c>
      <c r="L858" s="44">
        <v>0</v>
      </c>
      <c r="M858" s="44">
        <v>0</v>
      </c>
      <c r="N858" s="12">
        <f t="shared" si="140"/>
        <v>0</v>
      </c>
      <c r="O858" s="44">
        <v>2800</v>
      </c>
      <c r="P858" s="13">
        <v>0</v>
      </c>
      <c r="Q858" s="13">
        <v>0</v>
      </c>
      <c r="R858" s="14">
        <f t="shared" si="141"/>
        <v>2800</v>
      </c>
      <c r="S858" s="13">
        <f t="shared" si="144"/>
        <v>2900</v>
      </c>
      <c r="T858" s="13">
        <f t="shared" si="145"/>
        <v>3000</v>
      </c>
      <c r="U858" s="13" t="s">
        <v>4181</v>
      </c>
      <c r="V858" s="23" t="s">
        <v>2021</v>
      </c>
    </row>
    <row r="859" spans="1:22" ht="30" customHeight="1">
      <c r="A859" s="93">
        <v>14</v>
      </c>
      <c r="B859" s="13">
        <v>6316</v>
      </c>
      <c r="C859" s="9" t="s">
        <v>2022</v>
      </c>
      <c r="D859" s="9" t="s">
        <v>2023</v>
      </c>
      <c r="E859" s="66" t="s">
        <v>1992</v>
      </c>
      <c r="F859" s="44">
        <v>2800</v>
      </c>
      <c r="G859" s="44">
        <v>0</v>
      </c>
      <c r="H859" s="44">
        <v>0</v>
      </c>
      <c r="I859" s="44">
        <v>0</v>
      </c>
      <c r="J859" s="44">
        <v>0</v>
      </c>
      <c r="K859" s="44">
        <v>0</v>
      </c>
      <c r="L859" s="44">
        <v>0</v>
      </c>
      <c r="M859" s="44">
        <v>0</v>
      </c>
      <c r="N859" s="12">
        <f t="shared" si="140"/>
        <v>0</v>
      </c>
      <c r="O859" s="44">
        <v>2800</v>
      </c>
      <c r="P859" s="13">
        <v>0</v>
      </c>
      <c r="Q859" s="13">
        <v>0</v>
      </c>
      <c r="R859" s="14">
        <f t="shared" si="141"/>
        <v>2800</v>
      </c>
      <c r="S859" s="13">
        <f t="shared" si="144"/>
        <v>2900</v>
      </c>
      <c r="T859" s="13">
        <f t="shared" si="145"/>
        <v>3000</v>
      </c>
      <c r="U859" s="13" t="s">
        <v>4181</v>
      </c>
      <c r="V859" s="23" t="s">
        <v>2024</v>
      </c>
    </row>
    <row r="860" spans="1:22" ht="30" customHeight="1">
      <c r="A860" s="93">
        <v>15</v>
      </c>
      <c r="B860" s="13">
        <v>6397</v>
      </c>
      <c r="C860" s="9" t="s">
        <v>2025</v>
      </c>
      <c r="D860" s="9" t="s">
        <v>753</v>
      </c>
      <c r="E860" s="66" t="s">
        <v>1992</v>
      </c>
      <c r="F860" s="44">
        <v>2200</v>
      </c>
      <c r="G860" s="44">
        <v>0</v>
      </c>
      <c r="H860" s="44">
        <v>0</v>
      </c>
      <c r="I860" s="44">
        <v>0</v>
      </c>
      <c r="J860" s="44">
        <v>0</v>
      </c>
      <c r="K860" s="44">
        <v>0</v>
      </c>
      <c r="L860" s="44">
        <v>0</v>
      </c>
      <c r="M860" s="44">
        <v>0</v>
      </c>
      <c r="N860" s="12">
        <f t="shared" si="140"/>
        <v>0</v>
      </c>
      <c r="O860" s="44">
        <v>0</v>
      </c>
      <c r="P860" s="13">
        <v>0</v>
      </c>
      <c r="Q860" s="13">
        <v>0</v>
      </c>
      <c r="R860" s="14">
        <f t="shared" si="141"/>
        <v>0</v>
      </c>
      <c r="S860" s="13">
        <f t="shared" si="144"/>
        <v>100</v>
      </c>
      <c r="T860" s="13">
        <f t="shared" si="145"/>
        <v>200</v>
      </c>
      <c r="U860" s="13" t="s">
        <v>4181</v>
      </c>
      <c r="V860" s="23" t="s">
        <v>1383</v>
      </c>
    </row>
    <row r="861" spans="1:22" ht="30" customHeight="1">
      <c r="A861" s="93">
        <v>16</v>
      </c>
      <c r="B861" s="13">
        <v>6399</v>
      </c>
      <c r="C861" s="9" t="s">
        <v>2026</v>
      </c>
      <c r="D861" s="9" t="s">
        <v>1815</v>
      </c>
      <c r="E861" s="66" t="s">
        <v>1992</v>
      </c>
      <c r="F861" s="44">
        <v>1600</v>
      </c>
      <c r="G861" s="44">
        <v>0</v>
      </c>
      <c r="H861" s="44">
        <v>0</v>
      </c>
      <c r="I861" s="44">
        <v>0</v>
      </c>
      <c r="J861" s="44">
        <v>0</v>
      </c>
      <c r="K861" s="44">
        <v>0</v>
      </c>
      <c r="L861" s="44">
        <v>0</v>
      </c>
      <c r="M861" s="44">
        <v>0</v>
      </c>
      <c r="N861" s="12">
        <f t="shared" si="140"/>
        <v>0</v>
      </c>
      <c r="O861" s="44">
        <v>0</v>
      </c>
      <c r="P861" s="13">
        <v>0</v>
      </c>
      <c r="Q861" s="13">
        <v>0</v>
      </c>
      <c r="R861" s="14">
        <f t="shared" si="141"/>
        <v>0</v>
      </c>
      <c r="S861" s="13">
        <f t="shared" si="144"/>
        <v>100</v>
      </c>
      <c r="T861" s="13">
        <f t="shared" si="145"/>
        <v>200</v>
      </c>
      <c r="U861" s="13" t="s">
        <v>4181</v>
      </c>
      <c r="V861" s="23" t="s">
        <v>1816</v>
      </c>
    </row>
    <row r="862" spans="1:22" ht="30" customHeight="1">
      <c r="A862" s="93">
        <v>17</v>
      </c>
      <c r="B862" s="13">
        <v>6445</v>
      </c>
      <c r="C862" s="9" t="s">
        <v>2030</v>
      </c>
      <c r="D862" s="9" t="s">
        <v>2031</v>
      </c>
      <c r="E862" s="66" t="s">
        <v>1992</v>
      </c>
      <c r="F862" s="44">
        <v>2800</v>
      </c>
      <c r="G862" s="44">
        <v>0</v>
      </c>
      <c r="H862" s="44">
        <v>0</v>
      </c>
      <c r="I862" s="44">
        <v>0</v>
      </c>
      <c r="J862" s="44">
        <v>0</v>
      </c>
      <c r="K862" s="44">
        <v>0</v>
      </c>
      <c r="L862" s="44">
        <v>0</v>
      </c>
      <c r="M862" s="44">
        <v>0</v>
      </c>
      <c r="N862" s="12">
        <f t="shared" si="140"/>
        <v>0</v>
      </c>
      <c r="O862" s="44">
        <v>2800</v>
      </c>
      <c r="P862" s="13">
        <v>0</v>
      </c>
      <c r="Q862" s="13">
        <v>0</v>
      </c>
      <c r="R862" s="14">
        <f t="shared" si="141"/>
        <v>2800</v>
      </c>
      <c r="S862" s="13">
        <f t="shared" si="144"/>
        <v>2900</v>
      </c>
      <c r="T862" s="13">
        <f t="shared" si="145"/>
        <v>3000</v>
      </c>
      <c r="U862" s="13" t="s">
        <v>4181</v>
      </c>
      <c r="V862" s="23" t="s">
        <v>2032</v>
      </c>
    </row>
    <row r="863" spans="1:22" ht="30" customHeight="1">
      <c r="A863" s="93">
        <v>18</v>
      </c>
      <c r="B863" s="13">
        <v>6480</v>
      </c>
      <c r="C863" s="9" t="s">
        <v>2033</v>
      </c>
      <c r="D863" s="9" t="s">
        <v>1248</v>
      </c>
      <c r="E863" s="66" t="s">
        <v>1992</v>
      </c>
      <c r="F863" s="44">
        <v>2800</v>
      </c>
      <c r="G863" s="44">
        <v>0</v>
      </c>
      <c r="H863" s="44">
        <v>0</v>
      </c>
      <c r="I863" s="44">
        <v>0</v>
      </c>
      <c r="J863" s="44">
        <v>0</v>
      </c>
      <c r="K863" s="44">
        <v>0</v>
      </c>
      <c r="L863" s="44">
        <v>0</v>
      </c>
      <c r="M863" s="44">
        <v>0</v>
      </c>
      <c r="N863" s="12">
        <f t="shared" si="140"/>
        <v>0</v>
      </c>
      <c r="O863" s="44">
        <v>0</v>
      </c>
      <c r="P863" s="13">
        <v>0</v>
      </c>
      <c r="Q863" s="13">
        <v>0</v>
      </c>
      <c r="R863" s="14">
        <f t="shared" si="141"/>
        <v>0</v>
      </c>
      <c r="S863" s="13">
        <f t="shared" si="144"/>
        <v>100</v>
      </c>
      <c r="T863" s="13">
        <f t="shared" si="145"/>
        <v>200</v>
      </c>
      <c r="U863" s="13" t="s">
        <v>4181</v>
      </c>
      <c r="V863" s="23" t="s">
        <v>1249</v>
      </c>
    </row>
    <row r="864" spans="1:22" ht="30" customHeight="1">
      <c r="A864" s="93">
        <v>19</v>
      </c>
      <c r="B864" s="13">
        <v>6495</v>
      </c>
      <c r="C864" s="9" t="s">
        <v>2034</v>
      </c>
      <c r="D864" s="9" t="s">
        <v>1181</v>
      </c>
      <c r="E864" s="66" t="s">
        <v>1992</v>
      </c>
      <c r="F864" s="44">
        <v>2800</v>
      </c>
      <c r="G864" s="44">
        <v>0</v>
      </c>
      <c r="H864" s="44">
        <v>0</v>
      </c>
      <c r="I864" s="44">
        <v>0</v>
      </c>
      <c r="J864" s="44">
        <v>0</v>
      </c>
      <c r="K864" s="44">
        <v>0</v>
      </c>
      <c r="L864" s="44">
        <v>0</v>
      </c>
      <c r="M864" s="44">
        <v>0</v>
      </c>
      <c r="N864" s="12">
        <f t="shared" si="140"/>
        <v>0</v>
      </c>
      <c r="O864" s="44">
        <v>0</v>
      </c>
      <c r="P864" s="13">
        <v>0</v>
      </c>
      <c r="Q864" s="13">
        <v>0</v>
      </c>
      <c r="R864" s="14">
        <f t="shared" si="141"/>
        <v>0</v>
      </c>
      <c r="S864" s="13">
        <f t="shared" si="144"/>
        <v>100</v>
      </c>
      <c r="T864" s="13">
        <f t="shared" si="145"/>
        <v>200</v>
      </c>
      <c r="U864" s="13" t="s">
        <v>4181</v>
      </c>
      <c r="V864" s="23" t="s">
        <v>1182</v>
      </c>
    </row>
    <row r="865" spans="1:23" ht="30" customHeight="1">
      <c r="A865" s="93">
        <v>20</v>
      </c>
      <c r="B865" s="13">
        <v>6584</v>
      </c>
      <c r="C865" s="9" t="s">
        <v>2035</v>
      </c>
      <c r="D865" s="9" t="s">
        <v>2036</v>
      </c>
      <c r="E865" s="66" t="s">
        <v>1992</v>
      </c>
      <c r="F865" s="44">
        <v>1700</v>
      </c>
      <c r="G865" s="44">
        <v>0</v>
      </c>
      <c r="H865" s="44">
        <v>0</v>
      </c>
      <c r="I865" s="44">
        <v>0</v>
      </c>
      <c r="J865" s="44">
        <v>0</v>
      </c>
      <c r="K865" s="44">
        <v>0</v>
      </c>
      <c r="L865" s="44">
        <v>0</v>
      </c>
      <c r="M865" s="44">
        <v>0</v>
      </c>
      <c r="N865" s="12">
        <f t="shared" si="140"/>
        <v>0</v>
      </c>
      <c r="O865" s="44">
        <v>1700</v>
      </c>
      <c r="P865" s="13">
        <v>0</v>
      </c>
      <c r="Q865" s="13">
        <v>0</v>
      </c>
      <c r="R865" s="14">
        <f t="shared" si="141"/>
        <v>1700</v>
      </c>
      <c r="S865" s="13">
        <f t="shared" si="144"/>
        <v>1800</v>
      </c>
      <c r="T865" s="13">
        <f t="shared" si="145"/>
        <v>1900</v>
      </c>
      <c r="U865" s="13" t="s">
        <v>4181</v>
      </c>
      <c r="V865" s="72" t="s">
        <v>2037</v>
      </c>
    </row>
    <row r="866" spans="1:23" ht="30" customHeight="1">
      <c r="A866" s="93">
        <v>21</v>
      </c>
      <c r="B866" s="13">
        <v>6764</v>
      </c>
      <c r="C866" s="9" t="s">
        <v>2038</v>
      </c>
      <c r="D866" s="9" t="s">
        <v>242</v>
      </c>
      <c r="E866" s="66" t="s">
        <v>1992</v>
      </c>
      <c r="F866" s="44">
        <v>2800</v>
      </c>
      <c r="G866" s="44">
        <v>0</v>
      </c>
      <c r="H866" s="44">
        <v>0</v>
      </c>
      <c r="I866" s="44">
        <v>0</v>
      </c>
      <c r="J866" s="44">
        <v>0</v>
      </c>
      <c r="K866" s="44">
        <v>0</v>
      </c>
      <c r="L866" s="44">
        <v>0</v>
      </c>
      <c r="M866" s="44">
        <v>0</v>
      </c>
      <c r="N866" s="12">
        <f t="shared" si="140"/>
        <v>0</v>
      </c>
      <c r="O866" s="44">
        <v>0</v>
      </c>
      <c r="P866" s="13">
        <v>0</v>
      </c>
      <c r="Q866" s="13">
        <v>0</v>
      </c>
      <c r="R866" s="14">
        <f t="shared" si="141"/>
        <v>0</v>
      </c>
      <c r="S866" s="13">
        <f t="shared" si="144"/>
        <v>100</v>
      </c>
      <c r="T866" s="13">
        <f t="shared" si="145"/>
        <v>200</v>
      </c>
      <c r="U866" s="13" t="s">
        <v>4181</v>
      </c>
      <c r="V866" s="23" t="s">
        <v>2039</v>
      </c>
      <c r="W866" t="s">
        <v>2040</v>
      </c>
    </row>
    <row r="867" spans="1:23" ht="30" customHeight="1">
      <c r="A867" s="93">
        <v>22</v>
      </c>
      <c r="B867" s="13">
        <v>6765</v>
      </c>
      <c r="C867" s="9" t="s">
        <v>2041</v>
      </c>
      <c r="D867" s="9" t="s">
        <v>636</v>
      </c>
      <c r="E867" s="66" t="s">
        <v>1992</v>
      </c>
      <c r="F867" s="44">
        <v>2800</v>
      </c>
      <c r="G867" s="44">
        <v>0</v>
      </c>
      <c r="H867" s="44">
        <v>0</v>
      </c>
      <c r="I867" s="44">
        <v>0</v>
      </c>
      <c r="J867" s="44">
        <v>0</v>
      </c>
      <c r="K867" s="44">
        <v>0</v>
      </c>
      <c r="L867" s="44">
        <v>0</v>
      </c>
      <c r="M867" s="44">
        <v>0</v>
      </c>
      <c r="N867" s="12">
        <f t="shared" si="140"/>
        <v>0</v>
      </c>
      <c r="O867" s="44">
        <v>2800</v>
      </c>
      <c r="P867" s="13">
        <v>0</v>
      </c>
      <c r="Q867" s="13">
        <v>0</v>
      </c>
      <c r="R867" s="14">
        <f t="shared" si="141"/>
        <v>2800</v>
      </c>
      <c r="S867" s="13">
        <f t="shared" si="144"/>
        <v>2900</v>
      </c>
      <c r="T867" s="13">
        <f t="shared" si="145"/>
        <v>3000</v>
      </c>
      <c r="U867" s="13" t="s">
        <v>4181</v>
      </c>
      <c r="V867" s="72" t="s">
        <v>2042</v>
      </c>
    </row>
    <row r="868" spans="1:23" ht="30" customHeight="1">
      <c r="A868" s="93">
        <v>23</v>
      </c>
      <c r="B868" s="13">
        <v>6801</v>
      </c>
      <c r="C868" s="9" t="s">
        <v>2043</v>
      </c>
      <c r="D868" s="9" t="s">
        <v>2044</v>
      </c>
      <c r="E868" s="66" t="s">
        <v>1992</v>
      </c>
      <c r="F868" s="44">
        <v>2500</v>
      </c>
      <c r="G868" s="44">
        <v>0</v>
      </c>
      <c r="H868" s="44">
        <v>0</v>
      </c>
      <c r="I868" s="44">
        <v>0</v>
      </c>
      <c r="J868" s="44">
        <v>0</v>
      </c>
      <c r="K868" s="44">
        <v>0</v>
      </c>
      <c r="L868" s="44">
        <v>0</v>
      </c>
      <c r="M868" s="44">
        <v>0</v>
      </c>
      <c r="N868" s="12">
        <f t="shared" si="140"/>
        <v>0</v>
      </c>
      <c r="O868" s="44">
        <v>0</v>
      </c>
      <c r="P868" s="13">
        <v>0</v>
      </c>
      <c r="Q868" s="13">
        <v>0</v>
      </c>
      <c r="R868" s="14">
        <f t="shared" si="141"/>
        <v>0</v>
      </c>
      <c r="S868" s="13">
        <f t="shared" si="144"/>
        <v>100</v>
      </c>
      <c r="T868" s="13">
        <f t="shared" si="145"/>
        <v>200</v>
      </c>
      <c r="U868" s="13" t="s">
        <v>4181</v>
      </c>
      <c r="V868" s="72" t="s">
        <v>2045</v>
      </c>
    </row>
    <row r="869" spans="1:23" ht="30" customHeight="1">
      <c r="A869" s="93">
        <v>24</v>
      </c>
      <c r="B869" s="13">
        <v>6802</v>
      </c>
      <c r="C869" s="9" t="s">
        <v>444</v>
      </c>
      <c r="D869" s="9" t="s">
        <v>2046</v>
      </c>
      <c r="E869" s="66" t="s">
        <v>1992</v>
      </c>
      <c r="F869" s="44">
        <v>1000</v>
      </c>
      <c r="G869" s="44">
        <v>0</v>
      </c>
      <c r="H869" s="44">
        <v>0</v>
      </c>
      <c r="I869" s="44">
        <v>0</v>
      </c>
      <c r="J869" s="44">
        <v>0</v>
      </c>
      <c r="K869" s="44">
        <v>0</v>
      </c>
      <c r="L869" s="44">
        <v>0</v>
      </c>
      <c r="M869" s="44">
        <v>0</v>
      </c>
      <c r="N869" s="12">
        <f t="shared" si="140"/>
        <v>0</v>
      </c>
      <c r="O869" s="44">
        <v>0</v>
      </c>
      <c r="P869" s="13">
        <v>0</v>
      </c>
      <c r="Q869" s="13">
        <v>0</v>
      </c>
      <c r="R869" s="14">
        <f t="shared" si="141"/>
        <v>0</v>
      </c>
      <c r="S869" s="13">
        <f t="shared" si="144"/>
        <v>100</v>
      </c>
      <c r="T869" s="13">
        <f t="shared" si="145"/>
        <v>200</v>
      </c>
      <c r="U869" s="13" t="s">
        <v>4181</v>
      </c>
      <c r="V869" s="23" t="s">
        <v>2047</v>
      </c>
    </row>
    <row r="870" spans="1:23" ht="30" customHeight="1">
      <c r="A870" s="74">
        <v>1</v>
      </c>
      <c r="B870" s="13">
        <v>1500</v>
      </c>
      <c r="C870" s="9" t="s">
        <v>2051</v>
      </c>
      <c r="D870" s="9" t="s">
        <v>2052</v>
      </c>
      <c r="E870" s="71" t="s">
        <v>2053</v>
      </c>
      <c r="F870" s="44">
        <v>3000</v>
      </c>
      <c r="G870" s="44">
        <v>0</v>
      </c>
      <c r="H870" s="44">
        <v>0</v>
      </c>
      <c r="I870" s="44">
        <v>0</v>
      </c>
      <c r="J870" s="44">
        <v>0</v>
      </c>
      <c r="K870" s="44">
        <v>0</v>
      </c>
      <c r="L870" s="44">
        <v>0</v>
      </c>
      <c r="M870" s="44">
        <v>0</v>
      </c>
      <c r="N870" s="12">
        <f t="shared" si="140"/>
        <v>0</v>
      </c>
      <c r="O870" s="44">
        <v>0</v>
      </c>
      <c r="P870" s="13">
        <v>0</v>
      </c>
      <c r="Q870" s="13">
        <v>0</v>
      </c>
      <c r="R870" s="14">
        <f t="shared" si="141"/>
        <v>0</v>
      </c>
      <c r="S870" s="13">
        <f t="shared" si="144"/>
        <v>100</v>
      </c>
      <c r="T870" s="13">
        <f t="shared" si="145"/>
        <v>200</v>
      </c>
      <c r="U870" s="13" t="s">
        <v>4181</v>
      </c>
      <c r="V870" s="81" t="s">
        <v>2054</v>
      </c>
      <c r="W870" s="72"/>
    </row>
    <row r="871" spans="1:23" ht="30" customHeight="1">
      <c r="A871" s="74">
        <v>2</v>
      </c>
      <c r="B871" s="13">
        <v>908</v>
      </c>
      <c r="C871" s="9" t="s">
        <v>2055</v>
      </c>
      <c r="D871" s="9" t="s">
        <v>713</v>
      </c>
      <c r="E871" s="71" t="s">
        <v>2053</v>
      </c>
      <c r="F871" s="44">
        <v>3000</v>
      </c>
      <c r="G871" s="44">
        <v>0</v>
      </c>
      <c r="H871" s="44">
        <v>0</v>
      </c>
      <c r="I871" s="44">
        <v>0</v>
      </c>
      <c r="J871" s="44">
        <v>0</v>
      </c>
      <c r="K871" s="44">
        <v>0</v>
      </c>
      <c r="L871" s="44">
        <v>0</v>
      </c>
      <c r="M871" s="44">
        <v>0</v>
      </c>
      <c r="N871" s="12">
        <f t="shared" si="140"/>
        <v>0</v>
      </c>
      <c r="O871" s="44">
        <v>2000</v>
      </c>
      <c r="P871" s="13">
        <v>0</v>
      </c>
      <c r="Q871" s="13">
        <v>0</v>
      </c>
      <c r="R871" s="14">
        <f t="shared" si="141"/>
        <v>2000</v>
      </c>
      <c r="S871" s="13">
        <f t="shared" si="144"/>
        <v>2100</v>
      </c>
      <c r="T871" s="13">
        <f t="shared" si="145"/>
        <v>2200</v>
      </c>
      <c r="U871" s="13" t="s">
        <v>4181</v>
      </c>
      <c r="V871" s="23" t="s">
        <v>2056</v>
      </c>
    </row>
    <row r="872" spans="1:23" ht="30" customHeight="1">
      <c r="A872" s="74">
        <v>3</v>
      </c>
      <c r="B872" s="13">
        <v>909</v>
      </c>
      <c r="C872" s="9" t="s">
        <v>2057</v>
      </c>
      <c r="D872" s="9" t="s">
        <v>1319</v>
      </c>
      <c r="E872" s="71" t="s">
        <v>2053</v>
      </c>
      <c r="F872" s="44">
        <v>3000</v>
      </c>
      <c r="G872" s="44">
        <v>0</v>
      </c>
      <c r="H872" s="44">
        <v>0</v>
      </c>
      <c r="I872" s="44">
        <v>0</v>
      </c>
      <c r="J872" s="44">
        <v>0</v>
      </c>
      <c r="K872" s="44">
        <v>0</v>
      </c>
      <c r="L872" s="44">
        <v>0</v>
      </c>
      <c r="M872" s="44">
        <v>0</v>
      </c>
      <c r="N872" s="12">
        <f t="shared" si="140"/>
        <v>0</v>
      </c>
      <c r="O872" s="44">
        <v>3000</v>
      </c>
      <c r="P872" s="13">
        <v>0</v>
      </c>
      <c r="Q872" s="13">
        <v>2000</v>
      </c>
      <c r="R872" s="14">
        <f t="shared" si="141"/>
        <v>5000</v>
      </c>
      <c r="S872" s="13">
        <f t="shared" si="144"/>
        <v>5100</v>
      </c>
      <c r="T872" s="13">
        <f t="shared" si="145"/>
        <v>5200</v>
      </c>
      <c r="U872" s="13" t="s">
        <v>4181</v>
      </c>
      <c r="V872" s="23" t="s">
        <v>1320</v>
      </c>
    </row>
    <row r="873" spans="1:23" ht="30" customHeight="1">
      <c r="A873" s="74">
        <v>4</v>
      </c>
      <c r="B873" s="13">
        <v>910</v>
      </c>
      <c r="C873" s="9" t="s">
        <v>2058</v>
      </c>
      <c r="D873" s="9" t="s">
        <v>776</v>
      </c>
      <c r="E873" s="71" t="s">
        <v>2053</v>
      </c>
      <c r="F873" s="44">
        <v>3000</v>
      </c>
      <c r="G873" s="44">
        <v>0</v>
      </c>
      <c r="H873" s="44">
        <v>0</v>
      </c>
      <c r="I873" s="44">
        <v>0</v>
      </c>
      <c r="J873" s="44">
        <v>0</v>
      </c>
      <c r="K873" s="44">
        <v>0</v>
      </c>
      <c r="L873" s="44">
        <v>0</v>
      </c>
      <c r="M873" s="44">
        <v>0</v>
      </c>
      <c r="N873" s="12">
        <f t="shared" si="140"/>
        <v>0</v>
      </c>
      <c r="O873" s="44">
        <v>0</v>
      </c>
      <c r="P873" s="13">
        <v>0</v>
      </c>
      <c r="Q873" s="13">
        <v>0</v>
      </c>
      <c r="R873" s="14">
        <f t="shared" si="141"/>
        <v>0</v>
      </c>
      <c r="S873" s="13">
        <f t="shared" si="144"/>
        <v>100</v>
      </c>
      <c r="T873" s="13">
        <f t="shared" si="145"/>
        <v>200</v>
      </c>
      <c r="U873" s="13" t="s">
        <v>4181</v>
      </c>
      <c r="V873" s="23" t="s">
        <v>2059</v>
      </c>
    </row>
    <row r="874" spans="1:23" ht="30" customHeight="1">
      <c r="A874" s="74">
        <v>5</v>
      </c>
      <c r="B874" s="13">
        <v>911</v>
      </c>
      <c r="C874" s="9" t="s">
        <v>2060</v>
      </c>
      <c r="D874" s="9" t="s">
        <v>2061</v>
      </c>
      <c r="E874" s="71" t="s">
        <v>2053</v>
      </c>
      <c r="F874" s="44">
        <v>3000</v>
      </c>
      <c r="G874" s="44">
        <v>0</v>
      </c>
      <c r="H874" s="44">
        <v>0</v>
      </c>
      <c r="I874" s="44">
        <v>0</v>
      </c>
      <c r="J874" s="44">
        <v>0</v>
      </c>
      <c r="K874" s="44">
        <v>0</v>
      </c>
      <c r="L874" s="44">
        <v>0</v>
      </c>
      <c r="M874" s="44">
        <v>0</v>
      </c>
      <c r="N874" s="12">
        <f t="shared" si="140"/>
        <v>0</v>
      </c>
      <c r="O874" s="44">
        <v>0</v>
      </c>
      <c r="P874" s="13">
        <v>0</v>
      </c>
      <c r="Q874" s="13">
        <v>0</v>
      </c>
      <c r="R874" s="14">
        <f t="shared" si="141"/>
        <v>0</v>
      </c>
      <c r="S874" s="13">
        <f t="shared" si="144"/>
        <v>100</v>
      </c>
      <c r="T874" s="13">
        <f t="shared" si="145"/>
        <v>200</v>
      </c>
      <c r="U874" s="13" t="s">
        <v>4181</v>
      </c>
      <c r="V874" s="23" t="s">
        <v>2062</v>
      </c>
      <c r="W874" t="s">
        <v>2063</v>
      </c>
    </row>
    <row r="875" spans="1:23" ht="30" customHeight="1">
      <c r="A875" s="74">
        <v>6</v>
      </c>
      <c r="B875" s="13">
        <v>912</v>
      </c>
      <c r="C875" s="9" t="s">
        <v>2064</v>
      </c>
      <c r="D875" s="9" t="s">
        <v>2065</v>
      </c>
      <c r="E875" s="71" t="s">
        <v>2053</v>
      </c>
      <c r="F875" s="44">
        <v>3000</v>
      </c>
      <c r="G875" s="44">
        <v>0</v>
      </c>
      <c r="H875" s="44">
        <v>0</v>
      </c>
      <c r="I875" s="44">
        <v>0</v>
      </c>
      <c r="J875" s="44">
        <v>0</v>
      </c>
      <c r="K875" s="44">
        <v>0</v>
      </c>
      <c r="L875" s="44">
        <v>0</v>
      </c>
      <c r="M875" s="44">
        <v>0</v>
      </c>
      <c r="N875" s="12">
        <f t="shared" si="140"/>
        <v>0</v>
      </c>
      <c r="O875" s="44">
        <v>0</v>
      </c>
      <c r="P875" s="13">
        <v>0</v>
      </c>
      <c r="Q875" s="13">
        <v>0</v>
      </c>
      <c r="R875" s="14">
        <f t="shared" si="141"/>
        <v>0</v>
      </c>
      <c r="S875" s="13">
        <f t="shared" si="144"/>
        <v>100</v>
      </c>
      <c r="T875" s="13">
        <f t="shared" si="145"/>
        <v>200</v>
      </c>
      <c r="U875" s="13" t="s">
        <v>4181</v>
      </c>
      <c r="V875" s="23" t="s">
        <v>2066</v>
      </c>
      <c r="W875" t="s">
        <v>2067</v>
      </c>
    </row>
    <row r="876" spans="1:23" ht="30" customHeight="1">
      <c r="A876" s="74">
        <v>7</v>
      </c>
      <c r="B876" s="13">
        <v>955</v>
      </c>
      <c r="C876" s="9" t="s">
        <v>2068</v>
      </c>
      <c r="D876" s="9" t="s">
        <v>2046</v>
      </c>
      <c r="E876" s="71" t="s">
        <v>2053</v>
      </c>
      <c r="F876" s="44">
        <v>3000</v>
      </c>
      <c r="G876" s="44">
        <v>0</v>
      </c>
      <c r="H876" s="44">
        <v>0</v>
      </c>
      <c r="I876" s="44">
        <v>0</v>
      </c>
      <c r="J876" s="44">
        <v>0</v>
      </c>
      <c r="K876" s="44">
        <v>0</v>
      </c>
      <c r="L876" s="44">
        <v>0</v>
      </c>
      <c r="M876" s="44">
        <v>0</v>
      </c>
      <c r="N876" s="12">
        <f t="shared" si="140"/>
        <v>0</v>
      </c>
      <c r="O876" s="44">
        <v>0</v>
      </c>
      <c r="P876" s="13">
        <v>0</v>
      </c>
      <c r="Q876" s="13">
        <v>0</v>
      </c>
      <c r="R876" s="14">
        <f t="shared" si="141"/>
        <v>0</v>
      </c>
      <c r="S876" s="13">
        <f t="shared" si="144"/>
        <v>100</v>
      </c>
      <c r="T876" s="13">
        <f t="shared" si="145"/>
        <v>200</v>
      </c>
      <c r="U876" s="13" t="s">
        <v>4181</v>
      </c>
      <c r="V876" s="23" t="s">
        <v>2069</v>
      </c>
      <c r="W876" t="s">
        <v>2070</v>
      </c>
    </row>
    <row r="877" spans="1:23" ht="30" customHeight="1">
      <c r="A877" s="74">
        <v>8</v>
      </c>
      <c r="B877" s="13">
        <v>956</v>
      </c>
      <c r="C877" s="9" t="s">
        <v>2071</v>
      </c>
      <c r="D877" s="9" t="s">
        <v>2046</v>
      </c>
      <c r="E877" s="71" t="s">
        <v>2053</v>
      </c>
      <c r="F877" s="44">
        <v>3000</v>
      </c>
      <c r="G877" s="44">
        <v>0</v>
      </c>
      <c r="H877" s="44">
        <v>0</v>
      </c>
      <c r="I877" s="44">
        <v>0</v>
      </c>
      <c r="J877" s="44">
        <v>0</v>
      </c>
      <c r="K877" s="44">
        <v>0</v>
      </c>
      <c r="L877" s="44">
        <v>0</v>
      </c>
      <c r="M877" s="44">
        <v>0</v>
      </c>
      <c r="N877" s="12">
        <f t="shared" si="140"/>
        <v>0</v>
      </c>
      <c r="O877" s="44">
        <v>0</v>
      </c>
      <c r="P877" s="13">
        <v>0</v>
      </c>
      <c r="Q877" s="13">
        <v>0</v>
      </c>
      <c r="R877" s="14">
        <f t="shared" si="141"/>
        <v>0</v>
      </c>
      <c r="S877" s="13">
        <f t="shared" si="144"/>
        <v>100</v>
      </c>
      <c r="T877" s="13">
        <f t="shared" si="145"/>
        <v>200</v>
      </c>
      <c r="U877" s="13" t="s">
        <v>4181</v>
      </c>
      <c r="V877" s="23" t="s">
        <v>2069</v>
      </c>
      <c r="W877" t="s">
        <v>2070</v>
      </c>
    </row>
    <row r="878" spans="1:23" ht="30" customHeight="1">
      <c r="A878" s="74">
        <v>9</v>
      </c>
      <c r="B878" s="13">
        <v>1575</v>
      </c>
      <c r="C878" s="9" t="s">
        <v>2072</v>
      </c>
      <c r="D878" s="9" t="s">
        <v>1278</v>
      </c>
      <c r="E878" s="71" t="s">
        <v>2053</v>
      </c>
      <c r="F878" s="44">
        <v>3000</v>
      </c>
      <c r="G878" s="44">
        <v>0</v>
      </c>
      <c r="H878" s="44">
        <v>0</v>
      </c>
      <c r="I878" s="44">
        <v>0</v>
      </c>
      <c r="J878" s="44">
        <v>0</v>
      </c>
      <c r="K878" s="44">
        <v>0</v>
      </c>
      <c r="L878" s="44">
        <v>0</v>
      </c>
      <c r="M878" s="44">
        <v>0</v>
      </c>
      <c r="N878" s="12">
        <f t="shared" si="140"/>
        <v>0</v>
      </c>
      <c r="O878" s="44">
        <v>0</v>
      </c>
      <c r="P878" s="13">
        <v>0</v>
      </c>
      <c r="Q878" s="13">
        <v>0</v>
      </c>
      <c r="R878" s="14">
        <f t="shared" si="141"/>
        <v>0</v>
      </c>
      <c r="S878" s="13">
        <f t="shared" si="144"/>
        <v>100</v>
      </c>
      <c r="T878" s="13">
        <f t="shared" si="145"/>
        <v>200</v>
      </c>
      <c r="U878" s="13" t="s">
        <v>4181</v>
      </c>
      <c r="V878" s="24" t="s">
        <v>1334</v>
      </c>
    </row>
    <row r="879" spans="1:23" ht="30" customHeight="1">
      <c r="A879" s="74">
        <v>10</v>
      </c>
      <c r="B879" s="13">
        <v>1580</v>
      </c>
      <c r="C879" s="9" t="s">
        <v>1696</v>
      </c>
      <c r="D879" s="9" t="s">
        <v>2073</v>
      </c>
      <c r="E879" s="71" t="s">
        <v>2053</v>
      </c>
      <c r="F879" s="44">
        <v>2000</v>
      </c>
      <c r="G879" s="44">
        <v>0</v>
      </c>
      <c r="H879" s="44">
        <v>0</v>
      </c>
      <c r="I879" s="44">
        <v>0</v>
      </c>
      <c r="J879" s="44">
        <v>0</v>
      </c>
      <c r="K879" s="44">
        <v>0</v>
      </c>
      <c r="L879" s="44">
        <v>0</v>
      </c>
      <c r="M879" s="44">
        <v>0</v>
      </c>
      <c r="N879" s="12">
        <f t="shared" si="140"/>
        <v>0</v>
      </c>
      <c r="O879" s="44">
        <v>0</v>
      </c>
      <c r="P879" s="13">
        <v>0</v>
      </c>
      <c r="Q879" s="13">
        <v>0</v>
      </c>
      <c r="R879" s="14">
        <f t="shared" si="141"/>
        <v>0</v>
      </c>
      <c r="S879" s="13">
        <f t="shared" si="144"/>
        <v>100</v>
      </c>
      <c r="T879" s="13">
        <f t="shared" si="145"/>
        <v>200</v>
      </c>
      <c r="U879" s="13" t="s">
        <v>4181</v>
      </c>
      <c r="V879" s="100" t="s">
        <v>2074</v>
      </c>
      <c r="W879" t="s">
        <v>2075</v>
      </c>
    </row>
    <row r="880" spans="1:23" ht="30" customHeight="1">
      <c r="A880" s="74">
        <v>11</v>
      </c>
      <c r="B880" s="13">
        <v>1628</v>
      </c>
      <c r="C880" s="9" t="s">
        <v>1158</v>
      </c>
      <c r="D880" s="9" t="s">
        <v>2076</v>
      </c>
      <c r="E880" s="71" t="s">
        <v>2053</v>
      </c>
      <c r="F880" s="44">
        <v>3000</v>
      </c>
      <c r="G880" s="44">
        <v>0</v>
      </c>
      <c r="H880" s="44">
        <v>0</v>
      </c>
      <c r="I880" s="44">
        <v>0</v>
      </c>
      <c r="J880" s="44">
        <v>0</v>
      </c>
      <c r="K880" s="44">
        <v>0</v>
      </c>
      <c r="L880" s="44">
        <v>0</v>
      </c>
      <c r="M880" s="44">
        <v>0</v>
      </c>
      <c r="N880" s="12">
        <f t="shared" si="140"/>
        <v>0</v>
      </c>
      <c r="O880" s="44">
        <v>0</v>
      </c>
      <c r="P880" s="13">
        <v>0</v>
      </c>
      <c r="Q880" s="13">
        <v>0</v>
      </c>
      <c r="R880" s="14">
        <f t="shared" si="141"/>
        <v>0</v>
      </c>
      <c r="S880" s="13">
        <f t="shared" si="144"/>
        <v>100</v>
      </c>
      <c r="T880" s="13">
        <f t="shared" si="145"/>
        <v>200</v>
      </c>
      <c r="U880" s="13" t="s">
        <v>4181</v>
      </c>
      <c r="V880" s="24" t="s">
        <v>2077</v>
      </c>
    </row>
    <row r="881" spans="1:23" ht="30" customHeight="1">
      <c r="A881" s="74">
        <v>12</v>
      </c>
      <c r="B881" s="13">
        <v>1695</v>
      </c>
      <c r="C881" s="9" t="s">
        <v>2078</v>
      </c>
      <c r="D881" s="9" t="s">
        <v>2079</v>
      </c>
      <c r="E881" s="71" t="s">
        <v>2053</v>
      </c>
      <c r="F881" s="44">
        <v>3000</v>
      </c>
      <c r="G881" s="44">
        <v>0</v>
      </c>
      <c r="H881" s="44">
        <v>0</v>
      </c>
      <c r="I881" s="44">
        <v>0</v>
      </c>
      <c r="J881" s="44">
        <v>0</v>
      </c>
      <c r="K881" s="44">
        <v>0</v>
      </c>
      <c r="L881" s="44">
        <v>0</v>
      </c>
      <c r="M881" s="44">
        <v>0</v>
      </c>
      <c r="N881" s="12">
        <f t="shared" si="140"/>
        <v>0</v>
      </c>
      <c r="O881" s="44">
        <v>0</v>
      </c>
      <c r="P881" s="13">
        <v>0</v>
      </c>
      <c r="Q881" s="13">
        <v>0</v>
      </c>
      <c r="R881" s="14">
        <f t="shared" si="141"/>
        <v>0</v>
      </c>
      <c r="S881" s="13">
        <f t="shared" si="144"/>
        <v>100</v>
      </c>
      <c r="T881" s="13">
        <f t="shared" si="145"/>
        <v>200</v>
      </c>
      <c r="U881" s="13" t="s">
        <v>4181</v>
      </c>
      <c r="V881" s="24" t="s">
        <v>2080</v>
      </c>
    </row>
    <row r="882" spans="1:23" ht="30" customHeight="1">
      <c r="A882" s="74">
        <v>13</v>
      </c>
      <c r="B882" s="13">
        <v>1702</v>
      </c>
      <c r="C882" s="9" t="s">
        <v>2081</v>
      </c>
      <c r="D882" s="9" t="s">
        <v>2082</v>
      </c>
      <c r="E882" s="71" t="s">
        <v>2053</v>
      </c>
      <c r="F882" s="44">
        <v>0</v>
      </c>
      <c r="G882" s="44">
        <v>0</v>
      </c>
      <c r="H882" s="44">
        <v>0</v>
      </c>
      <c r="I882" s="44">
        <v>0</v>
      </c>
      <c r="J882" s="44">
        <v>0</v>
      </c>
      <c r="K882" s="44">
        <v>0</v>
      </c>
      <c r="L882" s="44">
        <v>0</v>
      </c>
      <c r="M882" s="44">
        <v>0</v>
      </c>
      <c r="N882" s="12">
        <f t="shared" si="140"/>
        <v>0</v>
      </c>
      <c r="O882" s="44">
        <v>0</v>
      </c>
      <c r="P882" s="13">
        <v>0</v>
      </c>
      <c r="Q882" s="13">
        <v>0</v>
      </c>
      <c r="R882" s="14">
        <f t="shared" si="141"/>
        <v>0</v>
      </c>
      <c r="S882" s="13">
        <f t="shared" si="144"/>
        <v>100</v>
      </c>
      <c r="T882" s="13">
        <f t="shared" si="145"/>
        <v>200</v>
      </c>
      <c r="U882" s="13" t="s">
        <v>4181</v>
      </c>
      <c r="V882" s="98" t="s">
        <v>1621</v>
      </c>
      <c r="W882" s="101"/>
    </row>
    <row r="883" spans="1:23" ht="30" customHeight="1">
      <c r="A883" s="74">
        <v>14</v>
      </c>
      <c r="B883" s="13">
        <v>1712</v>
      </c>
      <c r="C883" s="9" t="s">
        <v>2083</v>
      </c>
      <c r="D883" s="9" t="s">
        <v>1419</v>
      </c>
      <c r="E883" s="71" t="s">
        <v>2053</v>
      </c>
      <c r="F883" s="44">
        <v>1800</v>
      </c>
      <c r="G883" s="44">
        <v>0</v>
      </c>
      <c r="H883" s="44">
        <v>0</v>
      </c>
      <c r="I883" s="44">
        <v>0</v>
      </c>
      <c r="J883" s="44">
        <v>0</v>
      </c>
      <c r="K883" s="44">
        <v>0</v>
      </c>
      <c r="L883" s="44">
        <v>0</v>
      </c>
      <c r="M883" s="44">
        <v>0</v>
      </c>
      <c r="N883" s="12">
        <f t="shared" si="140"/>
        <v>0</v>
      </c>
      <c r="O883" s="44">
        <v>0</v>
      </c>
      <c r="P883" s="13">
        <v>0</v>
      </c>
      <c r="Q883" s="13">
        <v>0</v>
      </c>
      <c r="R883" s="14">
        <f t="shared" si="141"/>
        <v>0</v>
      </c>
      <c r="S883" s="13">
        <f t="shared" si="144"/>
        <v>100</v>
      </c>
      <c r="T883" s="13">
        <f t="shared" si="145"/>
        <v>200</v>
      </c>
      <c r="U883" s="13" t="s">
        <v>4181</v>
      </c>
      <c r="V883" s="24" t="s">
        <v>2084</v>
      </c>
    </row>
    <row r="884" spans="1:23" ht="30" customHeight="1">
      <c r="A884" s="74">
        <v>15</v>
      </c>
      <c r="B884" s="13">
        <v>1793</v>
      </c>
      <c r="C884" s="9" t="s">
        <v>2085</v>
      </c>
      <c r="D884" s="9" t="s">
        <v>2086</v>
      </c>
      <c r="E884" s="71" t="s">
        <v>2053</v>
      </c>
      <c r="F884" s="44">
        <v>3000</v>
      </c>
      <c r="G884" s="44">
        <v>0</v>
      </c>
      <c r="H884" s="44">
        <v>0</v>
      </c>
      <c r="I884" s="44">
        <v>0</v>
      </c>
      <c r="J884" s="44">
        <v>0</v>
      </c>
      <c r="K884" s="44">
        <v>0</v>
      </c>
      <c r="L884" s="44">
        <v>0</v>
      </c>
      <c r="M884" s="44">
        <v>0</v>
      </c>
      <c r="N884" s="12">
        <f t="shared" si="140"/>
        <v>0</v>
      </c>
      <c r="O884" s="44">
        <v>0</v>
      </c>
      <c r="P884" s="13">
        <v>0</v>
      </c>
      <c r="Q884" s="13">
        <v>0</v>
      </c>
      <c r="R884" s="14">
        <f t="shared" si="141"/>
        <v>0</v>
      </c>
      <c r="S884" s="13">
        <f t="shared" si="144"/>
        <v>100</v>
      </c>
      <c r="T884" s="13">
        <f t="shared" si="145"/>
        <v>200</v>
      </c>
      <c r="U884" s="13" t="s">
        <v>4181</v>
      </c>
      <c r="V884" s="24" t="s">
        <v>336</v>
      </c>
    </row>
    <row r="885" spans="1:23" ht="30" customHeight="1">
      <c r="A885" s="74">
        <v>16</v>
      </c>
      <c r="B885" s="13">
        <v>1819</v>
      </c>
      <c r="C885" s="9" t="s">
        <v>2087</v>
      </c>
      <c r="D885" s="9" t="s">
        <v>2088</v>
      </c>
      <c r="E885" s="71" t="s">
        <v>2053</v>
      </c>
      <c r="F885" s="44">
        <v>3000</v>
      </c>
      <c r="G885" s="44">
        <v>0</v>
      </c>
      <c r="H885" s="44">
        <v>0</v>
      </c>
      <c r="I885" s="44">
        <v>0</v>
      </c>
      <c r="J885" s="44">
        <v>0</v>
      </c>
      <c r="K885" s="44">
        <v>0</v>
      </c>
      <c r="L885" s="44">
        <v>0</v>
      </c>
      <c r="M885" s="44">
        <v>0</v>
      </c>
      <c r="N885" s="12">
        <f t="shared" si="140"/>
        <v>0</v>
      </c>
      <c r="O885" s="44">
        <v>0</v>
      </c>
      <c r="P885" s="13">
        <v>0</v>
      </c>
      <c r="Q885" s="13">
        <v>0</v>
      </c>
      <c r="R885" s="14">
        <f t="shared" si="141"/>
        <v>0</v>
      </c>
      <c r="S885" s="13">
        <f t="shared" si="144"/>
        <v>100</v>
      </c>
      <c r="T885" s="13">
        <f t="shared" si="145"/>
        <v>200</v>
      </c>
      <c r="U885" s="13" t="s">
        <v>4181</v>
      </c>
      <c r="V885" s="24" t="s">
        <v>2089</v>
      </c>
    </row>
    <row r="886" spans="1:23" ht="30" customHeight="1">
      <c r="A886" s="74">
        <v>17</v>
      </c>
      <c r="B886" s="13">
        <v>1931</v>
      </c>
      <c r="C886" s="9" t="s">
        <v>2090</v>
      </c>
      <c r="D886" s="9" t="s">
        <v>2091</v>
      </c>
      <c r="E886" s="71" t="s">
        <v>2053</v>
      </c>
      <c r="F886" s="44">
        <v>3000</v>
      </c>
      <c r="G886" s="44">
        <v>0</v>
      </c>
      <c r="H886" s="44">
        <v>0</v>
      </c>
      <c r="I886" s="44">
        <v>0</v>
      </c>
      <c r="J886" s="44">
        <v>0</v>
      </c>
      <c r="K886" s="44">
        <v>0</v>
      </c>
      <c r="L886" s="44">
        <v>0</v>
      </c>
      <c r="M886" s="44">
        <v>0</v>
      </c>
      <c r="N886" s="12">
        <f t="shared" ref="N886:N949" si="146">(SUM(G886:M886))</f>
        <v>0</v>
      </c>
      <c r="O886" s="44">
        <v>0</v>
      </c>
      <c r="P886" s="13">
        <v>0</v>
      </c>
      <c r="Q886" s="13">
        <v>5000</v>
      </c>
      <c r="R886" s="14">
        <f t="shared" ref="R886:R949" si="147">(SUM(N886:Q886))</f>
        <v>5000</v>
      </c>
      <c r="S886" s="13">
        <f t="shared" ref="S886:S917" si="148">R886+100</f>
        <v>5100</v>
      </c>
      <c r="T886" s="13">
        <f t="shared" ref="T886:T917" si="149">R886+200</f>
        <v>5200</v>
      </c>
      <c r="U886" s="13" t="s">
        <v>4181</v>
      </c>
      <c r="V886" s="23" t="s">
        <v>2092</v>
      </c>
    </row>
    <row r="887" spans="1:23" ht="30" customHeight="1">
      <c r="A887" s="74">
        <v>18</v>
      </c>
      <c r="B887" s="13">
        <v>1940</v>
      </c>
      <c r="C887" s="9" t="s">
        <v>2093</v>
      </c>
      <c r="D887" s="9" t="s">
        <v>2094</v>
      </c>
      <c r="E887" s="71" t="s">
        <v>2053</v>
      </c>
      <c r="F887" s="44">
        <v>3000</v>
      </c>
      <c r="G887" s="44">
        <v>0</v>
      </c>
      <c r="H887" s="44">
        <v>0</v>
      </c>
      <c r="I887" s="44">
        <v>0</v>
      </c>
      <c r="J887" s="44">
        <v>0</v>
      </c>
      <c r="K887" s="44">
        <v>0</v>
      </c>
      <c r="L887" s="44">
        <v>0</v>
      </c>
      <c r="M887" s="44">
        <v>0</v>
      </c>
      <c r="N887" s="12">
        <f t="shared" si="146"/>
        <v>0</v>
      </c>
      <c r="O887" s="44">
        <v>0</v>
      </c>
      <c r="P887" s="13">
        <v>0</v>
      </c>
      <c r="Q887" s="13">
        <v>0</v>
      </c>
      <c r="R887" s="14">
        <f t="shared" si="147"/>
        <v>0</v>
      </c>
      <c r="S887" s="13">
        <f t="shared" si="148"/>
        <v>100</v>
      </c>
      <c r="T887" s="13">
        <f t="shared" si="149"/>
        <v>200</v>
      </c>
      <c r="U887" s="13" t="s">
        <v>4181</v>
      </c>
      <c r="V887" s="77" t="s">
        <v>2095</v>
      </c>
    </row>
    <row r="888" spans="1:23" ht="30" customHeight="1">
      <c r="A888" s="74">
        <v>19</v>
      </c>
      <c r="B888" s="13">
        <v>1992</v>
      </c>
      <c r="C888" s="9" t="s">
        <v>2096</v>
      </c>
      <c r="D888" s="9" t="s">
        <v>2097</v>
      </c>
      <c r="E888" s="71" t="s">
        <v>2053</v>
      </c>
      <c r="F888" s="44">
        <v>2900</v>
      </c>
      <c r="G888" s="44">
        <v>0</v>
      </c>
      <c r="H888" s="44">
        <v>0</v>
      </c>
      <c r="I888" s="44">
        <v>0</v>
      </c>
      <c r="J888" s="44">
        <v>0</v>
      </c>
      <c r="K888" s="44">
        <v>0</v>
      </c>
      <c r="L888" s="44">
        <v>0</v>
      </c>
      <c r="M888" s="44">
        <v>0</v>
      </c>
      <c r="N888" s="12">
        <f t="shared" si="146"/>
        <v>0</v>
      </c>
      <c r="O888" s="44">
        <v>0</v>
      </c>
      <c r="P888" s="13">
        <v>0</v>
      </c>
      <c r="Q888" s="13">
        <v>0</v>
      </c>
      <c r="R888" s="14">
        <f t="shared" si="147"/>
        <v>0</v>
      </c>
      <c r="S888" s="13">
        <f t="shared" si="148"/>
        <v>100</v>
      </c>
      <c r="T888" s="13">
        <f t="shared" si="149"/>
        <v>200</v>
      </c>
      <c r="U888" s="13" t="s">
        <v>4181</v>
      </c>
      <c r="V888" s="15" t="s">
        <v>2098</v>
      </c>
    </row>
    <row r="889" spans="1:23" ht="30" customHeight="1">
      <c r="A889" s="74">
        <v>20</v>
      </c>
      <c r="B889" s="13">
        <v>4160</v>
      </c>
      <c r="C889" s="9" t="s">
        <v>640</v>
      </c>
      <c r="D889" s="9" t="s">
        <v>2099</v>
      </c>
      <c r="E889" s="71" t="s">
        <v>2053</v>
      </c>
      <c r="F889" s="44">
        <v>3000</v>
      </c>
      <c r="G889" s="44">
        <v>0</v>
      </c>
      <c r="H889" s="44">
        <v>0</v>
      </c>
      <c r="I889" s="44">
        <v>0</v>
      </c>
      <c r="J889" s="44">
        <v>0</v>
      </c>
      <c r="K889" s="44">
        <v>0</v>
      </c>
      <c r="L889" s="44">
        <v>0</v>
      </c>
      <c r="M889" s="44">
        <v>0</v>
      </c>
      <c r="N889" s="12">
        <f t="shared" si="146"/>
        <v>0</v>
      </c>
      <c r="O889" s="44">
        <v>0</v>
      </c>
      <c r="P889" s="13">
        <v>0</v>
      </c>
      <c r="Q889" s="13">
        <v>0</v>
      </c>
      <c r="R889" s="14">
        <f t="shared" si="147"/>
        <v>0</v>
      </c>
      <c r="S889" s="13">
        <f t="shared" si="148"/>
        <v>100</v>
      </c>
      <c r="T889" s="13">
        <f t="shared" si="149"/>
        <v>200</v>
      </c>
      <c r="U889" s="13" t="s">
        <v>4181</v>
      </c>
      <c r="V889" s="72" t="s">
        <v>2100</v>
      </c>
    </row>
    <row r="890" spans="1:23" ht="30" customHeight="1">
      <c r="A890" s="74">
        <v>21</v>
      </c>
      <c r="B890" s="13">
        <v>4303</v>
      </c>
      <c r="C890" s="9" t="s">
        <v>2101</v>
      </c>
      <c r="D890" s="9" t="s">
        <v>1431</v>
      </c>
      <c r="E890" s="71" t="s">
        <v>2053</v>
      </c>
      <c r="F890" s="44">
        <v>3000</v>
      </c>
      <c r="G890" s="44">
        <v>0</v>
      </c>
      <c r="H890" s="44">
        <v>0</v>
      </c>
      <c r="I890" s="44">
        <v>0</v>
      </c>
      <c r="J890" s="44">
        <v>0</v>
      </c>
      <c r="K890" s="44">
        <v>0</v>
      </c>
      <c r="L890" s="44">
        <v>0</v>
      </c>
      <c r="M890" s="44">
        <v>0</v>
      </c>
      <c r="N890" s="12">
        <f t="shared" si="146"/>
        <v>0</v>
      </c>
      <c r="O890" s="44">
        <v>0</v>
      </c>
      <c r="P890" s="13">
        <v>0</v>
      </c>
      <c r="Q890" s="13">
        <v>0</v>
      </c>
      <c r="R890" s="14">
        <f t="shared" si="147"/>
        <v>0</v>
      </c>
      <c r="S890" s="13">
        <f t="shared" si="148"/>
        <v>100</v>
      </c>
      <c r="T890" s="13">
        <f t="shared" si="149"/>
        <v>200</v>
      </c>
      <c r="U890" s="13" t="s">
        <v>4181</v>
      </c>
      <c r="V890" s="98" t="s">
        <v>226</v>
      </c>
    </row>
    <row r="891" spans="1:23" ht="30" customHeight="1">
      <c r="A891" s="74">
        <v>22</v>
      </c>
      <c r="B891" s="13">
        <v>4489</v>
      </c>
      <c r="C891" s="9" t="s">
        <v>795</v>
      </c>
      <c r="D891" s="9" t="s">
        <v>2102</v>
      </c>
      <c r="E891" s="71" t="s">
        <v>2053</v>
      </c>
      <c r="F891" s="44">
        <v>3000</v>
      </c>
      <c r="G891" s="44">
        <v>0</v>
      </c>
      <c r="H891" s="44">
        <v>0</v>
      </c>
      <c r="I891" s="44">
        <v>0</v>
      </c>
      <c r="J891" s="44">
        <v>0</v>
      </c>
      <c r="K891" s="44">
        <v>0</v>
      </c>
      <c r="L891" s="44">
        <v>0</v>
      </c>
      <c r="M891" s="44">
        <v>0</v>
      </c>
      <c r="N891" s="12">
        <f t="shared" si="146"/>
        <v>0</v>
      </c>
      <c r="O891" s="44">
        <v>3000</v>
      </c>
      <c r="P891" s="13">
        <v>0</v>
      </c>
      <c r="Q891" s="13">
        <v>5000</v>
      </c>
      <c r="R891" s="14">
        <f t="shared" si="147"/>
        <v>8000</v>
      </c>
      <c r="S891" s="13">
        <f t="shared" si="148"/>
        <v>8100</v>
      </c>
      <c r="T891" s="13">
        <f t="shared" si="149"/>
        <v>8200</v>
      </c>
      <c r="U891" s="13" t="s">
        <v>4181</v>
      </c>
      <c r="V891" s="15" t="s">
        <v>2103</v>
      </c>
    </row>
    <row r="892" spans="1:23" ht="30" customHeight="1">
      <c r="A892" s="74">
        <v>23</v>
      </c>
      <c r="B892" s="13">
        <v>4495</v>
      </c>
      <c r="C892" s="9" t="s">
        <v>2104</v>
      </c>
      <c r="D892" s="9" t="s">
        <v>1818</v>
      </c>
      <c r="E892" s="71" t="s">
        <v>2053</v>
      </c>
      <c r="F892" s="44">
        <v>3000</v>
      </c>
      <c r="G892" s="44">
        <v>0</v>
      </c>
      <c r="H892" s="44">
        <v>0</v>
      </c>
      <c r="I892" s="44">
        <v>0</v>
      </c>
      <c r="J892" s="44">
        <v>0</v>
      </c>
      <c r="K892" s="44">
        <v>0</v>
      </c>
      <c r="L892" s="44">
        <v>0</v>
      </c>
      <c r="M892" s="44">
        <v>0</v>
      </c>
      <c r="N892" s="12">
        <f t="shared" si="146"/>
        <v>0</v>
      </c>
      <c r="O892" s="44">
        <v>0</v>
      </c>
      <c r="P892" s="13">
        <v>0</v>
      </c>
      <c r="Q892" s="13">
        <v>0</v>
      </c>
      <c r="R892" s="14">
        <f t="shared" si="147"/>
        <v>0</v>
      </c>
      <c r="S892" s="13">
        <f t="shared" si="148"/>
        <v>100</v>
      </c>
      <c r="T892" s="13">
        <f t="shared" si="149"/>
        <v>200</v>
      </c>
      <c r="U892" s="13" t="s">
        <v>4181</v>
      </c>
      <c r="V892" s="15" t="s">
        <v>2105</v>
      </c>
    </row>
    <row r="893" spans="1:23" ht="30" customHeight="1">
      <c r="A893" s="74">
        <v>24</v>
      </c>
      <c r="B893" s="13">
        <v>4612</v>
      </c>
      <c r="C893" s="9" t="s">
        <v>2106</v>
      </c>
      <c r="D893" s="9" t="s">
        <v>1156</v>
      </c>
      <c r="E893" s="71" t="s">
        <v>2053</v>
      </c>
      <c r="F893" s="44">
        <v>3000</v>
      </c>
      <c r="G893" s="44">
        <v>0</v>
      </c>
      <c r="H893" s="44">
        <v>0</v>
      </c>
      <c r="I893" s="44">
        <v>0</v>
      </c>
      <c r="J893" s="44">
        <v>0</v>
      </c>
      <c r="K893" s="44">
        <v>0</v>
      </c>
      <c r="L893" s="44">
        <v>0</v>
      </c>
      <c r="M893" s="44">
        <v>0</v>
      </c>
      <c r="N893" s="12">
        <f t="shared" si="146"/>
        <v>0</v>
      </c>
      <c r="O893" s="44">
        <v>0</v>
      </c>
      <c r="P893" s="13">
        <v>0</v>
      </c>
      <c r="Q893" s="13">
        <v>500</v>
      </c>
      <c r="R893" s="14">
        <f t="shared" si="147"/>
        <v>500</v>
      </c>
      <c r="S893" s="13">
        <f t="shared" si="148"/>
        <v>600</v>
      </c>
      <c r="T893" s="13">
        <f t="shared" si="149"/>
        <v>700</v>
      </c>
      <c r="U893" s="13" t="s">
        <v>4181</v>
      </c>
      <c r="V893" s="23" t="s">
        <v>2107</v>
      </c>
    </row>
    <row r="894" spans="1:23" ht="30" customHeight="1">
      <c r="A894" s="74">
        <v>25</v>
      </c>
      <c r="B894" s="8">
        <v>4881</v>
      </c>
      <c r="C894" s="10" t="s">
        <v>2108</v>
      </c>
      <c r="D894" s="10" t="s">
        <v>1166</v>
      </c>
      <c r="E894" s="71" t="s">
        <v>2053</v>
      </c>
      <c r="F894" s="44">
        <v>3000</v>
      </c>
      <c r="G894" s="44">
        <v>0</v>
      </c>
      <c r="H894" s="44">
        <v>0</v>
      </c>
      <c r="I894" s="44">
        <v>0</v>
      </c>
      <c r="J894" s="44">
        <v>0</v>
      </c>
      <c r="K894" s="44">
        <v>0</v>
      </c>
      <c r="L894" s="44">
        <v>0</v>
      </c>
      <c r="M894" s="44">
        <v>0</v>
      </c>
      <c r="N894" s="12">
        <f t="shared" si="146"/>
        <v>0</v>
      </c>
      <c r="O894" s="44">
        <v>0</v>
      </c>
      <c r="P894" s="13">
        <v>0</v>
      </c>
      <c r="Q894" s="13">
        <v>0</v>
      </c>
      <c r="R894" s="14">
        <f t="shared" si="147"/>
        <v>0</v>
      </c>
      <c r="S894" s="13">
        <f t="shared" si="148"/>
        <v>100</v>
      </c>
      <c r="T894" s="13">
        <f t="shared" si="149"/>
        <v>200</v>
      </c>
      <c r="U894" s="13" t="s">
        <v>4181</v>
      </c>
      <c r="V894" s="56" t="s">
        <v>2109</v>
      </c>
    </row>
    <row r="895" spans="1:23" ht="30" customHeight="1">
      <c r="A895" s="74">
        <v>26</v>
      </c>
      <c r="B895" s="13">
        <v>4905</v>
      </c>
      <c r="C895" s="9" t="s">
        <v>4109</v>
      </c>
      <c r="D895" s="9" t="s">
        <v>2110</v>
      </c>
      <c r="E895" s="71" t="s">
        <v>2053</v>
      </c>
      <c r="F895" s="44">
        <v>3000</v>
      </c>
      <c r="G895" s="44">
        <v>0</v>
      </c>
      <c r="H895" s="44">
        <v>0</v>
      </c>
      <c r="I895" s="44">
        <v>0</v>
      </c>
      <c r="J895" s="44">
        <v>0</v>
      </c>
      <c r="K895" s="44">
        <v>0</v>
      </c>
      <c r="L895" s="44">
        <v>0</v>
      </c>
      <c r="M895" s="44">
        <v>0</v>
      </c>
      <c r="N895" s="12">
        <f t="shared" si="146"/>
        <v>0</v>
      </c>
      <c r="O895" s="44">
        <v>0</v>
      </c>
      <c r="P895" s="13">
        <v>0</v>
      </c>
      <c r="Q895" s="13">
        <v>0</v>
      </c>
      <c r="R895" s="14">
        <f t="shared" si="147"/>
        <v>0</v>
      </c>
      <c r="S895" s="13">
        <f t="shared" si="148"/>
        <v>100</v>
      </c>
      <c r="T895" s="13">
        <f t="shared" si="149"/>
        <v>200</v>
      </c>
      <c r="U895" s="13" t="s">
        <v>4181</v>
      </c>
      <c r="V895" s="15" t="s">
        <v>2111</v>
      </c>
      <c r="W895" t="s">
        <v>2112</v>
      </c>
    </row>
    <row r="896" spans="1:23" ht="30" customHeight="1">
      <c r="A896" s="74">
        <v>27</v>
      </c>
      <c r="B896" s="19">
        <v>4930</v>
      </c>
      <c r="C896" s="21" t="s">
        <v>1770</v>
      </c>
      <c r="D896" s="21" t="s">
        <v>2113</v>
      </c>
      <c r="E896" s="71" t="s">
        <v>2053</v>
      </c>
      <c r="F896" s="44">
        <v>3000</v>
      </c>
      <c r="G896" s="44">
        <v>0</v>
      </c>
      <c r="H896" s="44">
        <v>0</v>
      </c>
      <c r="I896" s="44">
        <v>0</v>
      </c>
      <c r="J896" s="44">
        <v>0</v>
      </c>
      <c r="K896" s="44">
        <v>0</v>
      </c>
      <c r="L896" s="44">
        <v>0</v>
      </c>
      <c r="M896" s="44">
        <v>0</v>
      </c>
      <c r="N896" s="12">
        <f t="shared" si="146"/>
        <v>0</v>
      </c>
      <c r="O896" s="44">
        <v>0</v>
      </c>
      <c r="P896" s="13">
        <v>0</v>
      </c>
      <c r="Q896" s="13">
        <v>0</v>
      </c>
      <c r="R896" s="14">
        <f t="shared" si="147"/>
        <v>0</v>
      </c>
      <c r="S896" s="13">
        <f t="shared" si="148"/>
        <v>100</v>
      </c>
      <c r="T896" s="13">
        <f t="shared" si="149"/>
        <v>200</v>
      </c>
      <c r="U896" s="13" t="s">
        <v>4181</v>
      </c>
      <c r="V896" s="46" t="s">
        <v>2114</v>
      </c>
    </row>
    <row r="897" spans="1:23" ht="30" customHeight="1">
      <c r="A897" s="74">
        <v>28</v>
      </c>
      <c r="B897" s="19">
        <v>5011</v>
      </c>
      <c r="C897" s="21" t="s">
        <v>2115</v>
      </c>
      <c r="D897" s="21" t="s">
        <v>1542</v>
      </c>
      <c r="E897" s="71" t="s">
        <v>2053</v>
      </c>
      <c r="F897" s="44">
        <v>2600</v>
      </c>
      <c r="G897" s="44">
        <v>0</v>
      </c>
      <c r="H897" s="44">
        <v>0</v>
      </c>
      <c r="I897" s="44">
        <v>0</v>
      </c>
      <c r="J897" s="44">
        <v>0</v>
      </c>
      <c r="K897" s="44">
        <v>0</v>
      </c>
      <c r="L897" s="44">
        <v>0</v>
      </c>
      <c r="M897" s="44">
        <v>0</v>
      </c>
      <c r="N897" s="12">
        <f t="shared" si="146"/>
        <v>0</v>
      </c>
      <c r="O897" s="44">
        <v>0</v>
      </c>
      <c r="P897" s="13">
        <v>0</v>
      </c>
      <c r="Q897" s="13">
        <v>0</v>
      </c>
      <c r="R897" s="14">
        <f t="shared" si="147"/>
        <v>0</v>
      </c>
      <c r="S897" s="13">
        <f t="shared" si="148"/>
        <v>100</v>
      </c>
      <c r="T897" s="13">
        <f t="shared" si="149"/>
        <v>200</v>
      </c>
      <c r="U897" s="13" t="s">
        <v>4181</v>
      </c>
      <c r="V897" s="46" t="s">
        <v>2116</v>
      </c>
    </row>
    <row r="898" spans="1:23" ht="30" customHeight="1">
      <c r="A898" s="74">
        <v>29</v>
      </c>
      <c r="B898" s="19">
        <v>5065</v>
      </c>
      <c r="C898" s="21" t="s">
        <v>2117</v>
      </c>
      <c r="D898" s="21" t="s">
        <v>2118</v>
      </c>
      <c r="E898" s="71" t="s">
        <v>2053</v>
      </c>
      <c r="F898" s="44">
        <v>3000</v>
      </c>
      <c r="G898" s="44">
        <v>0</v>
      </c>
      <c r="H898" s="44">
        <v>0</v>
      </c>
      <c r="I898" s="44">
        <v>0</v>
      </c>
      <c r="J898" s="44">
        <v>0</v>
      </c>
      <c r="K898" s="44">
        <v>0</v>
      </c>
      <c r="L898" s="44">
        <v>0</v>
      </c>
      <c r="M898" s="44">
        <v>0</v>
      </c>
      <c r="N898" s="12">
        <f t="shared" si="146"/>
        <v>0</v>
      </c>
      <c r="O898" s="44">
        <v>0</v>
      </c>
      <c r="P898" s="13">
        <v>0</v>
      </c>
      <c r="Q898" s="13">
        <v>0</v>
      </c>
      <c r="R898" s="14">
        <f t="shared" si="147"/>
        <v>0</v>
      </c>
      <c r="S898" s="13">
        <f t="shared" si="148"/>
        <v>100</v>
      </c>
      <c r="T898" s="13">
        <f t="shared" si="149"/>
        <v>200</v>
      </c>
      <c r="U898" s="13" t="s">
        <v>4181</v>
      </c>
      <c r="V898" s="46" t="s">
        <v>2119</v>
      </c>
    </row>
    <row r="899" spans="1:23" ht="30" customHeight="1">
      <c r="A899" s="74">
        <v>30</v>
      </c>
      <c r="B899" s="19">
        <v>6015</v>
      </c>
      <c r="C899" s="21" t="s">
        <v>508</v>
      </c>
      <c r="D899" s="21" t="s">
        <v>2120</v>
      </c>
      <c r="E899" s="71" t="s">
        <v>2053</v>
      </c>
      <c r="F899" s="44">
        <v>3000</v>
      </c>
      <c r="G899" s="44">
        <v>0</v>
      </c>
      <c r="H899" s="44">
        <v>0</v>
      </c>
      <c r="I899" s="44">
        <v>0</v>
      </c>
      <c r="J899" s="44">
        <v>0</v>
      </c>
      <c r="K899" s="44">
        <v>0</v>
      </c>
      <c r="L899" s="44">
        <v>0</v>
      </c>
      <c r="M899" s="44">
        <v>0</v>
      </c>
      <c r="N899" s="12">
        <f t="shared" si="146"/>
        <v>0</v>
      </c>
      <c r="O899" s="44">
        <v>3000</v>
      </c>
      <c r="P899" s="13">
        <v>0</v>
      </c>
      <c r="Q899" s="13">
        <v>0</v>
      </c>
      <c r="R899" s="14">
        <f t="shared" si="147"/>
        <v>3000</v>
      </c>
      <c r="S899" s="13">
        <f t="shared" si="148"/>
        <v>3100</v>
      </c>
      <c r="T899" s="13">
        <f t="shared" si="149"/>
        <v>3200</v>
      </c>
      <c r="U899" s="13" t="s">
        <v>4181</v>
      </c>
      <c r="V899" s="46" t="s">
        <v>2121</v>
      </c>
    </row>
    <row r="900" spans="1:23" ht="30" customHeight="1">
      <c r="A900" s="74">
        <v>31</v>
      </c>
      <c r="B900" s="13">
        <v>6063</v>
      </c>
      <c r="C900" s="9" t="s">
        <v>640</v>
      </c>
      <c r="D900" s="9" t="s">
        <v>1966</v>
      </c>
      <c r="E900" s="71" t="s">
        <v>2053</v>
      </c>
      <c r="F900" s="44">
        <v>3000</v>
      </c>
      <c r="G900" s="44">
        <v>0</v>
      </c>
      <c r="H900" s="44">
        <v>0</v>
      </c>
      <c r="I900" s="44">
        <v>0</v>
      </c>
      <c r="J900" s="44">
        <v>0</v>
      </c>
      <c r="K900" s="44">
        <v>0</v>
      </c>
      <c r="L900" s="44">
        <v>0</v>
      </c>
      <c r="M900" s="44">
        <v>0</v>
      </c>
      <c r="N900" s="12">
        <f t="shared" si="146"/>
        <v>0</v>
      </c>
      <c r="O900" s="44">
        <v>0</v>
      </c>
      <c r="P900" s="13">
        <v>0</v>
      </c>
      <c r="Q900" s="13">
        <v>0</v>
      </c>
      <c r="R900" s="14">
        <f t="shared" si="147"/>
        <v>0</v>
      </c>
      <c r="S900" s="13">
        <f t="shared" si="148"/>
        <v>100</v>
      </c>
      <c r="T900" s="13">
        <f t="shared" si="149"/>
        <v>200</v>
      </c>
      <c r="U900" s="13" t="s">
        <v>4181</v>
      </c>
      <c r="V900" s="23" t="s">
        <v>2122</v>
      </c>
    </row>
    <row r="901" spans="1:23" ht="30" customHeight="1">
      <c r="A901" s="74">
        <v>32</v>
      </c>
      <c r="B901" s="13">
        <v>6154</v>
      </c>
      <c r="C901" s="9" t="s">
        <v>1770</v>
      </c>
      <c r="D901" s="9" t="s">
        <v>372</v>
      </c>
      <c r="E901" s="71" t="s">
        <v>2053</v>
      </c>
      <c r="F901" s="44">
        <v>3000</v>
      </c>
      <c r="G901" s="44">
        <v>0</v>
      </c>
      <c r="H901" s="44">
        <v>0</v>
      </c>
      <c r="I901" s="44">
        <v>0</v>
      </c>
      <c r="J901" s="44">
        <v>0</v>
      </c>
      <c r="K901" s="44">
        <v>0</v>
      </c>
      <c r="L901" s="44">
        <v>0</v>
      </c>
      <c r="M901" s="44">
        <v>0</v>
      </c>
      <c r="N901" s="12">
        <f t="shared" si="146"/>
        <v>0</v>
      </c>
      <c r="O901" s="44">
        <v>3000</v>
      </c>
      <c r="P901" s="13">
        <v>0</v>
      </c>
      <c r="Q901" s="13">
        <v>0</v>
      </c>
      <c r="R901" s="14">
        <f t="shared" si="147"/>
        <v>3000</v>
      </c>
      <c r="S901" s="13">
        <f t="shared" si="148"/>
        <v>3100</v>
      </c>
      <c r="T901" s="13">
        <f t="shared" si="149"/>
        <v>3200</v>
      </c>
      <c r="U901" s="13" t="s">
        <v>4181</v>
      </c>
      <c r="V901" s="23" t="s">
        <v>373</v>
      </c>
    </row>
    <row r="902" spans="1:23" ht="30" customHeight="1">
      <c r="A902" s="74">
        <v>33</v>
      </c>
      <c r="B902" s="13">
        <v>6185</v>
      </c>
      <c r="C902" s="9" t="s">
        <v>2123</v>
      </c>
      <c r="D902" s="9" t="s">
        <v>816</v>
      </c>
      <c r="E902" s="71" t="s">
        <v>2053</v>
      </c>
      <c r="F902" s="44">
        <v>0</v>
      </c>
      <c r="G902" s="44">
        <v>0</v>
      </c>
      <c r="H902" s="44">
        <v>0</v>
      </c>
      <c r="I902" s="44">
        <v>0</v>
      </c>
      <c r="J902" s="44">
        <v>0</v>
      </c>
      <c r="K902" s="44">
        <v>0</v>
      </c>
      <c r="L902" s="44">
        <v>0</v>
      </c>
      <c r="M902" s="44">
        <v>0</v>
      </c>
      <c r="N902" s="12">
        <f t="shared" si="146"/>
        <v>0</v>
      </c>
      <c r="O902" s="44">
        <v>0</v>
      </c>
      <c r="P902" s="13">
        <v>0</v>
      </c>
      <c r="Q902" s="13">
        <v>5000</v>
      </c>
      <c r="R902" s="14">
        <f t="shared" si="147"/>
        <v>5000</v>
      </c>
      <c r="S902" s="13">
        <f t="shared" si="148"/>
        <v>5100</v>
      </c>
      <c r="T902" s="13">
        <f t="shared" si="149"/>
        <v>5200</v>
      </c>
      <c r="U902" s="13" t="s">
        <v>4181</v>
      </c>
      <c r="V902" s="23"/>
    </row>
    <row r="903" spans="1:23" ht="30" customHeight="1">
      <c r="A903" s="74">
        <v>34</v>
      </c>
      <c r="B903" s="13">
        <v>6217</v>
      </c>
      <c r="C903" s="9" t="s">
        <v>2124</v>
      </c>
      <c r="D903" s="9" t="s">
        <v>2125</v>
      </c>
      <c r="E903" s="71" t="s">
        <v>2053</v>
      </c>
      <c r="F903" s="44">
        <v>2800</v>
      </c>
      <c r="G903" s="44">
        <v>0</v>
      </c>
      <c r="H903" s="44">
        <v>0</v>
      </c>
      <c r="I903" s="44">
        <v>0</v>
      </c>
      <c r="J903" s="44">
        <v>0</v>
      </c>
      <c r="K903" s="44">
        <v>0</v>
      </c>
      <c r="L903" s="44">
        <v>0</v>
      </c>
      <c r="M903" s="44">
        <v>0</v>
      </c>
      <c r="N903" s="12">
        <f t="shared" si="146"/>
        <v>0</v>
      </c>
      <c r="O903" s="44">
        <v>0</v>
      </c>
      <c r="P903" s="13">
        <v>0</v>
      </c>
      <c r="Q903" s="13">
        <v>0</v>
      </c>
      <c r="R903" s="14">
        <f t="shared" si="147"/>
        <v>0</v>
      </c>
      <c r="S903" s="13">
        <f t="shared" si="148"/>
        <v>100</v>
      </c>
      <c r="T903" s="13">
        <f t="shared" si="149"/>
        <v>200</v>
      </c>
      <c r="U903" s="13" t="s">
        <v>4181</v>
      </c>
      <c r="V903" s="23" t="s">
        <v>2126</v>
      </c>
    </row>
    <row r="904" spans="1:23" ht="30" customHeight="1">
      <c r="A904" s="74">
        <v>35</v>
      </c>
      <c r="B904" s="13">
        <v>6284</v>
      </c>
      <c r="C904" s="9" t="s">
        <v>2127</v>
      </c>
      <c r="D904" s="9" t="s">
        <v>2128</v>
      </c>
      <c r="E904" s="71" t="s">
        <v>2053</v>
      </c>
      <c r="F904" s="44">
        <v>3000</v>
      </c>
      <c r="G904" s="44">
        <v>0</v>
      </c>
      <c r="H904" s="44">
        <v>0</v>
      </c>
      <c r="I904" s="44">
        <v>0</v>
      </c>
      <c r="J904" s="44">
        <v>0</v>
      </c>
      <c r="K904" s="44">
        <v>0</v>
      </c>
      <c r="L904" s="44">
        <v>0</v>
      </c>
      <c r="M904" s="44">
        <v>0</v>
      </c>
      <c r="N904" s="12">
        <f t="shared" si="146"/>
        <v>0</v>
      </c>
      <c r="O904" s="44">
        <v>3000</v>
      </c>
      <c r="P904" s="13">
        <v>0</v>
      </c>
      <c r="Q904" s="13">
        <v>5000</v>
      </c>
      <c r="R904" s="14">
        <f t="shared" si="147"/>
        <v>8000</v>
      </c>
      <c r="S904" s="13">
        <f t="shared" si="148"/>
        <v>8100</v>
      </c>
      <c r="T904" s="13">
        <f t="shared" si="149"/>
        <v>8200</v>
      </c>
      <c r="U904" s="13" t="s">
        <v>4181</v>
      </c>
      <c r="V904" s="23" t="s">
        <v>2129</v>
      </c>
    </row>
    <row r="905" spans="1:23" ht="30" customHeight="1">
      <c r="A905" s="74">
        <v>36</v>
      </c>
      <c r="B905" s="13">
        <v>6301</v>
      </c>
      <c r="C905" s="9" t="s">
        <v>2130</v>
      </c>
      <c r="D905" s="9" t="s">
        <v>2131</v>
      </c>
      <c r="E905" s="71" t="s">
        <v>2053</v>
      </c>
      <c r="F905" s="44">
        <v>3000</v>
      </c>
      <c r="G905" s="44">
        <v>0</v>
      </c>
      <c r="H905" s="44">
        <v>0</v>
      </c>
      <c r="I905" s="44">
        <v>0</v>
      </c>
      <c r="J905" s="44">
        <v>0</v>
      </c>
      <c r="K905" s="44">
        <v>0</v>
      </c>
      <c r="L905" s="44">
        <v>0</v>
      </c>
      <c r="M905" s="44">
        <v>0</v>
      </c>
      <c r="N905" s="12">
        <f t="shared" si="146"/>
        <v>0</v>
      </c>
      <c r="O905" s="44">
        <v>0</v>
      </c>
      <c r="P905" s="13">
        <v>0</v>
      </c>
      <c r="Q905" s="13">
        <v>1000</v>
      </c>
      <c r="R905" s="14">
        <f t="shared" si="147"/>
        <v>1000</v>
      </c>
      <c r="S905" s="13">
        <f t="shared" si="148"/>
        <v>1100</v>
      </c>
      <c r="T905" s="13">
        <f t="shared" si="149"/>
        <v>1200</v>
      </c>
      <c r="U905" s="13" t="s">
        <v>4181</v>
      </c>
      <c r="V905" s="23" t="s">
        <v>2132</v>
      </c>
      <c r="W905" t="s">
        <v>813</v>
      </c>
    </row>
    <row r="906" spans="1:23" ht="30" customHeight="1">
      <c r="A906" s="74">
        <v>37</v>
      </c>
      <c r="B906" s="13">
        <v>6405</v>
      </c>
      <c r="C906" s="9" t="s">
        <v>2133</v>
      </c>
      <c r="D906" s="9" t="s">
        <v>1300</v>
      </c>
      <c r="E906" s="71" t="s">
        <v>2053</v>
      </c>
      <c r="F906" s="44">
        <v>3000</v>
      </c>
      <c r="G906" s="44">
        <v>0</v>
      </c>
      <c r="H906" s="44">
        <v>0</v>
      </c>
      <c r="I906" s="44">
        <v>0</v>
      </c>
      <c r="J906" s="44">
        <v>0</v>
      </c>
      <c r="K906" s="44">
        <v>0</v>
      </c>
      <c r="L906" s="44">
        <v>0</v>
      </c>
      <c r="M906" s="44">
        <v>0</v>
      </c>
      <c r="N906" s="12">
        <f t="shared" si="146"/>
        <v>0</v>
      </c>
      <c r="O906" s="44">
        <v>0</v>
      </c>
      <c r="P906" s="13">
        <v>0</v>
      </c>
      <c r="Q906" s="13">
        <v>0</v>
      </c>
      <c r="R906" s="14">
        <f t="shared" si="147"/>
        <v>0</v>
      </c>
      <c r="S906" s="13">
        <f t="shared" si="148"/>
        <v>100</v>
      </c>
      <c r="T906" s="13">
        <f t="shared" si="149"/>
        <v>200</v>
      </c>
      <c r="U906" s="13" t="s">
        <v>4181</v>
      </c>
      <c r="V906" s="23" t="s">
        <v>1582</v>
      </c>
      <c r="W906" t="s">
        <v>1252</v>
      </c>
    </row>
    <row r="907" spans="1:23" ht="30" customHeight="1">
      <c r="A907" s="74">
        <v>38</v>
      </c>
      <c r="B907" s="13">
        <v>6475</v>
      </c>
      <c r="C907" s="9" t="s">
        <v>1358</v>
      </c>
      <c r="D907" s="9" t="s">
        <v>1143</v>
      </c>
      <c r="E907" s="71" t="s">
        <v>2053</v>
      </c>
      <c r="F907" s="44">
        <v>3000</v>
      </c>
      <c r="G907" s="44">
        <v>0</v>
      </c>
      <c r="H907" s="44">
        <v>0</v>
      </c>
      <c r="I907" s="44">
        <v>0</v>
      </c>
      <c r="J907" s="44">
        <v>0</v>
      </c>
      <c r="K907" s="44">
        <v>0</v>
      </c>
      <c r="L907" s="44">
        <v>0</v>
      </c>
      <c r="M907" s="44">
        <v>0</v>
      </c>
      <c r="N907" s="12">
        <f t="shared" si="146"/>
        <v>0</v>
      </c>
      <c r="O907" s="44">
        <v>0</v>
      </c>
      <c r="P907" s="13">
        <v>0</v>
      </c>
      <c r="Q907" s="13">
        <v>0</v>
      </c>
      <c r="R907" s="14">
        <f t="shared" si="147"/>
        <v>0</v>
      </c>
      <c r="S907" s="13">
        <f t="shared" si="148"/>
        <v>100</v>
      </c>
      <c r="T907" s="13">
        <f t="shared" si="149"/>
        <v>200</v>
      </c>
      <c r="U907" s="13" t="s">
        <v>4181</v>
      </c>
      <c r="V907" s="23" t="s">
        <v>2134</v>
      </c>
    </row>
    <row r="908" spans="1:23" ht="30" customHeight="1">
      <c r="A908" s="74">
        <v>39</v>
      </c>
      <c r="B908" s="13">
        <v>6481</v>
      </c>
      <c r="C908" s="9" t="s">
        <v>2135</v>
      </c>
      <c r="D908" s="9" t="s">
        <v>1143</v>
      </c>
      <c r="E908" s="71" t="s">
        <v>2053</v>
      </c>
      <c r="F908" s="44">
        <v>700</v>
      </c>
      <c r="G908" s="44">
        <v>0</v>
      </c>
      <c r="H908" s="44">
        <v>0</v>
      </c>
      <c r="I908" s="44">
        <v>0</v>
      </c>
      <c r="J908" s="44">
        <v>0</v>
      </c>
      <c r="K908" s="44">
        <v>0</v>
      </c>
      <c r="L908" s="44">
        <v>0</v>
      </c>
      <c r="M908" s="44">
        <v>0</v>
      </c>
      <c r="N908" s="12">
        <f t="shared" si="146"/>
        <v>0</v>
      </c>
      <c r="O908" s="44">
        <v>0</v>
      </c>
      <c r="P908" s="13">
        <v>0</v>
      </c>
      <c r="Q908" s="13">
        <v>0</v>
      </c>
      <c r="R908" s="14">
        <f t="shared" si="147"/>
        <v>0</v>
      </c>
      <c r="S908" s="13">
        <f t="shared" si="148"/>
        <v>100</v>
      </c>
      <c r="T908" s="13">
        <f t="shared" si="149"/>
        <v>200</v>
      </c>
      <c r="U908" s="13" t="s">
        <v>4181</v>
      </c>
      <c r="V908" s="23" t="s">
        <v>2134</v>
      </c>
    </row>
    <row r="909" spans="1:23" ht="30" customHeight="1">
      <c r="A909" s="74">
        <v>40</v>
      </c>
      <c r="B909" s="13">
        <v>6491</v>
      </c>
      <c r="C909" s="9" t="s">
        <v>640</v>
      </c>
      <c r="D909" s="9" t="s">
        <v>2136</v>
      </c>
      <c r="E909" s="71" t="s">
        <v>2053</v>
      </c>
      <c r="F909" s="44">
        <v>3000</v>
      </c>
      <c r="G909" s="44">
        <v>0</v>
      </c>
      <c r="H909" s="44">
        <v>0</v>
      </c>
      <c r="I909" s="44">
        <v>0</v>
      </c>
      <c r="J909" s="44">
        <v>0</v>
      </c>
      <c r="K909" s="44">
        <v>0</v>
      </c>
      <c r="L909" s="44">
        <v>0</v>
      </c>
      <c r="M909" s="44">
        <v>0</v>
      </c>
      <c r="N909" s="12">
        <f t="shared" si="146"/>
        <v>0</v>
      </c>
      <c r="O909" s="44">
        <v>0</v>
      </c>
      <c r="P909" s="13">
        <v>0</v>
      </c>
      <c r="Q909" s="13">
        <v>0</v>
      </c>
      <c r="R909" s="14">
        <f t="shared" si="147"/>
        <v>0</v>
      </c>
      <c r="S909" s="13">
        <f t="shared" si="148"/>
        <v>100</v>
      </c>
      <c r="T909" s="13">
        <f t="shared" si="149"/>
        <v>200</v>
      </c>
      <c r="U909" s="13" t="s">
        <v>4181</v>
      </c>
      <c r="V909" s="23" t="s">
        <v>2137</v>
      </c>
    </row>
    <row r="910" spans="1:23" ht="30" customHeight="1">
      <c r="A910" s="74">
        <v>41</v>
      </c>
      <c r="B910" s="13">
        <v>6568</v>
      </c>
      <c r="C910" s="9" t="s">
        <v>2138</v>
      </c>
      <c r="D910" s="9" t="s">
        <v>1369</v>
      </c>
      <c r="E910" s="71" t="s">
        <v>2053</v>
      </c>
      <c r="F910" s="44">
        <v>2500</v>
      </c>
      <c r="G910" s="44">
        <v>0</v>
      </c>
      <c r="H910" s="44">
        <v>0</v>
      </c>
      <c r="I910" s="44">
        <v>0</v>
      </c>
      <c r="J910" s="44">
        <v>0</v>
      </c>
      <c r="K910" s="44">
        <v>0</v>
      </c>
      <c r="L910" s="44">
        <v>0</v>
      </c>
      <c r="M910" s="44">
        <v>0</v>
      </c>
      <c r="N910" s="12">
        <f t="shared" si="146"/>
        <v>0</v>
      </c>
      <c r="O910" s="44">
        <v>0</v>
      </c>
      <c r="P910" s="13">
        <v>0</v>
      </c>
      <c r="Q910" s="13">
        <v>0</v>
      </c>
      <c r="R910" s="14">
        <f t="shared" si="147"/>
        <v>0</v>
      </c>
      <c r="S910" s="13">
        <f t="shared" si="148"/>
        <v>100</v>
      </c>
      <c r="T910" s="13">
        <f t="shared" si="149"/>
        <v>200</v>
      </c>
      <c r="U910" s="13" t="s">
        <v>4181</v>
      </c>
      <c r="V910" s="23" t="s">
        <v>2139</v>
      </c>
    </row>
    <row r="911" spans="1:23" ht="30" customHeight="1">
      <c r="A911" s="74">
        <v>42</v>
      </c>
      <c r="B911" s="13">
        <v>6572</v>
      </c>
      <c r="C911" s="9" t="s">
        <v>1770</v>
      </c>
      <c r="D911" s="9" t="s">
        <v>2140</v>
      </c>
      <c r="E911" s="71" t="s">
        <v>2053</v>
      </c>
      <c r="F911" s="44">
        <v>3000</v>
      </c>
      <c r="G911" s="44">
        <v>0</v>
      </c>
      <c r="H911" s="44">
        <v>0</v>
      </c>
      <c r="I911" s="44">
        <v>0</v>
      </c>
      <c r="J911" s="44">
        <v>0</v>
      </c>
      <c r="K911" s="44">
        <v>0</v>
      </c>
      <c r="L911" s="44">
        <v>0</v>
      </c>
      <c r="M911" s="44">
        <v>0</v>
      </c>
      <c r="N911" s="12">
        <f t="shared" si="146"/>
        <v>0</v>
      </c>
      <c r="O911" s="44">
        <v>0</v>
      </c>
      <c r="P911" s="13">
        <v>0</v>
      </c>
      <c r="Q911" s="13">
        <v>0</v>
      </c>
      <c r="R911" s="14">
        <f t="shared" si="147"/>
        <v>0</v>
      </c>
      <c r="S911" s="13">
        <f t="shared" si="148"/>
        <v>100</v>
      </c>
      <c r="T911" s="13">
        <f t="shared" si="149"/>
        <v>200</v>
      </c>
      <c r="U911" s="13" t="s">
        <v>4181</v>
      </c>
      <c r="V911" s="23" t="s">
        <v>2141</v>
      </c>
    </row>
    <row r="912" spans="1:23" ht="30" customHeight="1">
      <c r="A912" s="74">
        <v>43</v>
      </c>
      <c r="B912" s="13">
        <v>6577</v>
      </c>
      <c r="C912" s="9" t="s">
        <v>2142</v>
      </c>
      <c r="D912" s="9" t="s">
        <v>2143</v>
      </c>
      <c r="E912" s="71" t="s">
        <v>2053</v>
      </c>
      <c r="F912" s="44">
        <v>3000</v>
      </c>
      <c r="G912" s="44">
        <v>0</v>
      </c>
      <c r="H912" s="44">
        <v>0</v>
      </c>
      <c r="I912" s="44">
        <v>0</v>
      </c>
      <c r="J912" s="44">
        <v>0</v>
      </c>
      <c r="K912" s="44">
        <v>0</v>
      </c>
      <c r="L912" s="44">
        <v>0</v>
      </c>
      <c r="M912" s="44">
        <v>0</v>
      </c>
      <c r="N912" s="12">
        <f t="shared" si="146"/>
        <v>0</v>
      </c>
      <c r="O912" s="44">
        <v>3000</v>
      </c>
      <c r="P912" s="13">
        <v>0</v>
      </c>
      <c r="Q912" s="13">
        <v>5000</v>
      </c>
      <c r="R912" s="14">
        <f t="shared" si="147"/>
        <v>8000</v>
      </c>
      <c r="S912" s="13">
        <f t="shared" si="148"/>
        <v>8100</v>
      </c>
      <c r="T912" s="13">
        <f t="shared" si="149"/>
        <v>8200</v>
      </c>
      <c r="U912" s="13" t="s">
        <v>4181</v>
      </c>
      <c r="V912" s="23" t="s">
        <v>2144</v>
      </c>
    </row>
    <row r="913" spans="1:23" ht="30" customHeight="1">
      <c r="A913" s="74">
        <v>44</v>
      </c>
      <c r="B913" s="13">
        <v>6581</v>
      </c>
      <c r="C913" s="9" t="s">
        <v>2145</v>
      </c>
      <c r="D913" s="9" t="s">
        <v>1470</v>
      </c>
      <c r="E913" s="71" t="s">
        <v>2053</v>
      </c>
      <c r="F913" s="44">
        <v>3000</v>
      </c>
      <c r="G913" s="44">
        <v>0</v>
      </c>
      <c r="H913" s="44">
        <v>0</v>
      </c>
      <c r="I913" s="44">
        <v>0</v>
      </c>
      <c r="J913" s="44">
        <v>0</v>
      </c>
      <c r="K913" s="44">
        <v>0</v>
      </c>
      <c r="L913" s="44">
        <v>0</v>
      </c>
      <c r="M913" s="44">
        <v>0</v>
      </c>
      <c r="N913" s="12">
        <f t="shared" si="146"/>
        <v>0</v>
      </c>
      <c r="O913" s="44">
        <v>0</v>
      </c>
      <c r="P913" s="13">
        <v>0</v>
      </c>
      <c r="Q913" s="13">
        <v>2000</v>
      </c>
      <c r="R913" s="14">
        <f t="shared" si="147"/>
        <v>2000</v>
      </c>
      <c r="S913" s="13">
        <f t="shared" si="148"/>
        <v>2100</v>
      </c>
      <c r="T913" s="13">
        <f t="shared" si="149"/>
        <v>2200</v>
      </c>
      <c r="U913" s="13" t="s">
        <v>4181</v>
      </c>
      <c r="V913" s="23" t="s">
        <v>1471</v>
      </c>
      <c r="W913" t="s">
        <v>1472</v>
      </c>
    </row>
    <row r="914" spans="1:23" ht="30" customHeight="1">
      <c r="A914" s="74">
        <v>45</v>
      </c>
      <c r="B914" s="13">
        <v>6590</v>
      </c>
      <c r="C914" s="9" t="s">
        <v>2146</v>
      </c>
      <c r="D914" s="9" t="s">
        <v>2147</v>
      </c>
      <c r="E914" s="71" t="s">
        <v>2053</v>
      </c>
      <c r="F914" s="44">
        <v>2800</v>
      </c>
      <c r="G914" s="44">
        <v>0</v>
      </c>
      <c r="H914" s="44">
        <v>0</v>
      </c>
      <c r="I914" s="44">
        <v>0</v>
      </c>
      <c r="J914" s="44">
        <v>0</v>
      </c>
      <c r="K914" s="44">
        <v>0</v>
      </c>
      <c r="L914" s="44">
        <v>1000</v>
      </c>
      <c r="M914" s="44">
        <v>2800</v>
      </c>
      <c r="N914" s="12">
        <f t="shared" si="146"/>
        <v>3800</v>
      </c>
      <c r="O914" s="44">
        <v>2800</v>
      </c>
      <c r="P914" s="13">
        <v>0</v>
      </c>
      <c r="Q914" s="13">
        <v>0</v>
      </c>
      <c r="R914" s="14">
        <f t="shared" si="147"/>
        <v>6600</v>
      </c>
      <c r="S914" s="13">
        <f t="shared" si="148"/>
        <v>6700</v>
      </c>
      <c r="T914" s="13">
        <f t="shared" si="149"/>
        <v>6800</v>
      </c>
      <c r="U914" s="13" t="s">
        <v>4181</v>
      </c>
      <c r="V914" s="23" t="s">
        <v>2148</v>
      </c>
    </row>
    <row r="915" spans="1:23" ht="30" customHeight="1">
      <c r="A915" s="74">
        <v>46</v>
      </c>
      <c r="B915" s="13">
        <v>6597</v>
      </c>
      <c r="C915" s="9" t="s">
        <v>2149</v>
      </c>
      <c r="D915" s="9" t="s">
        <v>1254</v>
      </c>
      <c r="E915" s="71" t="s">
        <v>2053</v>
      </c>
      <c r="F915" s="44">
        <v>2800</v>
      </c>
      <c r="G915" s="44">
        <v>0</v>
      </c>
      <c r="H915" s="44">
        <v>0</v>
      </c>
      <c r="I915" s="44">
        <v>0</v>
      </c>
      <c r="J915" s="44">
        <v>0</v>
      </c>
      <c r="K915" s="44">
        <v>0</v>
      </c>
      <c r="L915" s="44">
        <v>900</v>
      </c>
      <c r="M915" s="44">
        <v>2800</v>
      </c>
      <c r="N915" s="12">
        <f t="shared" si="146"/>
        <v>3700</v>
      </c>
      <c r="O915" s="44">
        <v>2800</v>
      </c>
      <c r="P915" s="13">
        <v>0</v>
      </c>
      <c r="Q915" s="13">
        <v>2000</v>
      </c>
      <c r="R915" s="14">
        <f t="shared" si="147"/>
        <v>8500</v>
      </c>
      <c r="S915" s="13">
        <f t="shared" si="148"/>
        <v>8600</v>
      </c>
      <c r="T915" s="13">
        <f t="shared" si="149"/>
        <v>8700</v>
      </c>
      <c r="U915" s="13" t="s">
        <v>4181</v>
      </c>
      <c r="V915" s="23" t="s">
        <v>702</v>
      </c>
      <c r="W915" t="s">
        <v>2150</v>
      </c>
    </row>
    <row r="916" spans="1:23" ht="30" customHeight="1">
      <c r="A916" s="74">
        <v>47</v>
      </c>
      <c r="B916" s="13">
        <v>6643</v>
      </c>
      <c r="C916" s="9" t="s">
        <v>786</v>
      </c>
      <c r="D916" s="9" t="s">
        <v>1652</v>
      </c>
      <c r="E916" s="71" t="s">
        <v>2053</v>
      </c>
      <c r="F916" s="44">
        <v>2800</v>
      </c>
      <c r="G916" s="44">
        <v>0</v>
      </c>
      <c r="H916" s="44">
        <v>0</v>
      </c>
      <c r="I916" s="44">
        <v>0</v>
      </c>
      <c r="J916" s="44">
        <v>0</v>
      </c>
      <c r="K916" s="44">
        <v>0</v>
      </c>
      <c r="L916" s="44">
        <v>0</v>
      </c>
      <c r="M916" s="44">
        <v>0</v>
      </c>
      <c r="N916" s="12">
        <f t="shared" si="146"/>
        <v>0</v>
      </c>
      <c r="O916" s="44">
        <v>0</v>
      </c>
      <c r="P916" s="13">
        <v>0</v>
      </c>
      <c r="Q916" s="13">
        <v>0</v>
      </c>
      <c r="R916" s="14">
        <f t="shared" si="147"/>
        <v>0</v>
      </c>
      <c r="S916" s="13">
        <f t="shared" si="148"/>
        <v>100</v>
      </c>
      <c r="T916" s="13">
        <f t="shared" si="149"/>
        <v>200</v>
      </c>
      <c r="U916" s="13" t="s">
        <v>4181</v>
      </c>
      <c r="V916" s="23" t="s">
        <v>2151</v>
      </c>
    </row>
    <row r="917" spans="1:23" ht="30" customHeight="1">
      <c r="A917" s="74">
        <v>48</v>
      </c>
      <c r="B917" s="13" t="s">
        <v>4052</v>
      </c>
      <c r="C917" s="9" t="s">
        <v>4053</v>
      </c>
      <c r="D917" s="9" t="s">
        <v>4054</v>
      </c>
      <c r="E917" s="71" t="s">
        <v>2053</v>
      </c>
      <c r="F917" s="44">
        <v>3000</v>
      </c>
      <c r="G917" s="44">
        <v>0</v>
      </c>
      <c r="H917" s="44">
        <v>0</v>
      </c>
      <c r="I917" s="44">
        <v>0</v>
      </c>
      <c r="J917" s="44">
        <v>0</v>
      </c>
      <c r="K917" s="44">
        <v>0</v>
      </c>
      <c r="L917" s="44">
        <v>0</v>
      </c>
      <c r="M917" s="44">
        <v>0</v>
      </c>
      <c r="N917" s="12">
        <f t="shared" si="146"/>
        <v>0</v>
      </c>
      <c r="O917" s="44">
        <v>0</v>
      </c>
      <c r="P917" s="13">
        <v>0</v>
      </c>
      <c r="Q917" s="13">
        <v>0</v>
      </c>
      <c r="R917" s="14">
        <f t="shared" si="147"/>
        <v>0</v>
      </c>
      <c r="S917" s="13">
        <f t="shared" si="148"/>
        <v>100</v>
      </c>
      <c r="T917" s="13">
        <f t="shared" si="149"/>
        <v>200</v>
      </c>
      <c r="U917" s="13" t="s">
        <v>4181</v>
      </c>
      <c r="V917" s="23" t="s">
        <v>4055</v>
      </c>
    </row>
    <row r="918" spans="1:23" ht="30" customHeight="1">
      <c r="A918" s="13">
        <v>1</v>
      </c>
      <c r="B918" s="13">
        <v>668</v>
      </c>
      <c r="C918" s="9" t="s">
        <v>2152</v>
      </c>
      <c r="D918" s="9" t="s">
        <v>2153</v>
      </c>
      <c r="E918" s="71" t="s">
        <v>2154</v>
      </c>
      <c r="F918" s="44">
        <v>3000</v>
      </c>
      <c r="G918" s="44">
        <v>0</v>
      </c>
      <c r="H918" s="44">
        <v>0</v>
      </c>
      <c r="I918" s="44">
        <v>0</v>
      </c>
      <c r="J918" s="44">
        <v>0</v>
      </c>
      <c r="K918" s="44">
        <v>0</v>
      </c>
      <c r="L918" s="44">
        <v>0</v>
      </c>
      <c r="M918" s="44">
        <v>0</v>
      </c>
      <c r="N918" s="12">
        <f t="shared" si="146"/>
        <v>0</v>
      </c>
      <c r="O918" s="44">
        <v>0</v>
      </c>
      <c r="P918" s="13">
        <v>0</v>
      </c>
      <c r="Q918" s="13">
        <v>0</v>
      </c>
      <c r="R918" s="14">
        <f t="shared" si="147"/>
        <v>0</v>
      </c>
      <c r="S918" s="13">
        <f t="shared" ref="S918:S949" si="150">R918+100</f>
        <v>100</v>
      </c>
      <c r="T918" s="13">
        <f t="shared" ref="T918:T949" si="151">R918+200</f>
        <v>200</v>
      </c>
      <c r="U918" s="13" t="s">
        <v>4181</v>
      </c>
      <c r="V918" s="23" t="s">
        <v>2155</v>
      </c>
      <c r="W918" t="s">
        <v>2156</v>
      </c>
    </row>
    <row r="919" spans="1:23" ht="30" customHeight="1">
      <c r="A919" s="93">
        <v>2</v>
      </c>
      <c r="B919" s="13">
        <v>669</v>
      </c>
      <c r="C919" s="63" t="s">
        <v>2157</v>
      </c>
      <c r="D919" s="63" t="s">
        <v>1474</v>
      </c>
      <c r="E919" s="71" t="s">
        <v>2154</v>
      </c>
      <c r="F919" s="60">
        <v>3000</v>
      </c>
      <c r="G919" s="60">
        <v>0</v>
      </c>
      <c r="H919" s="60">
        <v>0</v>
      </c>
      <c r="I919" s="60">
        <v>0</v>
      </c>
      <c r="J919" s="60">
        <v>0</v>
      </c>
      <c r="K919" s="60">
        <v>0</v>
      </c>
      <c r="L919" s="60">
        <v>0</v>
      </c>
      <c r="M919" s="60">
        <v>0</v>
      </c>
      <c r="N919" s="12">
        <f t="shared" si="146"/>
        <v>0</v>
      </c>
      <c r="O919" s="60">
        <v>0</v>
      </c>
      <c r="P919" s="60">
        <v>400</v>
      </c>
      <c r="Q919" s="60">
        <v>0</v>
      </c>
      <c r="R919" s="14">
        <f t="shared" si="147"/>
        <v>400</v>
      </c>
      <c r="S919" s="13">
        <f t="shared" si="150"/>
        <v>500</v>
      </c>
      <c r="T919" s="13">
        <f t="shared" si="151"/>
        <v>600</v>
      </c>
      <c r="U919" s="13" t="s">
        <v>4181</v>
      </c>
      <c r="V919" s="29" t="s">
        <v>2158</v>
      </c>
    </row>
    <row r="920" spans="1:23" ht="30" customHeight="1">
      <c r="A920" s="13">
        <v>3</v>
      </c>
      <c r="B920" s="13">
        <v>670</v>
      </c>
      <c r="C920" s="63" t="s">
        <v>2159</v>
      </c>
      <c r="D920" s="63" t="s">
        <v>2160</v>
      </c>
      <c r="E920" s="71" t="s">
        <v>2154</v>
      </c>
      <c r="F920" s="60">
        <v>3000</v>
      </c>
      <c r="G920" s="60">
        <v>0</v>
      </c>
      <c r="H920" s="60">
        <v>0</v>
      </c>
      <c r="I920" s="60">
        <v>0</v>
      </c>
      <c r="J920" s="60">
        <v>0</v>
      </c>
      <c r="K920" s="60">
        <v>0</v>
      </c>
      <c r="L920" s="60">
        <v>0</v>
      </c>
      <c r="M920" s="60">
        <v>0</v>
      </c>
      <c r="N920" s="12">
        <f t="shared" si="146"/>
        <v>0</v>
      </c>
      <c r="O920" s="60">
        <v>0</v>
      </c>
      <c r="P920" s="60">
        <v>0</v>
      </c>
      <c r="Q920" s="60">
        <v>0</v>
      </c>
      <c r="R920" s="14">
        <f t="shared" si="147"/>
        <v>0</v>
      </c>
      <c r="S920" s="13">
        <f t="shared" si="150"/>
        <v>100</v>
      </c>
      <c r="T920" s="13">
        <f t="shared" si="151"/>
        <v>200</v>
      </c>
      <c r="U920" s="13" t="s">
        <v>4181</v>
      </c>
      <c r="V920" s="29" t="s">
        <v>2161</v>
      </c>
    </row>
    <row r="921" spans="1:23" ht="30" customHeight="1">
      <c r="A921" s="93">
        <v>4</v>
      </c>
      <c r="B921" s="13">
        <v>671</v>
      </c>
      <c r="C921" s="63" t="s">
        <v>2162</v>
      </c>
      <c r="D921" s="63" t="s">
        <v>2163</v>
      </c>
      <c r="E921" s="71" t="s">
        <v>2154</v>
      </c>
      <c r="F921" s="60">
        <v>2800</v>
      </c>
      <c r="G921" s="60">
        <v>0</v>
      </c>
      <c r="H921" s="60">
        <v>0</v>
      </c>
      <c r="I921" s="60">
        <v>0</v>
      </c>
      <c r="J921" s="60">
        <v>0</v>
      </c>
      <c r="K921" s="60">
        <v>0</v>
      </c>
      <c r="L921" s="60">
        <v>0</v>
      </c>
      <c r="M921" s="60">
        <v>0</v>
      </c>
      <c r="N921" s="12">
        <f t="shared" si="146"/>
        <v>0</v>
      </c>
      <c r="O921" s="60">
        <v>0</v>
      </c>
      <c r="P921" s="60">
        <v>0</v>
      </c>
      <c r="Q921" s="60">
        <v>0</v>
      </c>
      <c r="R921" s="14">
        <f t="shared" si="147"/>
        <v>0</v>
      </c>
      <c r="S921" s="13">
        <f t="shared" si="150"/>
        <v>100</v>
      </c>
      <c r="T921" s="13">
        <f t="shared" si="151"/>
        <v>200</v>
      </c>
      <c r="U921" s="13" t="s">
        <v>4181</v>
      </c>
      <c r="V921" s="29" t="s">
        <v>1686</v>
      </c>
      <c r="W921" t="s">
        <v>2164</v>
      </c>
    </row>
    <row r="922" spans="1:23" ht="30" customHeight="1">
      <c r="A922" s="13">
        <v>5</v>
      </c>
      <c r="B922" s="13">
        <v>672</v>
      </c>
      <c r="C922" s="63" t="s">
        <v>2165</v>
      </c>
      <c r="D922" s="63" t="s">
        <v>2166</v>
      </c>
      <c r="E922" s="71" t="s">
        <v>2154</v>
      </c>
      <c r="F922" s="60">
        <v>2500</v>
      </c>
      <c r="G922" s="60">
        <v>0</v>
      </c>
      <c r="H922" s="60">
        <v>0</v>
      </c>
      <c r="I922" s="60">
        <v>0</v>
      </c>
      <c r="J922" s="60">
        <v>0</v>
      </c>
      <c r="K922" s="60">
        <v>0</v>
      </c>
      <c r="L922" s="60">
        <v>0</v>
      </c>
      <c r="M922" s="60">
        <v>0</v>
      </c>
      <c r="N922" s="12">
        <f t="shared" si="146"/>
        <v>0</v>
      </c>
      <c r="O922" s="60">
        <v>0</v>
      </c>
      <c r="P922" s="60">
        <v>0</v>
      </c>
      <c r="Q922" s="60">
        <v>0</v>
      </c>
      <c r="R922" s="14">
        <f t="shared" si="147"/>
        <v>0</v>
      </c>
      <c r="S922" s="13">
        <f t="shared" si="150"/>
        <v>100</v>
      </c>
      <c r="T922" s="13">
        <f t="shared" si="151"/>
        <v>200</v>
      </c>
      <c r="U922" s="13" t="s">
        <v>4181</v>
      </c>
      <c r="V922" s="29" t="s">
        <v>2167</v>
      </c>
      <c r="W922" t="s">
        <v>2168</v>
      </c>
    </row>
    <row r="923" spans="1:23" ht="30" customHeight="1">
      <c r="A923" s="93">
        <v>6</v>
      </c>
      <c r="B923" s="13">
        <v>673</v>
      </c>
      <c r="C923" s="63" t="s">
        <v>2169</v>
      </c>
      <c r="D923" s="63" t="s">
        <v>776</v>
      </c>
      <c r="E923" s="71" t="s">
        <v>2154</v>
      </c>
      <c r="F923" s="60">
        <v>3000</v>
      </c>
      <c r="G923" s="60">
        <v>0</v>
      </c>
      <c r="H923" s="60">
        <v>0</v>
      </c>
      <c r="I923" s="60">
        <v>0</v>
      </c>
      <c r="J923" s="60">
        <v>0</v>
      </c>
      <c r="K923" s="60">
        <v>0</v>
      </c>
      <c r="L923" s="60">
        <v>0</v>
      </c>
      <c r="M923" s="60">
        <v>0</v>
      </c>
      <c r="N923" s="12">
        <f t="shared" si="146"/>
        <v>0</v>
      </c>
      <c r="O923" s="60">
        <v>0</v>
      </c>
      <c r="P923" s="60">
        <v>0</v>
      </c>
      <c r="Q923" s="60">
        <v>0</v>
      </c>
      <c r="R923" s="14">
        <f t="shared" si="147"/>
        <v>0</v>
      </c>
      <c r="S923" s="13">
        <f t="shared" si="150"/>
        <v>100</v>
      </c>
      <c r="T923" s="13">
        <f t="shared" si="151"/>
        <v>200</v>
      </c>
      <c r="U923" s="13" t="s">
        <v>4181</v>
      </c>
      <c r="V923" s="29" t="s">
        <v>2170</v>
      </c>
      <c r="W923" t="s">
        <v>2171</v>
      </c>
    </row>
    <row r="924" spans="1:23" ht="30" customHeight="1">
      <c r="A924" s="13">
        <v>7</v>
      </c>
      <c r="B924" s="13">
        <v>674</v>
      </c>
      <c r="C924" s="9" t="s">
        <v>2172</v>
      </c>
      <c r="D924" s="9" t="s">
        <v>2173</v>
      </c>
      <c r="E924" s="71" t="s">
        <v>2154</v>
      </c>
      <c r="F924" s="44">
        <v>3000</v>
      </c>
      <c r="G924" s="44">
        <v>0</v>
      </c>
      <c r="H924" s="44">
        <v>0</v>
      </c>
      <c r="I924" s="44">
        <v>0</v>
      </c>
      <c r="J924" s="44">
        <v>0</v>
      </c>
      <c r="K924" s="44">
        <v>0</v>
      </c>
      <c r="L924" s="44">
        <v>0</v>
      </c>
      <c r="M924" s="44">
        <v>0</v>
      </c>
      <c r="N924" s="12">
        <f t="shared" si="146"/>
        <v>0</v>
      </c>
      <c r="O924" s="44">
        <v>0</v>
      </c>
      <c r="P924" s="13">
        <v>0</v>
      </c>
      <c r="Q924" s="13">
        <v>2000</v>
      </c>
      <c r="R924" s="14">
        <f t="shared" si="147"/>
        <v>2000</v>
      </c>
      <c r="S924" s="13">
        <f t="shared" si="150"/>
        <v>2100</v>
      </c>
      <c r="T924" s="13">
        <f t="shared" si="151"/>
        <v>2200</v>
      </c>
      <c r="U924" s="13" t="s">
        <v>4181</v>
      </c>
      <c r="V924" s="23" t="s">
        <v>2174</v>
      </c>
      <c r="W924" t="s">
        <v>98</v>
      </c>
    </row>
    <row r="925" spans="1:23" ht="30" customHeight="1">
      <c r="A925" s="93">
        <v>8</v>
      </c>
      <c r="B925" s="13">
        <v>675</v>
      </c>
      <c r="C925" s="9" t="s">
        <v>2175</v>
      </c>
      <c r="D925" s="9" t="s">
        <v>753</v>
      </c>
      <c r="E925" s="71" t="s">
        <v>2154</v>
      </c>
      <c r="F925" s="44">
        <v>3000</v>
      </c>
      <c r="G925" s="44">
        <v>0</v>
      </c>
      <c r="H925" s="44">
        <v>0</v>
      </c>
      <c r="I925" s="44">
        <v>0</v>
      </c>
      <c r="J925" s="44">
        <v>0</v>
      </c>
      <c r="K925" s="44">
        <v>0</v>
      </c>
      <c r="L925" s="44">
        <v>0</v>
      </c>
      <c r="M925" s="44">
        <v>0</v>
      </c>
      <c r="N925" s="12">
        <f t="shared" si="146"/>
        <v>0</v>
      </c>
      <c r="O925" s="44">
        <v>0</v>
      </c>
      <c r="P925" s="13">
        <v>0</v>
      </c>
      <c r="Q925" s="13">
        <v>1500</v>
      </c>
      <c r="R925" s="14">
        <f t="shared" si="147"/>
        <v>1500</v>
      </c>
      <c r="S925" s="13">
        <f t="shared" si="150"/>
        <v>1600</v>
      </c>
      <c r="T925" s="13">
        <f t="shared" si="151"/>
        <v>1700</v>
      </c>
      <c r="U925" s="13" t="s">
        <v>4181</v>
      </c>
      <c r="V925" s="23" t="s">
        <v>2176</v>
      </c>
      <c r="W925" t="s">
        <v>98</v>
      </c>
    </row>
    <row r="926" spans="1:23" ht="30" customHeight="1">
      <c r="A926" s="13">
        <v>9</v>
      </c>
      <c r="B926" s="13">
        <v>678</v>
      </c>
      <c r="C926" s="63" t="s">
        <v>2177</v>
      </c>
      <c r="D926" s="63" t="s">
        <v>2178</v>
      </c>
      <c r="E926" s="71" t="s">
        <v>2154</v>
      </c>
      <c r="F926" s="60">
        <v>3000</v>
      </c>
      <c r="G926" s="60">
        <v>0</v>
      </c>
      <c r="H926" s="60">
        <v>0</v>
      </c>
      <c r="I926" s="60">
        <v>0</v>
      </c>
      <c r="J926" s="60">
        <v>0</v>
      </c>
      <c r="K926" s="60">
        <v>0</v>
      </c>
      <c r="L926" s="60">
        <v>0</v>
      </c>
      <c r="M926" s="60">
        <v>0</v>
      </c>
      <c r="N926" s="12">
        <f t="shared" si="146"/>
        <v>0</v>
      </c>
      <c r="O926" s="60">
        <v>2000</v>
      </c>
      <c r="P926" s="60">
        <v>0</v>
      </c>
      <c r="Q926" s="60">
        <v>0</v>
      </c>
      <c r="R926" s="14">
        <f t="shared" si="147"/>
        <v>2000</v>
      </c>
      <c r="S926" s="13">
        <f t="shared" si="150"/>
        <v>2100</v>
      </c>
      <c r="T926" s="13">
        <f t="shared" si="151"/>
        <v>2200</v>
      </c>
      <c r="U926" s="13" t="s">
        <v>4181</v>
      </c>
      <c r="V926" s="29" t="s">
        <v>2179</v>
      </c>
      <c r="W926" t="s">
        <v>2171</v>
      </c>
    </row>
    <row r="927" spans="1:23" ht="30" customHeight="1">
      <c r="A927" s="93">
        <v>10</v>
      </c>
      <c r="B927" s="13">
        <v>712</v>
      </c>
      <c r="C927" s="63" t="s">
        <v>2180</v>
      </c>
      <c r="D927" s="63" t="s">
        <v>1775</v>
      </c>
      <c r="E927" s="71" t="s">
        <v>2154</v>
      </c>
      <c r="F927" s="60">
        <v>3000</v>
      </c>
      <c r="G927" s="60">
        <v>0</v>
      </c>
      <c r="H927" s="60">
        <v>0</v>
      </c>
      <c r="I927" s="60">
        <v>0</v>
      </c>
      <c r="J927" s="60">
        <v>0</v>
      </c>
      <c r="K927" s="60">
        <v>0</v>
      </c>
      <c r="L927" s="60">
        <v>0</v>
      </c>
      <c r="M927" s="60">
        <v>0</v>
      </c>
      <c r="N927" s="12">
        <f t="shared" si="146"/>
        <v>0</v>
      </c>
      <c r="O927" s="60">
        <v>0</v>
      </c>
      <c r="P927" s="60">
        <v>0</v>
      </c>
      <c r="Q927" s="60">
        <v>0</v>
      </c>
      <c r="R927" s="14">
        <f t="shared" si="147"/>
        <v>0</v>
      </c>
      <c r="S927" s="13">
        <f t="shared" si="150"/>
        <v>100</v>
      </c>
      <c r="T927" s="13">
        <f t="shared" si="151"/>
        <v>200</v>
      </c>
      <c r="U927" s="13" t="s">
        <v>4181</v>
      </c>
      <c r="V927" s="29" t="s">
        <v>1776</v>
      </c>
      <c r="W927" t="s">
        <v>2181</v>
      </c>
    </row>
    <row r="928" spans="1:23" ht="30" customHeight="1">
      <c r="A928" s="13">
        <v>11</v>
      </c>
      <c r="B928" s="13">
        <v>1525</v>
      </c>
      <c r="C928" s="9" t="s">
        <v>2182</v>
      </c>
      <c r="D928" s="9" t="s">
        <v>2183</v>
      </c>
      <c r="E928" s="71" t="s">
        <v>2154</v>
      </c>
      <c r="F928" s="44">
        <v>3000</v>
      </c>
      <c r="G928" s="44">
        <v>0</v>
      </c>
      <c r="H928" s="44">
        <v>0</v>
      </c>
      <c r="I928" s="44">
        <v>0</v>
      </c>
      <c r="J928" s="44">
        <v>0</v>
      </c>
      <c r="K928" s="44">
        <v>0</v>
      </c>
      <c r="L928" s="44">
        <v>0</v>
      </c>
      <c r="M928" s="44">
        <v>0</v>
      </c>
      <c r="N928" s="12">
        <f t="shared" si="146"/>
        <v>0</v>
      </c>
      <c r="O928" s="44">
        <v>0</v>
      </c>
      <c r="P928" s="13">
        <v>0</v>
      </c>
      <c r="Q928" s="13">
        <v>0</v>
      </c>
      <c r="R928" s="14">
        <f t="shared" si="147"/>
        <v>0</v>
      </c>
      <c r="S928" s="13">
        <f t="shared" si="150"/>
        <v>100</v>
      </c>
      <c r="T928" s="13">
        <f t="shared" si="151"/>
        <v>200</v>
      </c>
      <c r="U928" s="13" t="s">
        <v>4181</v>
      </c>
      <c r="V928" s="24" t="s">
        <v>2184</v>
      </c>
    </row>
    <row r="929" spans="1:23" ht="30" customHeight="1">
      <c r="A929" s="93">
        <v>12</v>
      </c>
      <c r="B929" s="13">
        <v>1581</v>
      </c>
      <c r="C929" s="9" t="s">
        <v>2185</v>
      </c>
      <c r="D929" s="9" t="s">
        <v>2186</v>
      </c>
      <c r="E929" s="71" t="s">
        <v>2154</v>
      </c>
      <c r="F929" s="44">
        <v>3000</v>
      </c>
      <c r="G929" s="44">
        <v>0</v>
      </c>
      <c r="H929" s="44">
        <v>0</v>
      </c>
      <c r="I929" s="44">
        <v>0</v>
      </c>
      <c r="J929" s="44">
        <v>0</v>
      </c>
      <c r="K929" s="44">
        <v>0</v>
      </c>
      <c r="L929" s="44">
        <v>0</v>
      </c>
      <c r="M929" s="44">
        <v>0</v>
      </c>
      <c r="N929" s="12">
        <f t="shared" si="146"/>
        <v>0</v>
      </c>
      <c r="O929" s="44">
        <v>3000</v>
      </c>
      <c r="P929" s="13">
        <v>0</v>
      </c>
      <c r="Q929" s="13">
        <v>5000</v>
      </c>
      <c r="R929" s="14">
        <f t="shared" si="147"/>
        <v>8000</v>
      </c>
      <c r="S929" s="13">
        <f t="shared" si="150"/>
        <v>8100</v>
      </c>
      <c r="T929" s="13">
        <f t="shared" si="151"/>
        <v>8200</v>
      </c>
      <c r="U929" s="13" t="s">
        <v>4181</v>
      </c>
      <c r="V929" s="24" t="s">
        <v>2187</v>
      </c>
      <c r="W929" t="s">
        <v>2188</v>
      </c>
    </row>
    <row r="930" spans="1:23" ht="30" customHeight="1">
      <c r="A930" s="13">
        <v>13</v>
      </c>
      <c r="B930" s="13">
        <v>1583</v>
      </c>
      <c r="C930" s="9" t="s">
        <v>41</v>
      </c>
      <c r="D930" s="9" t="s">
        <v>2189</v>
      </c>
      <c r="E930" s="71" t="s">
        <v>2154</v>
      </c>
      <c r="F930" s="44">
        <v>3000</v>
      </c>
      <c r="G930" s="44">
        <v>0</v>
      </c>
      <c r="H930" s="44">
        <v>0</v>
      </c>
      <c r="I930" s="44">
        <v>0</v>
      </c>
      <c r="J930" s="44">
        <v>0</v>
      </c>
      <c r="K930" s="44">
        <v>0</v>
      </c>
      <c r="L930" s="44">
        <v>0</v>
      </c>
      <c r="M930" s="44">
        <v>0</v>
      </c>
      <c r="N930" s="12">
        <f t="shared" si="146"/>
        <v>0</v>
      </c>
      <c r="O930" s="44">
        <v>0</v>
      </c>
      <c r="P930" s="13">
        <v>0</v>
      </c>
      <c r="Q930" s="13">
        <v>0</v>
      </c>
      <c r="R930" s="14">
        <f t="shared" si="147"/>
        <v>0</v>
      </c>
      <c r="S930" s="13">
        <f t="shared" si="150"/>
        <v>100</v>
      </c>
      <c r="T930" s="13">
        <f t="shared" si="151"/>
        <v>200</v>
      </c>
      <c r="U930" s="13" t="s">
        <v>4181</v>
      </c>
      <c r="V930" s="24" t="s">
        <v>2190</v>
      </c>
    </row>
    <row r="931" spans="1:23" ht="30" customHeight="1">
      <c r="A931" s="93">
        <v>14</v>
      </c>
      <c r="B931" s="13">
        <v>1679</v>
      </c>
      <c r="C931" s="9" t="s">
        <v>1409</v>
      </c>
      <c r="D931" s="9" t="s">
        <v>1697</v>
      </c>
      <c r="E931" s="71" t="s">
        <v>2154</v>
      </c>
      <c r="F931" s="44">
        <v>3000</v>
      </c>
      <c r="G931" s="44">
        <v>0</v>
      </c>
      <c r="H931" s="44">
        <v>0</v>
      </c>
      <c r="I931" s="44">
        <v>0</v>
      </c>
      <c r="J931" s="44">
        <v>0</v>
      </c>
      <c r="K931" s="44">
        <v>0</v>
      </c>
      <c r="L931" s="44">
        <v>0</v>
      </c>
      <c r="M931" s="44">
        <v>0</v>
      </c>
      <c r="N931" s="12">
        <f t="shared" si="146"/>
        <v>0</v>
      </c>
      <c r="O931" s="44">
        <v>0</v>
      </c>
      <c r="P931" s="13">
        <v>0</v>
      </c>
      <c r="Q931" s="13">
        <v>2000</v>
      </c>
      <c r="R931" s="14">
        <f t="shared" si="147"/>
        <v>2000</v>
      </c>
      <c r="S931" s="13">
        <f t="shared" si="150"/>
        <v>2100</v>
      </c>
      <c r="T931" s="13">
        <f t="shared" si="151"/>
        <v>2200</v>
      </c>
      <c r="U931" s="13" t="s">
        <v>4181</v>
      </c>
      <c r="V931" s="98" t="s">
        <v>1423</v>
      </c>
    </row>
    <row r="932" spans="1:23" ht="30" customHeight="1">
      <c r="A932" s="13">
        <v>15</v>
      </c>
      <c r="B932" s="13">
        <v>1684</v>
      </c>
      <c r="C932" s="9" t="s">
        <v>889</v>
      </c>
      <c r="D932" s="9" t="s">
        <v>2191</v>
      </c>
      <c r="E932" s="71" t="s">
        <v>2154</v>
      </c>
      <c r="F932" s="44">
        <v>3000</v>
      </c>
      <c r="G932" s="44">
        <v>0</v>
      </c>
      <c r="H932" s="44">
        <v>0</v>
      </c>
      <c r="I932" s="44">
        <v>0</v>
      </c>
      <c r="J932" s="44">
        <v>0</v>
      </c>
      <c r="K932" s="44">
        <v>0</v>
      </c>
      <c r="L932" s="44">
        <v>0</v>
      </c>
      <c r="M932" s="44">
        <v>0</v>
      </c>
      <c r="N932" s="12">
        <f t="shared" si="146"/>
        <v>0</v>
      </c>
      <c r="O932" s="44">
        <v>0</v>
      </c>
      <c r="P932" s="13">
        <v>0</v>
      </c>
      <c r="Q932" s="13">
        <v>0</v>
      </c>
      <c r="R932" s="14">
        <f t="shared" si="147"/>
        <v>0</v>
      </c>
      <c r="S932" s="13">
        <f t="shared" si="150"/>
        <v>100</v>
      </c>
      <c r="T932" s="13">
        <f t="shared" si="151"/>
        <v>200</v>
      </c>
      <c r="U932" s="13" t="s">
        <v>4181</v>
      </c>
      <c r="V932" s="98" t="s">
        <v>2192</v>
      </c>
    </row>
    <row r="933" spans="1:23" ht="30" customHeight="1">
      <c r="A933" s="93">
        <v>16</v>
      </c>
      <c r="B933" s="13">
        <v>1696</v>
      </c>
      <c r="C933" s="9" t="s">
        <v>2193</v>
      </c>
      <c r="D933" s="9" t="s">
        <v>2194</v>
      </c>
      <c r="E933" s="71" t="s">
        <v>2154</v>
      </c>
      <c r="F933" s="44">
        <v>3000</v>
      </c>
      <c r="G933" s="44">
        <v>0</v>
      </c>
      <c r="H933" s="44">
        <v>0</v>
      </c>
      <c r="I933" s="44">
        <v>0</v>
      </c>
      <c r="J933" s="44">
        <v>0</v>
      </c>
      <c r="K933" s="44">
        <v>0</v>
      </c>
      <c r="L933" s="44">
        <v>0</v>
      </c>
      <c r="M933" s="44">
        <v>0</v>
      </c>
      <c r="N933" s="12">
        <f t="shared" si="146"/>
        <v>0</v>
      </c>
      <c r="O933" s="44">
        <v>0</v>
      </c>
      <c r="P933" s="13">
        <v>0</v>
      </c>
      <c r="Q933" s="13">
        <v>0</v>
      </c>
      <c r="R933" s="14">
        <f t="shared" si="147"/>
        <v>0</v>
      </c>
      <c r="S933" s="13">
        <f t="shared" si="150"/>
        <v>100</v>
      </c>
      <c r="T933" s="13">
        <f t="shared" si="151"/>
        <v>200</v>
      </c>
      <c r="U933" s="13" t="s">
        <v>4181</v>
      </c>
      <c r="V933" s="24" t="s">
        <v>2195</v>
      </c>
    </row>
    <row r="934" spans="1:23" ht="30" customHeight="1">
      <c r="A934" s="13">
        <v>17</v>
      </c>
      <c r="B934" s="13">
        <v>1697</v>
      </c>
      <c r="C934" s="9" t="s">
        <v>1253</v>
      </c>
      <c r="D934" s="9" t="s">
        <v>2196</v>
      </c>
      <c r="E934" s="71" t="s">
        <v>2154</v>
      </c>
      <c r="F934" s="44">
        <v>3000</v>
      </c>
      <c r="G934" s="44">
        <v>0</v>
      </c>
      <c r="H934" s="44">
        <v>0</v>
      </c>
      <c r="I934" s="44">
        <v>0</v>
      </c>
      <c r="J934" s="44">
        <v>0</v>
      </c>
      <c r="K934" s="44">
        <v>0</v>
      </c>
      <c r="L934" s="44">
        <v>0</v>
      </c>
      <c r="M934" s="44">
        <v>0</v>
      </c>
      <c r="N934" s="12">
        <f t="shared" si="146"/>
        <v>0</v>
      </c>
      <c r="O934" s="44">
        <v>0</v>
      </c>
      <c r="P934" s="13">
        <v>0</v>
      </c>
      <c r="Q934" s="13">
        <v>0</v>
      </c>
      <c r="R934" s="14">
        <f t="shared" si="147"/>
        <v>0</v>
      </c>
      <c r="S934" s="13">
        <f t="shared" si="150"/>
        <v>100</v>
      </c>
      <c r="T934" s="13">
        <f t="shared" si="151"/>
        <v>200</v>
      </c>
      <c r="U934" s="13" t="s">
        <v>4181</v>
      </c>
      <c r="V934" s="24" t="s">
        <v>1130</v>
      </c>
    </row>
    <row r="935" spans="1:23" ht="30" customHeight="1">
      <c r="A935" s="93">
        <v>18</v>
      </c>
      <c r="B935" s="13">
        <v>1707</v>
      </c>
      <c r="C935" s="9" t="s">
        <v>2197</v>
      </c>
      <c r="D935" s="9" t="s">
        <v>2198</v>
      </c>
      <c r="E935" s="71" t="s">
        <v>2154</v>
      </c>
      <c r="F935" s="44">
        <v>3000</v>
      </c>
      <c r="G935" s="44">
        <v>0</v>
      </c>
      <c r="H935" s="44">
        <v>0</v>
      </c>
      <c r="I935" s="44">
        <v>0</v>
      </c>
      <c r="J935" s="44">
        <v>0</v>
      </c>
      <c r="K935" s="44">
        <v>0</v>
      </c>
      <c r="L935" s="44">
        <v>0</v>
      </c>
      <c r="M935" s="44">
        <v>0</v>
      </c>
      <c r="N935" s="12">
        <f t="shared" si="146"/>
        <v>0</v>
      </c>
      <c r="O935" s="44">
        <v>0</v>
      </c>
      <c r="P935" s="13">
        <v>0</v>
      </c>
      <c r="Q935" s="13">
        <v>0</v>
      </c>
      <c r="R935" s="14">
        <f t="shared" si="147"/>
        <v>0</v>
      </c>
      <c r="S935" s="13">
        <f t="shared" si="150"/>
        <v>100</v>
      </c>
      <c r="T935" s="13">
        <f t="shared" si="151"/>
        <v>200</v>
      </c>
      <c r="U935" s="13" t="s">
        <v>4181</v>
      </c>
      <c r="V935" s="24" t="s">
        <v>2199</v>
      </c>
    </row>
    <row r="936" spans="1:23" ht="30" customHeight="1">
      <c r="A936" s="13">
        <v>19</v>
      </c>
      <c r="B936" s="13">
        <v>1954</v>
      </c>
      <c r="C936" s="9" t="s">
        <v>2200</v>
      </c>
      <c r="D936" s="9" t="s">
        <v>362</v>
      </c>
      <c r="E936" s="71" t="s">
        <v>2154</v>
      </c>
      <c r="F936" s="44">
        <v>3000</v>
      </c>
      <c r="G936" s="44">
        <v>0</v>
      </c>
      <c r="H936" s="44">
        <v>0</v>
      </c>
      <c r="I936" s="44">
        <v>0</v>
      </c>
      <c r="J936" s="44">
        <v>0</v>
      </c>
      <c r="K936" s="44">
        <v>0</v>
      </c>
      <c r="L936" s="44">
        <v>3000</v>
      </c>
      <c r="M936" s="44">
        <v>3000</v>
      </c>
      <c r="N936" s="12">
        <f t="shared" si="146"/>
        <v>6000</v>
      </c>
      <c r="O936" s="44">
        <v>3000</v>
      </c>
      <c r="P936" s="13">
        <v>0</v>
      </c>
      <c r="Q936" s="13">
        <v>5000</v>
      </c>
      <c r="R936" s="14">
        <f t="shared" si="147"/>
        <v>14000</v>
      </c>
      <c r="S936" s="13">
        <f t="shared" si="150"/>
        <v>14100</v>
      </c>
      <c r="T936" s="13">
        <f t="shared" si="151"/>
        <v>14200</v>
      </c>
      <c r="U936" s="13" t="s">
        <v>4181</v>
      </c>
      <c r="V936" s="85" t="s">
        <v>364</v>
      </c>
    </row>
    <row r="937" spans="1:23" ht="30" customHeight="1">
      <c r="A937" s="93">
        <v>20</v>
      </c>
      <c r="B937" s="13">
        <v>1991</v>
      </c>
      <c r="C937" s="9" t="s">
        <v>2201</v>
      </c>
      <c r="D937" s="9" t="s">
        <v>591</v>
      </c>
      <c r="E937" s="71" t="s">
        <v>2154</v>
      </c>
      <c r="F937" s="44">
        <v>3000</v>
      </c>
      <c r="G937" s="44">
        <v>0</v>
      </c>
      <c r="H937" s="44">
        <v>0</v>
      </c>
      <c r="I937" s="44">
        <v>0</v>
      </c>
      <c r="J937" s="44">
        <v>0</v>
      </c>
      <c r="K937" s="44">
        <v>0</v>
      </c>
      <c r="L937" s="44">
        <v>0</v>
      </c>
      <c r="M937" s="44">
        <v>0</v>
      </c>
      <c r="N937" s="12">
        <f t="shared" si="146"/>
        <v>0</v>
      </c>
      <c r="O937" s="44">
        <v>3000</v>
      </c>
      <c r="P937" s="13">
        <v>0</v>
      </c>
      <c r="Q937" s="13">
        <v>0</v>
      </c>
      <c r="R937" s="14">
        <f t="shared" si="147"/>
        <v>3000</v>
      </c>
      <c r="S937" s="13">
        <f t="shared" si="150"/>
        <v>3100</v>
      </c>
      <c r="T937" s="13">
        <f t="shared" si="151"/>
        <v>3200</v>
      </c>
      <c r="U937" s="13" t="s">
        <v>4181</v>
      </c>
      <c r="V937" s="24" t="s">
        <v>592</v>
      </c>
      <c r="W937" t="s">
        <v>2202</v>
      </c>
    </row>
    <row r="938" spans="1:23" ht="30" customHeight="1">
      <c r="A938" s="13">
        <v>21</v>
      </c>
      <c r="B938" s="13">
        <v>2046</v>
      </c>
      <c r="C938" s="9" t="s">
        <v>935</v>
      </c>
      <c r="D938" s="9" t="s">
        <v>1697</v>
      </c>
      <c r="E938" s="71" t="s">
        <v>2154</v>
      </c>
      <c r="F938" s="44">
        <v>1500</v>
      </c>
      <c r="G938" s="44">
        <v>0</v>
      </c>
      <c r="H938" s="44">
        <v>0</v>
      </c>
      <c r="I938" s="44">
        <v>0</v>
      </c>
      <c r="J938" s="44">
        <v>0</v>
      </c>
      <c r="K938" s="44">
        <v>0</v>
      </c>
      <c r="L938" s="44">
        <v>0</v>
      </c>
      <c r="M938" s="44">
        <v>0</v>
      </c>
      <c r="N938" s="12">
        <f t="shared" si="146"/>
        <v>0</v>
      </c>
      <c r="O938" s="44">
        <v>0</v>
      </c>
      <c r="P938" s="13">
        <v>0</v>
      </c>
      <c r="Q938" s="13">
        <v>0</v>
      </c>
      <c r="R938" s="14">
        <f t="shared" si="147"/>
        <v>0</v>
      </c>
      <c r="S938" s="13">
        <f t="shared" si="150"/>
        <v>100</v>
      </c>
      <c r="T938" s="13">
        <f t="shared" si="151"/>
        <v>200</v>
      </c>
      <c r="U938" s="13" t="s">
        <v>4181</v>
      </c>
      <c r="V938" s="24" t="s">
        <v>2203</v>
      </c>
    </row>
    <row r="939" spans="1:23" ht="30" customHeight="1">
      <c r="A939" s="93">
        <v>22</v>
      </c>
      <c r="B939" s="13">
        <v>4684</v>
      </c>
      <c r="C939" s="9" t="s">
        <v>2204</v>
      </c>
      <c r="D939" s="9" t="s">
        <v>2205</v>
      </c>
      <c r="E939" s="71" t="s">
        <v>2154</v>
      </c>
      <c r="F939" s="44">
        <v>3000</v>
      </c>
      <c r="G939" s="44">
        <v>0</v>
      </c>
      <c r="H939" s="44">
        <v>0</v>
      </c>
      <c r="I939" s="44">
        <v>0</v>
      </c>
      <c r="J939" s="44">
        <v>0</v>
      </c>
      <c r="K939" s="44">
        <v>0</v>
      </c>
      <c r="L939" s="44">
        <v>0</v>
      </c>
      <c r="M939" s="44">
        <v>0</v>
      </c>
      <c r="N939" s="12">
        <f t="shared" si="146"/>
        <v>0</v>
      </c>
      <c r="O939" s="44">
        <v>0</v>
      </c>
      <c r="P939" s="13">
        <v>0</v>
      </c>
      <c r="Q939" s="13">
        <v>2000</v>
      </c>
      <c r="R939" s="14">
        <f t="shared" si="147"/>
        <v>2000</v>
      </c>
      <c r="S939" s="13">
        <f t="shared" si="150"/>
        <v>2100</v>
      </c>
      <c r="T939" s="13">
        <f t="shared" si="151"/>
        <v>2200</v>
      </c>
      <c r="U939" s="13" t="s">
        <v>4181</v>
      </c>
      <c r="V939" s="23" t="s">
        <v>2206</v>
      </c>
    </row>
    <row r="940" spans="1:23" ht="30" customHeight="1">
      <c r="A940" s="13">
        <v>23</v>
      </c>
      <c r="B940" s="13">
        <v>4685</v>
      </c>
      <c r="C940" s="9" t="s">
        <v>2207</v>
      </c>
      <c r="D940" s="9" t="s">
        <v>2036</v>
      </c>
      <c r="E940" s="71" t="s">
        <v>2154</v>
      </c>
      <c r="F940" s="44">
        <v>3000</v>
      </c>
      <c r="G940" s="44">
        <v>0</v>
      </c>
      <c r="H940" s="44">
        <v>0</v>
      </c>
      <c r="I940" s="44">
        <v>0</v>
      </c>
      <c r="J940" s="44">
        <v>0</v>
      </c>
      <c r="K940" s="44">
        <v>0</v>
      </c>
      <c r="L940" s="44">
        <v>0</v>
      </c>
      <c r="M940" s="44">
        <v>0</v>
      </c>
      <c r="N940" s="12">
        <f t="shared" si="146"/>
        <v>0</v>
      </c>
      <c r="O940" s="44">
        <v>0</v>
      </c>
      <c r="P940" s="13">
        <v>0</v>
      </c>
      <c r="Q940" s="13">
        <v>0</v>
      </c>
      <c r="R940" s="14">
        <f t="shared" si="147"/>
        <v>0</v>
      </c>
      <c r="S940" s="13">
        <f t="shared" si="150"/>
        <v>100</v>
      </c>
      <c r="T940" s="13">
        <f t="shared" si="151"/>
        <v>200</v>
      </c>
      <c r="U940" s="13" t="s">
        <v>4181</v>
      </c>
      <c r="V940" s="23" t="s">
        <v>2208</v>
      </c>
    </row>
    <row r="941" spans="1:23" ht="30" customHeight="1">
      <c r="A941" s="93">
        <v>24</v>
      </c>
      <c r="B941" s="13">
        <v>4687</v>
      </c>
      <c r="C941" s="9" t="s">
        <v>2209</v>
      </c>
      <c r="D941" s="9" t="s">
        <v>2210</v>
      </c>
      <c r="E941" s="71" t="s">
        <v>2154</v>
      </c>
      <c r="F941" s="44">
        <v>2600</v>
      </c>
      <c r="G941" s="44">
        <v>0</v>
      </c>
      <c r="H941" s="44">
        <v>0</v>
      </c>
      <c r="I941" s="44">
        <v>0</v>
      </c>
      <c r="J941" s="44">
        <v>0</v>
      </c>
      <c r="K941" s="44">
        <v>0</v>
      </c>
      <c r="L941" s="44">
        <v>0</v>
      </c>
      <c r="M941" s="44">
        <v>0</v>
      </c>
      <c r="N941" s="12">
        <f t="shared" si="146"/>
        <v>0</v>
      </c>
      <c r="O941" s="44">
        <v>0</v>
      </c>
      <c r="P941" s="13">
        <v>0</v>
      </c>
      <c r="Q941" s="13">
        <v>0</v>
      </c>
      <c r="R941" s="14">
        <f t="shared" si="147"/>
        <v>0</v>
      </c>
      <c r="S941" s="13">
        <f t="shared" si="150"/>
        <v>100</v>
      </c>
      <c r="T941" s="13">
        <f t="shared" si="151"/>
        <v>200</v>
      </c>
      <c r="U941" s="13" t="s">
        <v>4181</v>
      </c>
      <c r="V941" s="23" t="s">
        <v>2211</v>
      </c>
    </row>
    <row r="942" spans="1:23" ht="30" customHeight="1">
      <c r="A942" s="13">
        <v>25</v>
      </c>
      <c r="B942" s="13">
        <v>4694</v>
      </c>
      <c r="C942" s="9" t="s">
        <v>2212</v>
      </c>
      <c r="D942" s="9" t="s">
        <v>1844</v>
      </c>
      <c r="E942" s="71" t="s">
        <v>2154</v>
      </c>
      <c r="F942" s="44">
        <v>2000</v>
      </c>
      <c r="G942" s="44">
        <v>0</v>
      </c>
      <c r="H942" s="44">
        <v>0</v>
      </c>
      <c r="I942" s="44">
        <v>0</v>
      </c>
      <c r="J942" s="44">
        <v>0</v>
      </c>
      <c r="K942" s="44">
        <v>0</v>
      </c>
      <c r="L942" s="44">
        <v>0</v>
      </c>
      <c r="M942" s="44">
        <v>0</v>
      </c>
      <c r="N942" s="12">
        <f t="shared" si="146"/>
        <v>0</v>
      </c>
      <c r="O942" s="44">
        <v>2000</v>
      </c>
      <c r="P942" s="13">
        <v>0</v>
      </c>
      <c r="Q942" s="13">
        <v>3000</v>
      </c>
      <c r="R942" s="14">
        <f t="shared" si="147"/>
        <v>5000</v>
      </c>
      <c r="S942" s="13">
        <f t="shared" si="150"/>
        <v>5100</v>
      </c>
      <c r="T942" s="13">
        <f t="shared" si="151"/>
        <v>5200</v>
      </c>
      <c r="U942" s="13" t="s">
        <v>4181</v>
      </c>
      <c r="V942" s="102" t="s">
        <v>2213</v>
      </c>
    </row>
    <row r="943" spans="1:23" ht="30" customHeight="1">
      <c r="A943" s="93">
        <v>26</v>
      </c>
      <c r="B943" s="13">
        <v>4723</v>
      </c>
      <c r="C943" s="9" t="s">
        <v>146</v>
      </c>
      <c r="D943" s="9" t="s">
        <v>1622</v>
      </c>
      <c r="E943" s="71" t="s">
        <v>2154</v>
      </c>
      <c r="F943" s="44">
        <v>3000</v>
      </c>
      <c r="G943" s="44">
        <v>0</v>
      </c>
      <c r="H943" s="44">
        <v>0</v>
      </c>
      <c r="I943" s="44">
        <v>0</v>
      </c>
      <c r="J943" s="44">
        <v>0</v>
      </c>
      <c r="K943" s="44">
        <v>0</v>
      </c>
      <c r="L943" s="44">
        <v>0</v>
      </c>
      <c r="M943" s="44">
        <v>0</v>
      </c>
      <c r="N943" s="12">
        <f t="shared" si="146"/>
        <v>0</v>
      </c>
      <c r="O943" s="44">
        <v>0</v>
      </c>
      <c r="P943" s="13">
        <v>0</v>
      </c>
      <c r="Q943" s="13">
        <v>0</v>
      </c>
      <c r="R943" s="14">
        <f t="shared" si="147"/>
        <v>0</v>
      </c>
      <c r="S943" s="13">
        <f t="shared" si="150"/>
        <v>100</v>
      </c>
      <c r="T943" s="13">
        <f t="shared" si="151"/>
        <v>200</v>
      </c>
      <c r="U943" s="13" t="s">
        <v>4181</v>
      </c>
      <c r="V943" s="23" t="s">
        <v>1623</v>
      </c>
      <c r="W943" t="s">
        <v>4170</v>
      </c>
    </row>
    <row r="944" spans="1:23" ht="30" customHeight="1">
      <c r="A944" s="13">
        <v>27</v>
      </c>
      <c r="B944" s="13">
        <v>4812</v>
      </c>
      <c r="C944" s="9" t="s">
        <v>2214</v>
      </c>
      <c r="D944" s="9" t="s">
        <v>2215</v>
      </c>
      <c r="E944" s="71" t="s">
        <v>2154</v>
      </c>
      <c r="F944" s="44">
        <v>2000</v>
      </c>
      <c r="G944" s="44">
        <v>0</v>
      </c>
      <c r="H944" s="44">
        <v>0</v>
      </c>
      <c r="I944" s="44">
        <v>0</v>
      </c>
      <c r="J944" s="44">
        <v>0</v>
      </c>
      <c r="K944" s="44">
        <v>0</v>
      </c>
      <c r="L944" s="44">
        <v>0</v>
      </c>
      <c r="M944" s="44">
        <v>0</v>
      </c>
      <c r="N944" s="12">
        <f t="shared" si="146"/>
        <v>0</v>
      </c>
      <c r="O944" s="44">
        <v>0</v>
      </c>
      <c r="P944" s="13">
        <v>0</v>
      </c>
      <c r="Q944" s="13">
        <v>3000</v>
      </c>
      <c r="R944" s="14">
        <f t="shared" si="147"/>
        <v>3000</v>
      </c>
      <c r="S944" s="13">
        <f t="shared" si="150"/>
        <v>3100</v>
      </c>
      <c r="T944" s="13">
        <f t="shared" si="151"/>
        <v>3200</v>
      </c>
      <c r="U944" s="13" t="s">
        <v>4181</v>
      </c>
      <c r="V944" s="23"/>
    </row>
    <row r="945" spans="1:23" ht="30" customHeight="1">
      <c r="A945" s="93">
        <v>28</v>
      </c>
      <c r="B945" s="13">
        <v>4906</v>
      </c>
      <c r="C945" s="63" t="s">
        <v>2216</v>
      </c>
      <c r="D945" s="63" t="s">
        <v>2217</v>
      </c>
      <c r="E945" s="71" t="s">
        <v>2154</v>
      </c>
      <c r="F945" s="44">
        <v>3000</v>
      </c>
      <c r="G945" s="44">
        <v>0</v>
      </c>
      <c r="H945" s="44">
        <v>0</v>
      </c>
      <c r="I945" s="44">
        <v>0</v>
      </c>
      <c r="J945" s="44">
        <v>0</v>
      </c>
      <c r="K945" s="44">
        <v>0</v>
      </c>
      <c r="L945" s="44">
        <v>0</v>
      </c>
      <c r="M945" s="44">
        <v>0</v>
      </c>
      <c r="N945" s="12">
        <f t="shared" si="146"/>
        <v>0</v>
      </c>
      <c r="O945" s="44">
        <v>0</v>
      </c>
      <c r="P945" s="60">
        <v>0</v>
      </c>
      <c r="Q945" s="13">
        <v>3000</v>
      </c>
      <c r="R945" s="14">
        <f t="shared" si="147"/>
        <v>3000</v>
      </c>
      <c r="S945" s="13">
        <f t="shared" si="150"/>
        <v>3100</v>
      </c>
      <c r="T945" s="13">
        <f t="shared" si="151"/>
        <v>3200</v>
      </c>
      <c r="U945" s="13" t="s">
        <v>4181</v>
      </c>
      <c r="V945" s="29" t="s">
        <v>2218</v>
      </c>
      <c r="W945" t="s">
        <v>2112</v>
      </c>
    </row>
    <row r="946" spans="1:23" ht="30" customHeight="1">
      <c r="A946" s="13">
        <v>29</v>
      </c>
      <c r="B946" s="13">
        <v>6061</v>
      </c>
      <c r="C946" s="9" t="s">
        <v>2219</v>
      </c>
      <c r="D946" s="9" t="s">
        <v>2220</v>
      </c>
      <c r="E946" s="71" t="s">
        <v>2154</v>
      </c>
      <c r="F946" s="44">
        <v>3000</v>
      </c>
      <c r="G946" s="44">
        <v>0</v>
      </c>
      <c r="H946" s="44">
        <v>0</v>
      </c>
      <c r="I946" s="44">
        <v>0</v>
      </c>
      <c r="J946" s="44">
        <v>0</v>
      </c>
      <c r="K946" s="44">
        <v>0</v>
      </c>
      <c r="L946" s="44">
        <v>0</v>
      </c>
      <c r="M946" s="44">
        <v>0</v>
      </c>
      <c r="N946" s="12">
        <f t="shared" si="146"/>
        <v>0</v>
      </c>
      <c r="O946" s="44">
        <v>0</v>
      </c>
      <c r="P946" s="13">
        <v>0</v>
      </c>
      <c r="Q946" s="13">
        <v>4000</v>
      </c>
      <c r="R946" s="14">
        <f t="shared" si="147"/>
        <v>4000</v>
      </c>
      <c r="S946" s="13">
        <f t="shared" si="150"/>
        <v>4100</v>
      </c>
      <c r="T946" s="13">
        <f t="shared" si="151"/>
        <v>4200</v>
      </c>
      <c r="U946" s="13" t="s">
        <v>4181</v>
      </c>
      <c r="V946" s="23" t="s">
        <v>2221</v>
      </c>
    </row>
    <row r="947" spans="1:23" ht="30" customHeight="1">
      <c r="A947" s="93">
        <v>30</v>
      </c>
      <c r="B947" s="13">
        <v>6181</v>
      </c>
      <c r="C947" s="9" t="s">
        <v>433</v>
      </c>
      <c r="D947" s="9" t="s">
        <v>2222</v>
      </c>
      <c r="E947" s="71" t="s">
        <v>2154</v>
      </c>
      <c r="F947" s="44">
        <v>2500</v>
      </c>
      <c r="G947" s="44">
        <v>0</v>
      </c>
      <c r="H947" s="44">
        <v>0</v>
      </c>
      <c r="I947" s="44">
        <v>0</v>
      </c>
      <c r="J947" s="44">
        <v>0</v>
      </c>
      <c r="K947" s="44">
        <v>0</v>
      </c>
      <c r="L947" s="44">
        <v>0</v>
      </c>
      <c r="M947" s="44">
        <v>0</v>
      </c>
      <c r="N947" s="12">
        <f t="shared" si="146"/>
        <v>0</v>
      </c>
      <c r="O947" s="44">
        <v>0</v>
      </c>
      <c r="P947" s="13">
        <v>0</v>
      </c>
      <c r="Q947" s="13">
        <v>0</v>
      </c>
      <c r="R947" s="14">
        <f t="shared" si="147"/>
        <v>0</v>
      </c>
      <c r="S947" s="13">
        <f t="shared" si="150"/>
        <v>100</v>
      </c>
      <c r="T947" s="13">
        <f t="shared" si="151"/>
        <v>200</v>
      </c>
      <c r="U947" s="13" t="s">
        <v>4181</v>
      </c>
      <c r="V947" s="23" t="s">
        <v>2223</v>
      </c>
    </row>
    <row r="948" spans="1:23" ht="30" customHeight="1">
      <c r="A948" s="13">
        <v>31</v>
      </c>
      <c r="B948" s="13">
        <v>6203</v>
      </c>
      <c r="C948" s="63" t="s">
        <v>2224</v>
      </c>
      <c r="D948" s="63" t="s">
        <v>2225</v>
      </c>
      <c r="E948" s="71" t="s">
        <v>2154</v>
      </c>
      <c r="F948" s="44">
        <v>3000</v>
      </c>
      <c r="G948" s="44">
        <v>0</v>
      </c>
      <c r="H948" s="44">
        <v>0</v>
      </c>
      <c r="I948" s="44">
        <v>0</v>
      </c>
      <c r="J948" s="44">
        <v>0</v>
      </c>
      <c r="K948" s="44">
        <v>0</v>
      </c>
      <c r="L948" s="44">
        <v>0</v>
      </c>
      <c r="M948" s="44">
        <v>0</v>
      </c>
      <c r="N948" s="12">
        <f t="shared" si="146"/>
        <v>0</v>
      </c>
      <c r="O948" s="44">
        <v>0</v>
      </c>
      <c r="P948" s="60">
        <v>0</v>
      </c>
      <c r="Q948" s="13">
        <v>0</v>
      </c>
      <c r="R948" s="14">
        <f t="shared" si="147"/>
        <v>0</v>
      </c>
      <c r="S948" s="13">
        <f t="shared" si="150"/>
        <v>100</v>
      </c>
      <c r="T948" s="13">
        <f t="shared" si="151"/>
        <v>200</v>
      </c>
      <c r="U948" s="13" t="s">
        <v>4181</v>
      </c>
      <c r="V948" s="29" t="s">
        <v>2226</v>
      </c>
    </row>
    <row r="949" spans="1:23" ht="30" customHeight="1">
      <c r="A949" s="93">
        <v>32</v>
      </c>
      <c r="B949" s="13">
        <v>6251</v>
      </c>
      <c r="C949" s="9" t="s">
        <v>2227</v>
      </c>
      <c r="D949" s="9" t="s">
        <v>1526</v>
      </c>
      <c r="E949" s="71" t="s">
        <v>2154</v>
      </c>
      <c r="F949" s="44">
        <v>3000</v>
      </c>
      <c r="G949" s="44">
        <v>0</v>
      </c>
      <c r="H949" s="44">
        <v>0</v>
      </c>
      <c r="I949" s="44">
        <v>0</v>
      </c>
      <c r="J949" s="44">
        <v>0</v>
      </c>
      <c r="K949" s="44">
        <v>0</v>
      </c>
      <c r="L949" s="44">
        <v>0</v>
      </c>
      <c r="M949" s="44">
        <v>0</v>
      </c>
      <c r="N949" s="12">
        <f t="shared" si="146"/>
        <v>0</v>
      </c>
      <c r="O949" s="44">
        <v>0</v>
      </c>
      <c r="P949" s="13">
        <v>0</v>
      </c>
      <c r="Q949" s="13">
        <v>0</v>
      </c>
      <c r="R949" s="14">
        <f t="shared" si="147"/>
        <v>0</v>
      </c>
      <c r="S949" s="13">
        <f t="shared" si="150"/>
        <v>100</v>
      </c>
      <c r="T949" s="13">
        <f t="shared" si="151"/>
        <v>200</v>
      </c>
      <c r="U949" s="13" t="s">
        <v>4181</v>
      </c>
      <c r="V949" s="23" t="s">
        <v>1527</v>
      </c>
    </row>
    <row r="950" spans="1:23" ht="30" customHeight="1">
      <c r="A950" s="13">
        <v>33</v>
      </c>
      <c r="B950" s="13">
        <v>6285</v>
      </c>
      <c r="C950" s="9" t="s">
        <v>2228</v>
      </c>
      <c r="D950" s="9" t="s">
        <v>2229</v>
      </c>
      <c r="E950" s="71" t="s">
        <v>2154</v>
      </c>
      <c r="F950" s="44">
        <v>2800</v>
      </c>
      <c r="G950" s="44">
        <v>0</v>
      </c>
      <c r="H950" s="44">
        <v>0</v>
      </c>
      <c r="I950" s="44">
        <v>0</v>
      </c>
      <c r="J950" s="44">
        <v>0</v>
      </c>
      <c r="K950" s="44">
        <v>0</v>
      </c>
      <c r="L950" s="44">
        <v>0</v>
      </c>
      <c r="M950" s="44">
        <v>0</v>
      </c>
      <c r="N950" s="12">
        <f t="shared" ref="N950:N1013" si="152">(SUM(G950:M950))</f>
        <v>0</v>
      </c>
      <c r="O950" s="44">
        <v>0</v>
      </c>
      <c r="P950" s="13">
        <v>0</v>
      </c>
      <c r="Q950" s="13">
        <v>0</v>
      </c>
      <c r="R950" s="14">
        <f t="shared" ref="R950:R1013" si="153">(SUM(N950:Q950))</f>
        <v>0</v>
      </c>
      <c r="S950" s="13">
        <f t="shared" ref="S950:S975" si="154">R950+100</f>
        <v>100</v>
      </c>
      <c r="T950" s="13">
        <f t="shared" ref="T950:T975" si="155">R950+200</f>
        <v>200</v>
      </c>
      <c r="U950" s="13" t="s">
        <v>4181</v>
      </c>
      <c r="V950" s="23" t="s">
        <v>2230</v>
      </c>
    </row>
    <row r="951" spans="1:23" ht="30" customHeight="1">
      <c r="A951" s="93">
        <v>34</v>
      </c>
      <c r="B951" s="13">
        <v>6342</v>
      </c>
      <c r="C951" s="9" t="s">
        <v>1253</v>
      </c>
      <c r="D951" s="9" t="s">
        <v>1739</v>
      </c>
      <c r="E951" s="71" t="s">
        <v>2154</v>
      </c>
      <c r="F951" s="44">
        <v>2700</v>
      </c>
      <c r="G951" s="44">
        <v>0</v>
      </c>
      <c r="H951" s="44">
        <v>0</v>
      </c>
      <c r="I951" s="44">
        <v>0</v>
      </c>
      <c r="J951" s="44">
        <v>0</v>
      </c>
      <c r="K951" s="44">
        <v>0</v>
      </c>
      <c r="L951" s="44">
        <v>0</v>
      </c>
      <c r="M951" s="44">
        <v>0</v>
      </c>
      <c r="N951" s="12">
        <f t="shared" si="152"/>
        <v>0</v>
      </c>
      <c r="O951" s="44">
        <v>0</v>
      </c>
      <c r="P951" s="13">
        <v>0</v>
      </c>
      <c r="Q951" s="13">
        <v>0</v>
      </c>
      <c r="R951" s="14">
        <f t="shared" si="153"/>
        <v>0</v>
      </c>
      <c r="S951" s="13">
        <f t="shared" si="154"/>
        <v>100</v>
      </c>
      <c r="T951" s="13">
        <f t="shared" si="155"/>
        <v>200</v>
      </c>
      <c r="U951" s="13" t="s">
        <v>4181</v>
      </c>
      <c r="V951" s="23" t="s">
        <v>1740</v>
      </c>
    </row>
    <row r="952" spans="1:23" ht="30" customHeight="1">
      <c r="A952" s="13">
        <v>35</v>
      </c>
      <c r="B952" s="13">
        <v>6401</v>
      </c>
      <c r="C952" s="9" t="s">
        <v>2232</v>
      </c>
      <c r="D952" s="9" t="s">
        <v>2233</v>
      </c>
      <c r="E952" s="71" t="s">
        <v>2154</v>
      </c>
      <c r="F952" s="44">
        <v>3000</v>
      </c>
      <c r="G952" s="44">
        <v>0</v>
      </c>
      <c r="H952" s="44">
        <v>0</v>
      </c>
      <c r="I952" s="44">
        <v>0</v>
      </c>
      <c r="J952" s="44">
        <v>0</v>
      </c>
      <c r="K952" s="44">
        <v>0</v>
      </c>
      <c r="L952" s="44">
        <v>0</v>
      </c>
      <c r="M952" s="44">
        <v>0</v>
      </c>
      <c r="N952" s="12">
        <f t="shared" si="152"/>
        <v>0</v>
      </c>
      <c r="O952" s="44">
        <v>0</v>
      </c>
      <c r="P952" s="13">
        <v>0</v>
      </c>
      <c r="Q952" s="13">
        <v>0</v>
      </c>
      <c r="R952" s="14">
        <f t="shared" si="153"/>
        <v>0</v>
      </c>
      <c r="S952" s="13">
        <f t="shared" si="154"/>
        <v>100</v>
      </c>
      <c r="T952" s="13">
        <f t="shared" si="155"/>
        <v>200</v>
      </c>
      <c r="U952" s="13" t="s">
        <v>4181</v>
      </c>
      <c r="V952" s="23" t="s">
        <v>1967</v>
      </c>
    </row>
    <row r="953" spans="1:23" ht="30" customHeight="1">
      <c r="A953" s="93">
        <v>36</v>
      </c>
      <c r="B953" s="13">
        <v>6402</v>
      </c>
      <c r="C953" s="9" t="s">
        <v>1032</v>
      </c>
      <c r="D953" s="9" t="s">
        <v>2234</v>
      </c>
      <c r="E953" s="71" t="s">
        <v>2154</v>
      </c>
      <c r="F953" s="44">
        <v>2800</v>
      </c>
      <c r="G953" s="44">
        <v>0</v>
      </c>
      <c r="H953" s="44">
        <v>0</v>
      </c>
      <c r="I953" s="44">
        <v>0</v>
      </c>
      <c r="J953" s="44">
        <v>0</v>
      </c>
      <c r="K953" s="44">
        <v>0</v>
      </c>
      <c r="L953" s="44">
        <v>0</v>
      </c>
      <c r="M953" s="44">
        <v>0</v>
      </c>
      <c r="N953" s="12">
        <f t="shared" si="152"/>
        <v>0</v>
      </c>
      <c r="O953" s="44">
        <v>1800</v>
      </c>
      <c r="P953" s="13">
        <v>0</v>
      </c>
      <c r="Q953" s="13">
        <v>0</v>
      </c>
      <c r="R953" s="14">
        <f t="shared" si="153"/>
        <v>1800</v>
      </c>
      <c r="S953" s="13">
        <f t="shared" si="154"/>
        <v>1900</v>
      </c>
      <c r="T953" s="13">
        <f t="shared" si="155"/>
        <v>2000</v>
      </c>
      <c r="U953" s="13" t="s">
        <v>4181</v>
      </c>
      <c r="V953" s="23" t="s">
        <v>2235</v>
      </c>
    </row>
    <row r="954" spans="1:23" ht="30" customHeight="1">
      <c r="A954" s="13">
        <v>37</v>
      </c>
      <c r="B954" s="13">
        <v>6404</v>
      </c>
      <c r="C954" s="9" t="s">
        <v>433</v>
      </c>
      <c r="D954" s="9" t="s">
        <v>2236</v>
      </c>
      <c r="E954" s="71" t="s">
        <v>2154</v>
      </c>
      <c r="F954" s="44">
        <v>3000</v>
      </c>
      <c r="G954" s="44">
        <v>0</v>
      </c>
      <c r="H954" s="44">
        <v>0</v>
      </c>
      <c r="I954" s="44">
        <v>0</v>
      </c>
      <c r="J954" s="44">
        <v>0</v>
      </c>
      <c r="K954" s="44">
        <v>0</v>
      </c>
      <c r="L954" s="44">
        <v>0</v>
      </c>
      <c r="M954" s="44">
        <v>0</v>
      </c>
      <c r="N954" s="12">
        <f t="shared" si="152"/>
        <v>0</v>
      </c>
      <c r="O954" s="44">
        <v>3000</v>
      </c>
      <c r="P954" s="13">
        <v>0</v>
      </c>
      <c r="Q954" s="13">
        <v>5000</v>
      </c>
      <c r="R954" s="14">
        <f t="shared" si="153"/>
        <v>8000</v>
      </c>
      <c r="S954" s="13">
        <f t="shared" si="154"/>
        <v>8100</v>
      </c>
      <c r="T954" s="13">
        <f t="shared" si="155"/>
        <v>8200</v>
      </c>
      <c r="U954" s="13" t="s">
        <v>4181</v>
      </c>
      <c r="V954" s="23" t="s">
        <v>2237</v>
      </c>
    </row>
    <row r="955" spans="1:23" ht="30" customHeight="1">
      <c r="A955" s="93">
        <v>38</v>
      </c>
      <c r="B955" s="13">
        <v>6418</v>
      </c>
      <c r="C955" s="9" t="s">
        <v>2238</v>
      </c>
      <c r="D955" s="9" t="s">
        <v>2239</v>
      </c>
      <c r="E955" s="71" t="s">
        <v>2154</v>
      </c>
      <c r="F955" s="44">
        <v>2200</v>
      </c>
      <c r="G955" s="44">
        <v>0</v>
      </c>
      <c r="H955" s="44">
        <v>0</v>
      </c>
      <c r="I955" s="44">
        <v>0</v>
      </c>
      <c r="J955" s="44">
        <v>0</v>
      </c>
      <c r="K955" s="44">
        <v>0</v>
      </c>
      <c r="L955" s="44">
        <v>0</v>
      </c>
      <c r="M955" s="44">
        <v>0</v>
      </c>
      <c r="N955" s="12">
        <f t="shared" si="152"/>
        <v>0</v>
      </c>
      <c r="O955" s="44">
        <v>0</v>
      </c>
      <c r="P955" s="13">
        <v>0</v>
      </c>
      <c r="Q955" s="13">
        <v>3000</v>
      </c>
      <c r="R955" s="14">
        <f t="shared" si="153"/>
        <v>3000</v>
      </c>
      <c r="S955" s="13">
        <f t="shared" si="154"/>
        <v>3100</v>
      </c>
      <c r="T955" s="13">
        <f t="shared" si="155"/>
        <v>3200</v>
      </c>
      <c r="U955" s="13" t="s">
        <v>4181</v>
      </c>
      <c r="V955" s="23" t="s">
        <v>2240</v>
      </c>
    </row>
    <row r="956" spans="1:23" ht="30" customHeight="1">
      <c r="A956" s="13">
        <v>39</v>
      </c>
      <c r="B956" s="13">
        <v>6457</v>
      </c>
      <c r="C956" s="9" t="s">
        <v>2241</v>
      </c>
      <c r="D956" s="9" t="s">
        <v>553</v>
      </c>
      <c r="E956" s="71" t="s">
        <v>2154</v>
      </c>
      <c r="F956" s="44">
        <v>3000</v>
      </c>
      <c r="G956" s="44">
        <v>0</v>
      </c>
      <c r="H956" s="44">
        <v>0</v>
      </c>
      <c r="I956" s="44">
        <v>0</v>
      </c>
      <c r="J956" s="44">
        <v>0</v>
      </c>
      <c r="K956" s="44">
        <v>0</v>
      </c>
      <c r="L956" s="44">
        <v>0</v>
      </c>
      <c r="M956" s="44">
        <v>0</v>
      </c>
      <c r="N956" s="12">
        <f t="shared" si="152"/>
        <v>0</v>
      </c>
      <c r="O956" s="44">
        <v>0</v>
      </c>
      <c r="P956" s="13">
        <v>0</v>
      </c>
      <c r="Q956" s="13">
        <v>0</v>
      </c>
      <c r="R956" s="14">
        <f t="shared" si="153"/>
        <v>0</v>
      </c>
      <c r="S956" s="13">
        <f t="shared" si="154"/>
        <v>100</v>
      </c>
      <c r="T956" s="13">
        <f t="shared" si="155"/>
        <v>200</v>
      </c>
      <c r="U956" s="13" t="s">
        <v>4181</v>
      </c>
      <c r="V956" s="23" t="s">
        <v>2242</v>
      </c>
    </row>
    <row r="957" spans="1:23" ht="30" customHeight="1">
      <c r="A957" s="93">
        <v>40</v>
      </c>
      <c r="B957" s="13">
        <v>6458</v>
      </c>
      <c r="C957" s="9" t="s">
        <v>2243</v>
      </c>
      <c r="D957" s="9" t="s">
        <v>1830</v>
      </c>
      <c r="E957" s="71" t="s">
        <v>2154</v>
      </c>
      <c r="F957" s="44">
        <v>2700</v>
      </c>
      <c r="G957" s="44">
        <v>0</v>
      </c>
      <c r="H957" s="44">
        <v>0</v>
      </c>
      <c r="I957" s="44">
        <v>0</v>
      </c>
      <c r="J957" s="44">
        <v>0</v>
      </c>
      <c r="K957" s="44">
        <v>0</v>
      </c>
      <c r="L957" s="44">
        <v>0</v>
      </c>
      <c r="M957" s="44">
        <v>0</v>
      </c>
      <c r="N957" s="12">
        <f t="shared" si="152"/>
        <v>0</v>
      </c>
      <c r="O957" s="44">
        <v>500</v>
      </c>
      <c r="P957" s="13">
        <v>0</v>
      </c>
      <c r="Q957" s="13">
        <v>0</v>
      </c>
      <c r="R957" s="14">
        <f t="shared" si="153"/>
        <v>500</v>
      </c>
      <c r="S957" s="13">
        <f t="shared" si="154"/>
        <v>600</v>
      </c>
      <c r="T957" s="13">
        <f t="shared" si="155"/>
        <v>700</v>
      </c>
      <c r="U957" s="13" t="s">
        <v>4181</v>
      </c>
      <c r="V957" s="23" t="s">
        <v>2244</v>
      </c>
    </row>
    <row r="958" spans="1:23" ht="30" customHeight="1">
      <c r="A958" s="13">
        <v>41</v>
      </c>
      <c r="B958" s="13">
        <v>6487</v>
      </c>
      <c r="C958" s="9" t="s">
        <v>2245</v>
      </c>
      <c r="D958" s="9" t="s">
        <v>313</v>
      </c>
      <c r="E958" s="71" t="s">
        <v>2154</v>
      </c>
      <c r="F958" s="44">
        <v>2800</v>
      </c>
      <c r="G958" s="44">
        <v>0</v>
      </c>
      <c r="H958" s="44">
        <v>0</v>
      </c>
      <c r="I958" s="44">
        <v>0</v>
      </c>
      <c r="J958" s="44">
        <v>0</v>
      </c>
      <c r="K958" s="44">
        <v>0</v>
      </c>
      <c r="L958" s="44">
        <v>0</v>
      </c>
      <c r="M958" s="44">
        <v>0</v>
      </c>
      <c r="N958" s="12">
        <f t="shared" si="152"/>
        <v>0</v>
      </c>
      <c r="O958" s="44">
        <v>0</v>
      </c>
      <c r="P958" s="13">
        <v>0</v>
      </c>
      <c r="Q958" s="13">
        <v>0</v>
      </c>
      <c r="R958" s="14">
        <f t="shared" si="153"/>
        <v>0</v>
      </c>
      <c r="S958" s="13">
        <f t="shared" si="154"/>
        <v>100</v>
      </c>
      <c r="T958" s="13">
        <f t="shared" si="155"/>
        <v>200</v>
      </c>
      <c r="U958" s="13" t="s">
        <v>4181</v>
      </c>
      <c r="V958" s="23" t="s">
        <v>2246</v>
      </c>
    </row>
    <row r="959" spans="1:23" ht="30" customHeight="1">
      <c r="A959" s="93">
        <v>42</v>
      </c>
      <c r="B959" s="13">
        <v>6682</v>
      </c>
      <c r="C959" s="9" t="s">
        <v>2247</v>
      </c>
      <c r="D959" s="9" t="s">
        <v>2248</v>
      </c>
      <c r="E959" s="71" t="s">
        <v>2154</v>
      </c>
      <c r="F959" s="44">
        <v>2800</v>
      </c>
      <c r="G959" s="44">
        <v>0</v>
      </c>
      <c r="H959" s="44">
        <v>0</v>
      </c>
      <c r="I959" s="44">
        <v>0</v>
      </c>
      <c r="J959" s="44">
        <v>0</v>
      </c>
      <c r="K959" s="44">
        <v>0</v>
      </c>
      <c r="L959" s="44">
        <v>0</v>
      </c>
      <c r="M959" s="44">
        <v>0</v>
      </c>
      <c r="N959" s="12">
        <f t="shared" si="152"/>
        <v>0</v>
      </c>
      <c r="O959" s="44">
        <v>2800</v>
      </c>
      <c r="P959" s="13">
        <v>0</v>
      </c>
      <c r="Q959" s="13">
        <v>0</v>
      </c>
      <c r="R959" s="14">
        <f t="shared" si="153"/>
        <v>2800</v>
      </c>
      <c r="S959" s="13">
        <f t="shared" si="154"/>
        <v>2900</v>
      </c>
      <c r="T959" s="13">
        <f t="shared" si="155"/>
        <v>3000</v>
      </c>
      <c r="U959" s="13" t="s">
        <v>4181</v>
      </c>
      <c r="V959" s="23" t="s">
        <v>2249</v>
      </c>
    </row>
    <row r="960" spans="1:23" ht="30" customHeight="1">
      <c r="A960" s="13">
        <v>43</v>
      </c>
      <c r="B960" s="13" t="s">
        <v>4048</v>
      </c>
      <c r="C960" s="9" t="s">
        <v>4049</v>
      </c>
      <c r="D960" s="9" t="s">
        <v>4050</v>
      </c>
      <c r="E960" s="71" t="s">
        <v>2154</v>
      </c>
      <c r="F960" s="44">
        <v>3000</v>
      </c>
      <c r="G960" s="44">
        <v>0</v>
      </c>
      <c r="H960" s="44">
        <v>0</v>
      </c>
      <c r="I960" s="44">
        <v>0</v>
      </c>
      <c r="J960" s="44">
        <v>0</v>
      </c>
      <c r="K960" s="44">
        <v>0</v>
      </c>
      <c r="L960" s="44">
        <v>0</v>
      </c>
      <c r="M960" s="44">
        <v>0</v>
      </c>
      <c r="N960" s="12">
        <f t="shared" si="152"/>
        <v>0</v>
      </c>
      <c r="O960" s="44">
        <v>0</v>
      </c>
      <c r="P960" s="13">
        <v>0</v>
      </c>
      <c r="Q960" s="13">
        <v>0</v>
      </c>
      <c r="R960" s="14">
        <f t="shared" si="153"/>
        <v>0</v>
      </c>
      <c r="S960" s="13">
        <f t="shared" si="154"/>
        <v>100</v>
      </c>
      <c r="T960" s="13">
        <f t="shared" si="155"/>
        <v>200</v>
      </c>
      <c r="U960" s="13" t="s">
        <v>4181</v>
      </c>
      <c r="V960" s="23" t="s">
        <v>4051</v>
      </c>
    </row>
    <row r="961" spans="1:23" ht="30" customHeight="1">
      <c r="A961" s="13">
        <v>1</v>
      </c>
      <c r="B961" s="93">
        <v>829</v>
      </c>
      <c r="C961" s="9" t="s">
        <v>2250</v>
      </c>
      <c r="D961" s="9" t="s">
        <v>621</v>
      </c>
      <c r="E961" s="71" t="s">
        <v>2251</v>
      </c>
      <c r="F961" s="13">
        <v>3000</v>
      </c>
      <c r="G961" s="13">
        <v>0</v>
      </c>
      <c r="H961" s="13">
        <v>0</v>
      </c>
      <c r="I961" s="13">
        <v>0</v>
      </c>
      <c r="J961" s="13">
        <v>0</v>
      </c>
      <c r="K961" s="13">
        <v>0</v>
      </c>
      <c r="L961" s="13">
        <v>0</v>
      </c>
      <c r="M961" s="13">
        <v>0</v>
      </c>
      <c r="N961" s="12">
        <f t="shared" si="152"/>
        <v>0</v>
      </c>
      <c r="O961" s="13">
        <v>0</v>
      </c>
      <c r="P961" s="13">
        <v>0</v>
      </c>
      <c r="Q961" s="13">
        <v>0</v>
      </c>
      <c r="R961" s="14">
        <f t="shared" si="153"/>
        <v>0</v>
      </c>
      <c r="S961" s="13">
        <f t="shared" si="154"/>
        <v>100</v>
      </c>
      <c r="T961" s="13">
        <f t="shared" si="155"/>
        <v>200</v>
      </c>
      <c r="U961" s="13" t="s">
        <v>4181</v>
      </c>
      <c r="V961" s="65" t="s">
        <v>2252</v>
      </c>
    </row>
    <row r="962" spans="1:23" ht="30" customHeight="1">
      <c r="A962" s="60">
        <v>2</v>
      </c>
      <c r="B962" s="93">
        <v>830</v>
      </c>
      <c r="C962" s="9" t="s">
        <v>2253</v>
      </c>
      <c r="D962" s="9" t="s">
        <v>1101</v>
      </c>
      <c r="E962" s="71" t="s">
        <v>2251</v>
      </c>
      <c r="F962" s="13">
        <v>3000</v>
      </c>
      <c r="G962" s="13">
        <v>0</v>
      </c>
      <c r="H962" s="13">
        <v>0</v>
      </c>
      <c r="I962" s="13">
        <v>0</v>
      </c>
      <c r="J962" s="13">
        <v>0</v>
      </c>
      <c r="K962" s="13">
        <v>0</v>
      </c>
      <c r="L962" s="13">
        <v>0</v>
      </c>
      <c r="M962" s="13">
        <v>0</v>
      </c>
      <c r="N962" s="12">
        <f t="shared" si="152"/>
        <v>0</v>
      </c>
      <c r="O962" s="13">
        <v>0</v>
      </c>
      <c r="P962" s="13">
        <v>0</v>
      </c>
      <c r="Q962" s="13">
        <v>0</v>
      </c>
      <c r="R962" s="14">
        <f t="shared" si="153"/>
        <v>0</v>
      </c>
      <c r="S962" s="13">
        <f t="shared" si="154"/>
        <v>100</v>
      </c>
      <c r="T962" s="13">
        <f t="shared" si="155"/>
        <v>200</v>
      </c>
      <c r="U962" s="13" t="s">
        <v>4181</v>
      </c>
      <c r="V962" s="65" t="s">
        <v>2254</v>
      </c>
      <c r="W962" t="s">
        <v>1317</v>
      </c>
    </row>
    <row r="963" spans="1:23" ht="30" customHeight="1">
      <c r="A963" s="13">
        <v>3</v>
      </c>
      <c r="B963" s="13">
        <v>831</v>
      </c>
      <c r="C963" s="9" t="s">
        <v>640</v>
      </c>
      <c r="D963" s="9" t="s">
        <v>2255</v>
      </c>
      <c r="E963" s="71" t="s">
        <v>2251</v>
      </c>
      <c r="F963" s="13">
        <v>3000</v>
      </c>
      <c r="G963" s="13">
        <v>0</v>
      </c>
      <c r="H963" s="13">
        <v>0</v>
      </c>
      <c r="I963" s="13">
        <v>0</v>
      </c>
      <c r="J963" s="13">
        <v>0</v>
      </c>
      <c r="K963" s="13">
        <v>0</v>
      </c>
      <c r="L963" s="13">
        <v>0</v>
      </c>
      <c r="M963" s="13">
        <v>0</v>
      </c>
      <c r="N963" s="12">
        <f t="shared" si="152"/>
        <v>0</v>
      </c>
      <c r="O963" s="13">
        <v>3000</v>
      </c>
      <c r="P963" s="13">
        <v>0</v>
      </c>
      <c r="Q963" s="13">
        <v>2000</v>
      </c>
      <c r="R963" s="14">
        <f t="shared" si="153"/>
        <v>5000</v>
      </c>
      <c r="S963" s="13">
        <f t="shared" si="154"/>
        <v>5100</v>
      </c>
      <c r="T963" s="13">
        <f t="shared" si="155"/>
        <v>5200</v>
      </c>
      <c r="U963" s="13" t="s">
        <v>4181</v>
      </c>
      <c r="V963" s="23" t="s">
        <v>2256</v>
      </c>
    </row>
    <row r="964" spans="1:23" ht="30" customHeight="1">
      <c r="A964" s="60">
        <v>4</v>
      </c>
      <c r="B964" s="13">
        <v>832</v>
      </c>
      <c r="C964" s="9" t="s">
        <v>2257</v>
      </c>
      <c r="D964" s="9" t="s">
        <v>2258</v>
      </c>
      <c r="E964" s="71" t="s">
        <v>2251</v>
      </c>
      <c r="F964" s="13">
        <v>2600</v>
      </c>
      <c r="G964" s="13">
        <v>0</v>
      </c>
      <c r="H964" s="13">
        <v>0</v>
      </c>
      <c r="I964" s="13">
        <v>0</v>
      </c>
      <c r="J964" s="13">
        <v>0</v>
      </c>
      <c r="K964" s="13">
        <v>0</v>
      </c>
      <c r="L964" s="13">
        <v>0</v>
      </c>
      <c r="M964" s="13">
        <v>0</v>
      </c>
      <c r="N964" s="12">
        <f t="shared" si="152"/>
        <v>0</v>
      </c>
      <c r="O964" s="13">
        <v>0</v>
      </c>
      <c r="P964" s="13">
        <v>0</v>
      </c>
      <c r="Q964" s="13">
        <v>0</v>
      </c>
      <c r="R964" s="14">
        <f t="shared" si="153"/>
        <v>0</v>
      </c>
      <c r="S964" s="13">
        <f t="shared" si="154"/>
        <v>100</v>
      </c>
      <c r="T964" s="13">
        <f t="shared" si="155"/>
        <v>200</v>
      </c>
      <c r="U964" s="13" t="s">
        <v>4181</v>
      </c>
      <c r="V964" s="23" t="s">
        <v>2259</v>
      </c>
    </row>
    <row r="965" spans="1:23" ht="30" customHeight="1">
      <c r="A965" s="13">
        <v>5</v>
      </c>
      <c r="B965" s="13">
        <v>833</v>
      </c>
      <c r="C965" s="9" t="s">
        <v>2260</v>
      </c>
      <c r="D965" s="9" t="s">
        <v>1248</v>
      </c>
      <c r="E965" s="71" t="s">
        <v>2251</v>
      </c>
      <c r="F965" s="13">
        <v>3000</v>
      </c>
      <c r="G965" s="13">
        <v>0</v>
      </c>
      <c r="H965" s="13">
        <v>0</v>
      </c>
      <c r="I965" s="13">
        <v>0</v>
      </c>
      <c r="J965" s="13">
        <v>0</v>
      </c>
      <c r="K965" s="13">
        <v>0</v>
      </c>
      <c r="L965" s="13">
        <v>0</v>
      </c>
      <c r="M965" s="13">
        <v>0</v>
      </c>
      <c r="N965" s="12">
        <f t="shared" si="152"/>
        <v>0</v>
      </c>
      <c r="O965" s="13">
        <v>0</v>
      </c>
      <c r="P965" s="13">
        <v>0</v>
      </c>
      <c r="Q965" s="13">
        <v>2000</v>
      </c>
      <c r="R965" s="14">
        <f t="shared" si="153"/>
        <v>2000</v>
      </c>
      <c r="S965" s="13">
        <f t="shared" si="154"/>
        <v>2100</v>
      </c>
      <c r="T965" s="13">
        <f t="shared" si="155"/>
        <v>2200</v>
      </c>
      <c r="U965" s="13" t="s">
        <v>4181</v>
      </c>
      <c r="V965" s="23" t="s">
        <v>2261</v>
      </c>
    </row>
    <row r="966" spans="1:23" ht="30" customHeight="1">
      <c r="A966" s="60">
        <v>6</v>
      </c>
      <c r="B966" s="13">
        <v>864</v>
      </c>
      <c r="C966" s="9" t="s">
        <v>2262</v>
      </c>
      <c r="D966" s="9" t="s">
        <v>2263</v>
      </c>
      <c r="E966" s="71" t="s">
        <v>2251</v>
      </c>
      <c r="F966" s="13">
        <v>3000</v>
      </c>
      <c r="G966" s="13">
        <v>0</v>
      </c>
      <c r="H966" s="13">
        <v>0</v>
      </c>
      <c r="I966" s="13">
        <v>0</v>
      </c>
      <c r="J966" s="13">
        <v>0</v>
      </c>
      <c r="K966" s="13">
        <v>0</v>
      </c>
      <c r="L966" s="13">
        <v>0</v>
      </c>
      <c r="M966" s="13">
        <v>0</v>
      </c>
      <c r="N966" s="12">
        <f t="shared" si="152"/>
        <v>0</v>
      </c>
      <c r="O966" s="13">
        <v>0</v>
      </c>
      <c r="P966" s="13">
        <v>0</v>
      </c>
      <c r="Q966" s="13">
        <v>0</v>
      </c>
      <c r="R966" s="14">
        <f t="shared" si="153"/>
        <v>0</v>
      </c>
      <c r="S966" s="13">
        <f t="shared" si="154"/>
        <v>100</v>
      </c>
      <c r="T966" s="13">
        <f t="shared" si="155"/>
        <v>200</v>
      </c>
      <c r="U966" s="13" t="s">
        <v>4181</v>
      </c>
      <c r="V966" s="23" t="s">
        <v>2264</v>
      </c>
    </row>
    <row r="967" spans="1:23" ht="30" customHeight="1">
      <c r="A967" s="13">
        <v>7</v>
      </c>
      <c r="B967" s="13">
        <v>904</v>
      </c>
      <c r="C967" s="9" t="s">
        <v>640</v>
      </c>
      <c r="D967" s="9" t="s">
        <v>2265</v>
      </c>
      <c r="E967" s="71" t="s">
        <v>2251</v>
      </c>
      <c r="F967" s="13">
        <v>2600</v>
      </c>
      <c r="G967" s="13">
        <v>0</v>
      </c>
      <c r="H967" s="13">
        <v>0</v>
      </c>
      <c r="I967" s="13">
        <v>0</v>
      </c>
      <c r="J967" s="13">
        <v>0</v>
      </c>
      <c r="K967" s="13">
        <v>0</v>
      </c>
      <c r="L967" s="13">
        <v>0</v>
      </c>
      <c r="M967" s="13">
        <v>0</v>
      </c>
      <c r="N967" s="12">
        <f t="shared" si="152"/>
        <v>0</v>
      </c>
      <c r="O967" s="13">
        <v>2600</v>
      </c>
      <c r="P967" s="13">
        <v>0</v>
      </c>
      <c r="Q967" s="13">
        <v>0</v>
      </c>
      <c r="R967" s="14">
        <f t="shared" si="153"/>
        <v>2600</v>
      </c>
      <c r="S967" s="13">
        <f t="shared" si="154"/>
        <v>2700</v>
      </c>
      <c r="T967" s="13">
        <f t="shared" si="155"/>
        <v>2800</v>
      </c>
      <c r="U967" s="13" t="s">
        <v>4181</v>
      </c>
      <c r="V967" s="23" t="s">
        <v>2266</v>
      </c>
      <c r="W967" t="s">
        <v>2267</v>
      </c>
    </row>
    <row r="968" spans="1:23" ht="30" customHeight="1">
      <c r="A968" s="60">
        <v>8</v>
      </c>
      <c r="B968" s="13">
        <v>905</v>
      </c>
      <c r="C968" s="9" t="s">
        <v>898</v>
      </c>
      <c r="D968" s="9" t="s">
        <v>1837</v>
      </c>
      <c r="E968" s="71" t="s">
        <v>2251</v>
      </c>
      <c r="F968" s="13">
        <v>1700</v>
      </c>
      <c r="G968" s="13">
        <v>0</v>
      </c>
      <c r="H968" s="13">
        <v>0</v>
      </c>
      <c r="I968" s="13">
        <v>0</v>
      </c>
      <c r="J968" s="13">
        <v>0</v>
      </c>
      <c r="K968" s="13">
        <v>0</v>
      </c>
      <c r="L968" s="13">
        <v>1700</v>
      </c>
      <c r="M968" s="13">
        <v>1700</v>
      </c>
      <c r="N968" s="12">
        <f t="shared" si="152"/>
        <v>3400</v>
      </c>
      <c r="O968" s="13">
        <v>1700</v>
      </c>
      <c r="P968" s="13">
        <v>0</v>
      </c>
      <c r="Q968" s="13">
        <v>2400</v>
      </c>
      <c r="R968" s="14">
        <f t="shared" si="153"/>
        <v>7500</v>
      </c>
      <c r="S968" s="13">
        <f t="shared" si="154"/>
        <v>7600</v>
      </c>
      <c r="T968" s="13">
        <f t="shared" si="155"/>
        <v>7700</v>
      </c>
      <c r="U968" s="13" t="s">
        <v>4181</v>
      </c>
      <c r="V968" s="23" t="s">
        <v>2268</v>
      </c>
    </row>
    <row r="969" spans="1:23" ht="30" customHeight="1">
      <c r="A969" s="60">
        <v>10</v>
      </c>
      <c r="B969" s="13">
        <v>8341395</v>
      </c>
      <c r="C969" s="63" t="s">
        <v>2273</v>
      </c>
      <c r="D969" s="63" t="s">
        <v>1419</v>
      </c>
      <c r="E969" s="71" t="s">
        <v>2251</v>
      </c>
      <c r="F969" s="60">
        <v>2800</v>
      </c>
      <c r="G969" s="60">
        <v>0</v>
      </c>
      <c r="H969" s="60">
        <v>0</v>
      </c>
      <c r="I969" s="60">
        <v>0</v>
      </c>
      <c r="J969" s="60">
        <v>0</v>
      </c>
      <c r="K969" s="60">
        <v>0</v>
      </c>
      <c r="L969" s="60">
        <v>0</v>
      </c>
      <c r="M969" s="60">
        <v>0</v>
      </c>
      <c r="N969" s="12">
        <f t="shared" si="152"/>
        <v>0</v>
      </c>
      <c r="O969" s="60">
        <v>0</v>
      </c>
      <c r="P969" s="13">
        <v>0</v>
      </c>
      <c r="Q969" s="13">
        <v>0</v>
      </c>
      <c r="R969" s="14">
        <f t="shared" si="153"/>
        <v>0</v>
      </c>
      <c r="S969" s="13">
        <f t="shared" si="154"/>
        <v>100</v>
      </c>
      <c r="T969" s="13">
        <f t="shared" si="155"/>
        <v>200</v>
      </c>
      <c r="U969" s="13" t="s">
        <v>4181</v>
      </c>
      <c r="V969" s="29" t="s">
        <v>1420</v>
      </c>
    </row>
    <row r="970" spans="1:23" ht="30" customHeight="1">
      <c r="A970" s="13">
        <v>11</v>
      </c>
      <c r="B970" s="13">
        <v>8351404</v>
      </c>
      <c r="C970" s="9" t="s">
        <v>2274</v>
      </c>
      <c r="D970" s="9" t="s">
        <v>2275</v>
      </c>
      <c r="E970" s="71" t="s">
        <v>2251</v>
      </c>
      <c r="F970" s="13">
        <v>3000</v>
      </c>
      <c r="G970" s="13">
        <v>0</v>
      </c>
      <c r="H970" s="13">
        <v>0</v>
      </c>
      <c r="I970" s="13">
        <v>0</v>
      </c>
      <c r="J970" s="13">
        <v>0</v>
      </c>
      <c r="K970" s="13">
        <v>0</v>
      </c>
      <c r="L970" s="13">
        <v>0</v>
      </c>
      <c r="M970" s="13">
        <v>0</v>
      </c>
      <c r="N970" s="12">
        <f t="shared" si="152"/>
        <v>0</v>
      </c>
      <c r="O970" s="13">
        <v>0</v>
      </c>
      <c r="P970" s="13">
        <v>0</v>
      </c>
      <c r="Q970" s="13">
        <v>0</v>
      </c>
      <c r="R970" s="14">
        <f t="shared" si="153"/>
        <v>0</v>
      </c>
      <c r="S970" s="13">
        <f t="shared" si="154"/>
        <v>100</v>
      </c>
      <c r="T970" s="13">
        <f t="shared" si="155"/>
        <v>200</v>
      </c>
      <c r="U970" s="13" t="s">
        <v>4181</v>
      </c>
      <c r="V970" s="23" t="s">
        <v>2276</v>
      </c>
    </row>
    <row r="971" spans="1:23" ht="30" customHeight="1">
      <c r="A971" s="60">
        <v>12</v>
      </c>
      <c r="B971" s="13">
        <v>8361501</v>
      </c>
      <c r="C971" s="9" t="s">
        <v>2277</v>
      </c>
      <c r="D971" s="9" t="s">
        <v>180</v>
      </c>
      <c r="E971" s="71" t="s">
        <v>2251</v>
      </c>
      <c r="F971" s="13">
        <v>1500</v>
      </c>
      <c r="G971" s="13">
        <v>0</v>
      </c>
      <c r="H971" s="13">
        <v>0</v>
      </c>
      <c r="I971" s="13">
        <v>0</v>
      </c>
      <c r="J971" s="13">
        <v>0</v>
      </c>
      <c r="K971" s="13">
        <v>0</v>
      </c>
      <c r="L971" s="13">
        <v>0</v>
      </c>
      <c r="M971" s="13">
        <v>0</v>
      </c>
      <c r="N971" s="12">
        <f t="shared" si="152"/>
        <v>0</v>
      </c>
      <c r="O971" s="13">
        <v>0</v>
      </c>
      <c r="P971" s="13">
        <v>0</v>
      </c>
      <c r="Q971" s="13">
        <v>0</v>
      </c>
      <c r="R971" s="14">
        <f t="shared" si="153"/>
        <v>0</v>
      </c>
      <c r="S971" s="13">
        <f t="shared" si="154"/>
        <v>100</v>
      </c>
      <c r="T971" s="13">
        <f t="shared" si="155"/>
        <v>200</v>
      </c>
      <c r="U971" s="13" t="s">
        <v>4181</v>
      </c>
      <c r="V971" s="29" t="s">
        <v>232</v>
      </c>
    </row>
    <row r="972" spans="1:23" ht="30" customHeight="1">
      <c r="A972" s="13">
        <v>13</v>
      </c>
      <c r="B972" s="13">
        <v>8381588</v>
      </c>
      <c r="C972" s="9" t="s">
        <v>2278</v>
      </c>
      <c r="D972" s="9" t="s">
        <v>2097</v>
      </c>
      <c r="E972" s="71" t="s">
        <v>2251</v>
      </c>
      <c r="F972" s="13">
        <v>3000</v>
      </c>
      <c r="G972" s="13">
        <v>0</v>
      </c>
      <c r="H972" s="13">
        <v>0</v>
      </c>
      <c r="I972" s="13">
        <v>0</v>
      </c>
      <c r="J972" s="13">
        <v>0</v>
      </c>
      <c r="K972" s="13">
        <v>0</v>
      </c>
      <c r="L972" s="13">
        <v>0</v>
      </c>
      <c r="M972" s="13">
        <v>0</v>
      </c>
      <c r="N972" s="12">
        <f t="shared" si="152"/>
        <v>0</v>
      </c>
      <c r="O972" s="13">
        <v>0</v>
      </c>
      <c r="P972" s="13">
        <v>0</v>
      </c>
      <c r="Q972" s="13">
        <v>0</v>
      </c>
      <c r="R972" s="14">
        <f t="shared" si="153"/>
        <v>0</v>
      </c>
      <c r="S972" s="13">
        <f t="shared" si="154"/>
        <v>100</v>
      </c>
      <c r="T972" s="13">
        <f t="shared" si="155"/>
        <v>200</v>
      </c>
      <c r="U972" s="13" t="s">
        <v>4181</v>
      </c>
      <c r="V972" s="23" t="s">
        <v>2279</v>
      </c>
    </row>
    <row r="973" spans="1:23" ht="30" customHeight="1">
      <c r="A973" s="60">
        <v>14</v>
      </c>
      <c r="B973" s="13">
        <v>8391708</v>
      </c>
      <c r="C973" s="9" t="s">
        <v>1696</v>
      </c>
      <c r="D973" s="9" t="s">
        <v>1342</v>
      </c>
      <c r="E973" s="71" t="s">
        <v>2251</v>
      </c>
      <c r="F973" s="13">
        <v>3000</v>
      </c>
      <c r="G973" s="13">
        <v>0</v>
      </c>
      <c r="H973" s="13">
        <v>0</v>
      </c>
      <c r="I973" s="13">
        <v>0</v>
      </c>
      <c r="J973" s="13">
        <v>0</v>
      </c>
      <c r="K973" s="13">
        <v>0</v>
      </c>
      <c r="L973" s="13">
        <v>0</v>
      </c>
      <c r="M973" s="13">
        <v>0</v>
      </c>
      <c r="N973" s="12">
        <f t="shared" si="152"/>
        <v>0</v>
      </c>
      <c r="O973" s="13">
        <v>2000</v>
      </c>
      <c r="P973" s="13">
        <v>0</v>
      </c>
      <c r="Q973" s="13">
        <v>0</v>
      </c>
      <c r="R973" s="14">
        <f t="shared" si="153"/>
        <v>2000</v>
      </c>
      <c r="S973" s="13">
        <f t="shared" si="154"/>
        <v>2100</v>
      </c>
      <c r="T973" s="13">
        <f t="shared" si="155"/>
        <v>2200</v>
      </c>
      <c r="U973" s="13" t="s">
        <v>4181</v>
      </c>
      <c r="V973" s="24" t="s">
        <v>2280</v>
      </c>
      <c r="W973" t="s">
        <v>1317</v>
      </c>
    </row>
    <row r="974" spans="1:23" ht="30" customHeight="1">
      <c r="A974" s="13">
        <v>15</v>
      </c>
      <c r="B974" s="13">
        <v>8401983</v>
      </c>
      <c r="C974" s="9" t="s">
        <v>2281</v>
      </c>
      <c r="D974" s="9" t="s">
        <v>1027</v>
      </c>
      <c r="E974" s="71" t="s">
        <v>2251</v>
      </c>
      <c r="F974" s="13">
        <v>3000</v>
      </c>
      <c r="G974" s="13">
        <v>0</v>
      </c>
      <c r="H974" s="13">
        <v>0</v>
      </c>
      <c r="I974" s="13">
        <v>0</v>
      </c>
      <c r="J974" s="13">
        <v>0</v>
      </c>
      <c r="K974" s="13">
        <v>0</v>
      </c>
      <c r="L974" s="13">
        <v>0</v>
      </c>
      <c r="M974" s="13">
        <v>0</v>
      </c>
      <c r="N974" s="12">
        <f t="shared" si="152"/>
        <v>0</v>
      </c>
      <c r="O974" s="13">
        <v>0</v>
      </c>
      <c r="P974" s="13">
        <v>0</v>
      </c>
      <c r="Q974" s="13">
        <v>0</v>
      </c>
      <c r="R974" s="14">
        <f t="shared" si="153"/>
        <v>0</v>
      </c>
      <c r="S974" s="13">
        <f t="shared" si="154"/>
        <v>100</v>
      </c>
      <c r="T974" s="13">
        <f t="shared" si="155"/>
        <v>200</v>
      </c>
      <c r="U974" s="13" t="s">
        <v>4181</v>
      </c>
      <c r="V974" s="65" t="s">
        <v>2282</v>
      </c>
    </row>
    <row r="975" spans="1:23" ht="30" customHeight="1">
      <c r="A975" s="13">
        <v>17</v>
      </c>
      <c r="B975" s="13">
        <v>8424145</v>
      </c>
      <c r="C975" s="9" t="s">
        <v>2285</v>
      </c>
      <c r="D975" s="9" t="s">
        <v>2286</v>
      </c>
      <c r="E975" s="71" t="s">
        <v>2251</v>
      </c>
      <c r="F975" s="13">
        <v>3000</v>
      </c>
      <c r="G975" s="13">
        <v>0</v>
      </c>
      <c r="H975" s="13">
        <v>0</v>
      </c>
      <c r="I975" s="13">
        <v>0</v>
      </c>
      <c r="J975" s="13">
        <v>0</v>
      </c>
      <c r="K975" s="13">
        <v>0</v>
      </c>
      <c r="L975" s="13">
        <v>0</v>
      </c>
      <c r="M975" s="13">
        <v>0</v>
      </c>
      <c r="N975" s="12">
        <f t="shared" si="152"/>
        <v>0</v>
      </c>
      <c r="O975" s="13">
        <v>0</v>
      </c>
      <c r="P975" s="13">
        <v>0</v>
      </c>
      <c r="Q975" s="13">
        <v>0</v>
      </c>
      <c r="R975" s="14">
        <f t="shared" si="153"/>
        <v>0</v>
      </c>
      <c r="S975" s="13">
        <f t="shared" si="154"/>
        <v>100</v>
      </c>
      <c r="T975" s="13">
        <f t="shared" si="155"/>
        <v>200</v>
      </c>
      <c r="U975" s="13" t="s">
        <v>4181</v>
      </c>
      <c r="V975" s="23" t="s">
        <v>1950</v>
      </c>
    </row>
    <row r="976" spans="1:23" ht="30" customHeight="1">
      <c r="A976" s="60">
        <v>18</v>
      </c>
      <c r="B976" s="13">
        <v>8434304</v>
      </c>
      <c r="C976" s="9" t="s">
        <v>2287</v>
      </c>
      <c r="D976" s="9" t="s">
        <v>2288</v>
      </c>
      <c r="E976" s="71" t="s">
        <v>2251</v>
      </c>
      <c r="F976" s="13">
        <v>3000</v>
      </c>
      <c r="G976" s="13">
        <v>0</v>
      </c>
      <c r="H976" s="13">
        <v>0</v>
      </c>
      <c r="I976" s="13">
        <v>0</v>
      </c>
      <c r="J976" s="13">
        <v>0</v>
      </c>
      <c r="K976" s="13">
        <v>0</v>
      </c>
      <c r="L976" s="13">
        <v>0</v>
      </c>
      <c r="M976" s="13">
        <v>0</v>
      </c>
      <c r="N976" s="12">
        <f t="shared" si="152"/>
        <v>0</v>
      </c>
      <c r="O976" s="13">
        <v>0</v>
      </c>
      <c r="P976" s="13">
        <v>0</v>
      </c>
      <c r="Q976" s="13">
        <v>0</v>
      </c>
      <c r="R976" s="14">
        <f t="shared" si="153"/>
        <v>0</v>
      </c>
      <c r="S976" s="13">
        <f t="shared" ref="S976:S1034" si="156">R976+100</f>
        <v>100</v>
      </c>
      <c r="T976" s="13">
        <f t="shared" ref="T976:T1034" si="157">R976+200</f>
        <v>200</v>
      </c>
      <c r="U976" s="13" t="s">
        <v>4181</v>
      </c>
      <c r="V976" s="65" t="s">
        <v>2289</v>
      </c>
      <c r="W976" t="s">
        <v>423</v>
      </c>
    </row>
    <row r="977" spans="1:24" ht="30" customHeight="1">
      <c r="A977" s="13">
        <v>19</v>
      </c>
      <c r="B977" s="13">
        <v>8444487</v>
      </c>
      <c r="C977" s="9" t="s">
        <v>2290</v>
      </c>
      <c r="D977" s="9" t="s">
        <v>2102</v>
      </c>
      <c r="E977" s="71" t="s">
        <v>2251</v>
      </c>
      <c r="F977" s="13">
        <v>3000</v>
      </c>
      <c r="G977" s="13">
        <v>0</v>
      </c>
      <c r="H977" s="13">
        <v>0</v>
      </c>
      <c r="I977" s="13">
        <v>0</v>
      </c>
      <c r="J977" s="13">
        <v>0</v>
      </c>
      <c r="K977" s="13">
        <v>0</v>
      </c>
      <c r="L977" s="13">
        <v>0</v>
      </c>
      <c r="M977" s="13">
        <v>0</v>
      </c>
      <c r="N977" s="12">
        <f t="shared" si="152"/>
        <v>0</v>
      </c>
      <c r="O977" s="13">
        <v>3000</v>
      </c>
      <c r="P977" s="13">
        <v>0</v>
      </c>
      <c r="Q977" s="13">
        <v>2000</v>
      </c>
      <c r="R977" s="14">
        <f t="shared" si="153"/>
        <v>5000</v>
      </c>
      <c r="S977" s="13">
        <f t="shared" si="156"/>
        <v>5100</v>
      </c>
      <c r="T977" s="13">
        <f t="shared" si="157"/>
        <v>5200</v>
      </c>
      <c r="U977" s="13" t="s">
        <v>4181</v>
      </c>
      <c r="V977" s="23" t="s">
        <v>1635</v>
      </c>
    </row>
    <row r="978" spans="1:24" ht="30" customHeight="1">
      <c r="A978" s="60">
        <v>20</v>
      </c>
      <c r="B978" s="13">
        <v>8454641</v>
      </c>
      <c r="C978" s="9" t="s">
        <v>2291</v>
      </c>
      <c r="D978" s="9" t="s">
        <v>2292</v>
      </c>
      <c r="E978" s="71" t="s">
        <v>2251</v>
      </c>
      <c r="F978" s="13">
        <v>3000</v>
      </c>
      <c r="G978" s="13">
        <v>0</v>
      </c>
      <c r="H978" s="13">
        <v>0</v>
      </c>
      <c r="I978" s="13">
        <v>0</v>
      </c>
      <c r="J978" s="13">
        <v>0</v>
      </c>
      <c r="K978" s="13">
        <v>0</v>
      </c>
      <c r="L978" s="13">
        <v>0</v>
      </c>
      <c r="M978" s="13">
        <v>0</v>
      </c>
      <c r="N978" s="12">
        <f t="shared" si="152"/>
        <v>0</v>
      </c>
      <c r="O978" s="13">
        <v>0</v>
      </c>
      <c r="P978" s="13">
        <v>0</v>
      </c>
      <c r="Q978" s="13">
        <v>0</v>
      </c>
      <c r="R978" s="14">
        <f t="shared" si="153"/>
        <v>0</v>
      </c>
      <c r="S978" s="13">
        <f t="shared" si="156"/>
        <v>100</v>
      </c>
      <c r="T978" s="13">
        <f t="shared" si="157"/>
        <v>200</v>
      </c>
      <c r="U978" s="13" t="s">
        <v>4181</v>
      </c>
      <c r="V978" s="23" t="s">
        <v>2293</v>
      </c>
    </row>
    <row r="979" spans="1:24" ht="30" customHeight="1">
      <c r="A979" s="13">
        <v>21</v>
      </c>
      <c r="B979" s="13">
        <v>8464642</v>
      </c>
      <c r="C979" s="9" t="s">
        <v>2294</v>
      </c>
      <c r="D979" s="9" t="s">
        <v>2295</v>
      </c>
      <c r="E979" s="71" t="s">
        <v>2251</v>
      </c>
      <c r="F979" s="13">
        <v>2900</v>
      </c>
      <c r="G979" s="13">
        <v>0</v>
      </c>
      <c r="H979" s="13">
        <v>0</v>
      </c>
      <c r="I979" s="13">
        <v>0</v>
      </c>
      <c r="J979" s="13">
        <v>0</v>
      </c>
      <c r="K979" s="13">
        <v>0</v>
      </c>
      <c r="L979" s="13">
        <v>0</v>
      </c>
      <c r="M979" s="13">
        <v>0</v>
      </c>
      <c r="N979" s="12">
        <f t="shared" si="152"/>
        <v>0</v>
      </c>
      <c r="O979" s="13">
        <v>0</v>
      </c>
      <c r="P979" s="13">
        <v>0</v>
      </c>
      <c r="Q979" s="13">
        <v>0</v>
      </c>
      <c r="R979" s="14">
        <f t="shared" si="153"/>
        <v>0</v>
      </c>
      <c r="S979" s="13">
        <f t="shared" si="156"/>
        <v>100</v>
      </c>
      <c r="T979" s="13">
        <f t="shared" si="157"/>
        <v>200</v>
      </c>
      <c r="U979" s="13" t="s">
        <v>4181</v>
      </c>
      <c r="V979" s="23" t="s">
        <v>2296</v>
      </c>
    </row>
    <row r="980" spans="1:24" ht="30" customHeight="1">
      <c r="A980" s="60">
        <v>22</v>
      </c>
      <c r="B980" s="13">
        <v>8474651</v>
      </c>
      <c r="C980" s="9" t="s">
        <v>2297</v>
      </c>
      <c r="D980" s="9" t="s">
        <v>2298</v>
      </c>
      <c r="E980" s="71" t="s">
        <v>2251</v>
      </c>
      <c r="F980" s="13">
        <v>3000</v>
      </c>
      <c r="G980" s="13">
        <v>0</v>
      </c>
      <c r="H980" s="13">
        <v>0</v>
      </c>
      <c r="I980" s="13">
        <v>0</v>
      </c>
      <c r="J980" s="13">
        <v>0</v>
      </c>
      <c r="K980" s="13">
        <v>0</v>
      </c>
      <c r="L980" s="13">
        <v>0</v>
      </c>
      <c r="M980" s="13">
        <v>0</v>
      </c>
      <c r="N980" s="12">
        <f t="shared" si="152"/>
        <v>0</v>
      </c>
      <c r="O980" s="13">
        <v>0</v>
      </c>
      <c r="P980" s="13">
        <v>0</v>
      </c>
      <c r="Q980" s="13">
        <v>0</v>
      </c>
      <c r="R980" s="14">
        <f t="shared" si="153"/>
        <v>0</v>
      </c>
      <c r="S980" s="13">
        <f t="shared" si="156"/>
        <v>100</v>
      </c>
      <c r="T980" s="13">
        <f t="shared" si="157"/>
        <v>200</v>
      </c>
      <c r="U980" s="13" t="s">
        <v>4181</v>
      </c>
      <c r="V980" s="23" t="s">
        <v>2299</v>
      </c>
    </row>
    <row r="981" spans="1:24" ht="30" customHeight="1">
      <c r="A981" s="13">
        <v>23</v>
      </c>
      <c r="B981" s="13">
        <v>8484802</v>
      </c>
      <c r="C981" s="9" t="s">
        <v>2300</v>
      </c>
      <c r="D981" s="9" t="s">
        <v>1306</v>
      </c>
      <c r="E981" s="71" t="s">
        <v>2251</v>
      </c>
      <c r="F981" s="13">
        <v>3000</v>
      </c>
      <c r="G981" s="13">
        <v>0</v>
      </c>
      <c r="H981" s="13">
        <v>0</v>
      </c>
      <c r="I981" s="13">
        <v>0</v>
      </c>
      <c r="J981" s="13">
        <v>0</v>
      </c>
      <c r="K981" s="13">
        <v>0</v>
      </c>
      <c r="L981" s="13">
        <v>0</v>
      </c>
      <c r="M981" s="13">
        <v>0</v>
      </c>
      <c r="N981" s="12">
        <f t="shared" si="152"/>
        <v>0</v>
      </c>
      <c r="O981" s="13">
        <v>0</v>
      </c>
      <c r="P981" s="13">
        <v>0</v>
      </c>
      <c r="Q981" s="13">
        <v>0</v>
      </c>
      <c r="R981" s="14">
        <f t="shared" si="153"/>
        <v>0</v>
      </c>
      <c r="S981" s="13">
        <f t="shared" si="156"/>
        <v>100</v>
      </c>
      <c r="T981" s="13">
        <f t="shared" si="157"/>
        <v>200</v>
      </c>
      <c r="U981" s="13" t="s">
        <v>4181</v>
      </c>
      <c r="V981" s="23" t="s">
        <v>2301</v>
      </c>
      <c r="W981" t="s">
        <v>2302</v>
      </c>
    </row>
    <row r="982" spans="1:24" ht="30" customHeight="1">
      <c r="A982" s="60">
        <v>24</v>
      </c>
      <c r="B982" s="13">
        <v>8504884</v>
      </c>
      <c r="C982" s="9" t="s">
        <v>2303</v>
      </c>
      <c r="D982" s="9" t="s">
        <v>2304</v>
      </c>
      <c r="E982" s="71" t="s">
        <v>2251</v>
      </c>
      <c r="F982" s="13">
        <v>3000</v>
      </c>
      <c r="G982" s="13">
        <v>0</v>
      </c>
      <c r="H982" s="13">
        <v>0</v>
      </c>
      <c r="I982" s="13">
        <v>0</v>
      </c>
      <c r="J982" s="13">
        <v>0</v>
      </c>
      <c r="K982" s="13">
        <v>0</v>
      </c>
      <c r="L982" s="13">
        <v>0</v>
      </c>
      <c r="M982" s="13">
        <v>0</v>
      </c>
      <c r="N982" s="12">
        <f t="shared" si="152"/>
        <v>0</v>
      </c>
      <c r="O982" s="13">
        <v>3000</v>
      </c>
      <c r="P982" s="13">
        <v>0</v>
      </c>
      <c r="Q982" s="13">
        <v>5000</v>
      </c>
      <c r="R982" s="14">
        <f t="shared" si="153"/>
        <v>8000</v>
      </c>
      <c r="S982" s="13">
        <f t="shared" si="156"/>
        <v>8100</v>
      </c>
      <c r="T982" s="13">
        <f t="shared" si="157"/>
        <v>8200</v>
      </c>
      <c r="U982" s="13" t="s">
        <v>4181</v>
      </c>
      <c r="V982" s="23" t="s">
        <v>2305</v>
      </c>
      <c r="W982">
        <v>0</v>
      </c>
    </row>
    <row r="983" spans="1:24" ht="30" customHeight="1">
      <c r="A983" s="13">
        <v>25</v>
      </c>
      <c r="B983" s="13">
        <v>8524979</v>
      </c>
      <c r="C983" s="63" t="s">
        <v>786</v>
      </c>
      <c r="D983" s="63" t="s">
        <v>1926</v>
      </c>
      <c r="E983" s="71" t="s">
        <v>2251</v>
      </c>
      <c r="F983" s="60">
        <v>3000</v>
      </c>
      <c r="G983" s="60">
        <v>0</v>
      </c>
      <c r="H983" s="60">
        <v>0</v>
      </c>
      <c r="I983" s="60">
        <v>0</v>
      </c>
      <c r="J983" s="60">
        <v>0</v>
      </c>
      <c r="K983" s="60">
        <v>0</v>
      </c>
      <c r="L983" s="60">
        <v>0</v>
      </c>
      <c r="M983" s="60">
        <v>0</v>
      </c>
      <c r="N983" s="12">
        <f t="shared" si="152"/>
        <v>0</v>
      </c>
      <c r="O983" s="60">
        <v>0</v>
      </c>
      <c r="P983" s="13">
        <v>0</v>
      </c>
      <c r="Q983" s="13">
        <v>3000</v>
      </c>
      <c r="R983" s="14">
        <f t="shared" si="153"/>
        <v>3000</v>
      </c>
      <c r="S983" s="13">
        <f t="shared" si="156"/>
        <v>3100</v>
      </c>
      <c r="T983" s="13">
        <f t="shared" si="157"/>
        <v>3200</v>
      </c>
      <c r="U983" s="13" t="s">
        <v>4181</v>
      </c>
      <c r="V983" s="29" t="s">
        <v>2306</v>
      </c>
    </row>
    <row r="984" spans="1:24" ht="30" customHeight="1">
      <c r="A984" s="60">
        <v>26</v>
      </c>
      <c r="B984" s="13">
        <v>8545086</v>
      </c>
      <c r="C984" s="63" t="s">
        <v>640</v>
      </c>
      <c r="D984" s="63" t="s">
        <v>2307</v>
      </c>
      <c r="E984" s="71" t="s">
        <v>2251</v>
      </c>
      <c r="F984" s="60">
        <v>3000</v>
      </c>
      <c r="G984" s="60">
        <v>0</v>
      </c>
      <c r="H984" s="60">
        <v>0</v>
      </c>
      <c r="I984" s="60">
        <v>0</v>
      </c>
      <c r="J984" s="60">
        <v>0</v>
      </c>
      <c r="K984" s="60">
        <v>0</v>
      </c>
      <c r="L984" s="60">
        <v>0</v>
      </c>
      <c r="M984" s="60">
        <v>0</v>
      </c>
      <c r="N984" s="12">
        <f t="shared" si="152"/>
        <v>0</v>
      </c>
      <c r="O984" s="60">
        <v>0</v>
      </c>
      <c r="P984" s="13">
        <v>0</v>
      </c>
      <c r="Q984" s="13">
        <v>5000</v>
      </c>
      <c r="R984" s="14">
        <f t="shared" si="153"/>
        <v>5000</v>
      </c>
      <c r="S984" s="13">
        <f t="shared" si="156"/>
        <v>5100</v>
      </c>
      <c r="T984" s="13">
        <f t="shared" si="157"/>
        <v>5200</v>
      </c>
      <c r="U984" s="13" t="s">
        <v>4181</v>
      </c>
      <c r="V984" s="29" t="s">
        <v>2308</v>
      </c>
      <c r="W984" t="s">
        <v>1455</v>
      </c>
    </row>
    <row r="985" spans="1:24" ht="30" customHeight="1">
      <c r="A985" s="13">
        <v>27</v>
      </c>
      <c r="B985" s="13">
        <v>8556050</v>
      </c>
      <c r="C985" s="9" t="s">
        <v>2309</v>
      </c>
      <c r="D985" s="9" t="s">
        <v>1458</v>
      </c>
      <c r="E985" s="71" t="s">
        <v>2251</v>
      </c>
      <c r="F985" s="13">
        <v>2500</v>
      </c>
      <c r="G985" s="13">
        <v>0</v>
      </c>
      <c r="H985" s="13">
        <v>0</v>
      </c>
      <c r="I985" s="13">
        <v>0</v>
      </c>
      <c r="J985" s="13">
        <v>0</v>
      </c>
      <c r="K985" s="13">
        <v>0</v>
      </c>
      <c r="L985" s="13">
        <v>0</v>
      </c>
      <c r="M985" s="13">
        <v>0</v>
      </c>
      <c r="N985" s="12">
        <f t="shared" si="152"/>
        <v>0</v>
      </c>
      <c r="O985" s="13">
        <v>2500</v>
      </c>
      <c r="P985" s="13">
        <v>0</v>
      </c>
      <c r="Q985" s="13">
        <v>1500</v>
      </c>
      <c r="R985" s="14">
        <f t="shared" si="153"/>
        <v>4000</v>
      </c>
      <c r="S985" s="13">
        <f t="shared" si="156"/>
        <v>4100</v>
      </c>
      <c r="T985" s="13">
        <f t="shared" si="157"/>
        <v>4200</v>
      </c>
      <c r="U985" s="13" t="s">
        <v>4181</v>
      </c>
      <c r="V985" s="23" t="s">
        <v>2310</v>
      </c>
    </row>
    <row r="986" spans="1:24" ht="30" customHeight="1">
      <c r="A986" s="60">
        <v>28</v>
      </c>
      <c r="B986" s="13">
        <v>8566111</v>
      </c>
      <c r="C986" s="9" t="s">
        <v>2311</v>
      </c>
      <c r="D986" s="9" t="s">
        <v>1237</v>
      </c>
      <c r="E986" s="71" t="s">
        <v>2251</v>
      </c>
      <c r="F986" s="13">
        <v>3000</v>
      </c>
      <c r="G986" s="13">
        <v>0</v>
      </c>
      <c r="H986" s="13">
        <v>0</v>
      </c>
      <c r="I986" s="13">
        <v>0</v>
      </c>
      <c r="J986" s="13">
        <v>0</v>
      </c>
      <c r="K986" s="13">
        <v>0</v>
      </c>
      <c r="L986" s="13">
        <v>0</v>
      </c>
      <c r="M986" s="13">
        <v>0</v>
      </c>
      <c r="N986" s="12">
        <f t="shared" si="152"/>
        <v>0</v>
      </c>
      <c r="O986" s="13">
        <v>3000</v>
      </c>
      <c r="P986" s="13">
        <v>0</v>
      </c>
      <c r="Q986" s="13">
        <v>0</v>
      </c>
      <c r="R986" s="14">
        <f t="shared" si="153"/>
        <v>3000</v>
      </c>
      <c r="S986" s="13">
        <f t="shared" si="156"/>
        <v>3100</v>
      </c>
      <c r="T986" s="13">
        <f t="shared" si="157"/>
        <v>3200</v>
      </c>
      <c r="U986" s="13" t="s">
        <v>4181</v>
      </c>
      <c r="V986" s="23" t="s">
        <v>2312</v>
      </c>
    </row>
    <row r="987" spans="1:24" ht="30" customHeight="1">
      <c r="A987" s="13">
        <v>29</v>
      </c>
      <c r="B987" s="13">
        <v>8576118</v>
      </c>
      <c r="C987" s="9" t="s">
        <v>1275</v>
      </c>
      <c r="D987" s="9" t="s">
        <v>2313</v>
      </c>
      <c r="E987" s="71" t="s">
        <v>2251</v>
      </c>
      <c r="F987" s="13">
        <v>3000</v>
      </c>
      <c r="G987" s="13">
        <v>0</v>
      </c>
      <c r="H987" s="13">
        <v>0</v>
      </c>
      <c r="I987" s="13">
        <v>0</v>
      </c>
      <c r="J987" s="13">
        <v>0</v>
      </c>
      <c r="K987" s="13">
        <v>0</v>
      </c>
      <c r="L987" s="13">
        <v>0</v>
      </c>
      <c r="M987" s="13">
        <v>0</v>
      </c>
      <c r="N987" s="12">
        <f t="shared" si="152"/>
        <v>0</v>
      </c>
      <c r="O987" s="13">
        <v>0</v>
      </c>
      <c r="P987" s="13">
        <v>0</v>
      </c>
      <c r="Q987" s="13">
        <v>0</v>
      </c>
      <c r="R987" s="14">
        <f t="shared" si="153"/>
        <v>0</v>
      </c>
      <c r="S987" s="13">
        <f t="shared" si="156"/>
        <v>100</v>
      </c>
      <c r="T987" s="13">
        <f t="shared" si="157"/>
        <v>200</v>
      </c>
      <c r="U987" s="13" t="s">
        <v>4181</v>
      </c>
      <c r="V987" s="23" t="s">
        <v>2314</v>
      </c>
    </row>
    <row r="988" spans="1:24" ht="30" customHeight="1">
      <c r="A988" s="60">
        <v>30</v>
      </c>
      <c r="B988" s="13">
        <v>8596171</v>
      </c>
      <c r="C988" s="9" t="s">
        <v>2315</v>
      </c>
      <c r="D988" s="9" t="s">
        <v>2316</v>
      </c>
      <c r="E988" s="71" t="s">
        <v>2251</v>
      </c>
      <c r="F988" s="13">
        <v>2100</v>
      </c>
      <c r="G988" s="13">
        <v>0</v>
      </c>
      <c r="H988" s="13">
        <v>0</v>
      </c>
      <c r="I988" s="13">
        <v>0</v>
      </c>
      <c r="J988" s="13">
        <v>0</v>
      </c>
      <c r="K988" s="13">
        <v>0</v>
      </c>
      <c r="L988" s="13">
        <v>0</v>
      </c>
      <c r="M988" s="13">
        <v>0</v>
      </c>
      <c r="N988" s="12">
        <f t="shared" si="152"/>
        <v>0</v>
      </c>
      <c r="O988" s="13">
        <v>0</v>
      </c>
      <c r="P988" s="13">
        <v>0</v>
      </c>
      <c r="Q988" s="13">
        <v>5000</v>
      </c>
      <c r="R988" s="14">
        <f t="shared" si="153"/>
        <v>5000</v>
      </c>
      <c r="S988" s="13">
        <f t="shared" si="156"/>
        <v>5100</v>
      </c>
      <c r="T988" s="13">
        <f t="shared" si="157"/>
        <v>5200</v>
      </c>
      <c r="U988" s="13" t="s">
        <v>4181</v>
      </c>
      <c r="V988" s="23" t="s">
        <v>2317</v>
      </c>
    </row>
    <row r="989" spans="1:24" ht="30" customHeight="1">
      <c r="A989" s="13">
        <v>31</v>
      </c>
      <c r="B989" s="13">
        <v>8606242</v>
      </c>
      <c r="C989" s="9" t="s">
        <v>2291</v>
      </c>
      <c r="D989" s="9" t="s">
        <v>776</v>
      </c>
      <c r="E989" s="71" t="s">
        <v>2251</v>
      </c>
      <c r="F989" s="13">
        <v>2700</v>
      </c>
      <c r="G989" s="13">
        <v>0</v>
      </c>
      <c r="H989" s="13">
        <v>0</v>
      </c>
      <c r="I989" s="13">
        <v>0</v>
      </c>
      <c r="J989" s="13">
        <v>0</v>
      </c>
      <c r="K989" s="13">
        <v>0</v>
      </c>
      <c r="L989" s="13">
        <v>0</v>
      </c>
      <c r="M989" s="13">
        <v>0</v>
      </c>
      <c r="N989" s="12">
        <f t="shared" si="152"/>
        <v>0</v>
      </c>
      <c r="O989" s="13">
        <v>2700</v>
      </c>
      <c r="P989" s="13">
        <v>0</v>
      </c>
      <c r="Q989" s="13">
        <v>5000</v>
      </c>
      <c r="R989" s="14">
        <f t="shared" si="153"/>
        <v>7700</v>
      </c>
      <c r="S989" s="13">
        <f t="shared" si="156"/>
        <v>7800</v>
      </c>
      <c r="T989" s="13">
        <f t="shared" si="157"/>
        <v>7900</v>
      </c>
      <c r="U989" s="13" t="s">
        <v>4181</v>
      </c>
      <c r="V989" s="23" t="s">
        <v>1746</v>
      </c>
    </row>
    <row r="990" spans="1:24" ht="30" customHeight="1">
      <c r="A990" s="60">
        <v>32</v>
      </c>
      <c r="B990" s="13">
        <v>8616248</v>
      </c>
      <c r="C990" s="9" t="s">
        <v>1575</v>
      </c>
      <c r="D990" s="9" t="s">
        <v>146</v>
      </c>
      <c r="E990" s="71" t="s">
        <v>2251</v>
      </c>
      <c r="F990" s="13">
        <v>3000</v>
      </c>
      <c r="G990" s="13">
        <v>0</v>
      </c>
      <c r="H990" s="13">
        <v>0</v>
      </c>
      <c r="I990" s="13">
        <v>0</v>
      </c>
      <c r="J990" s="13">
        <v>0</v>
      </c>
      <c r="K990" s="13">
        <v>0</v>
      </c>
      <c r="L990" s="13">
        <v>0</v>
      </c>
      <c r="M990" s="13">
        <v>0</v>
      </c>
      <c r="N990" s="12">
        <f t="shared" si="152"/>
        <v>0</v>
      </c>
      <c r="O990" s="13">
        <v>0</v>
      </c>
      <c r="P990" s="13">
        <v>0</v>
      </c>
      <c r="Q990" s="13">
        <v>0</v>
      </c>
      <c r="R990" s="14">
        <f t="shared" si="153"/>
        <v>0</v>
      </c>
      <c r="S990" s="13">
        <f t="shared" si="156"/>
        <v>100</v>
      </c>
      <c r="T990" s="13">
        <f t="shared" si="157"/>
        <v>200</v>
      </c>
      <c r="U990" s="13" t="s">
        <v>4181</v>
      </c>
      <c r="V990" s="23" t="s">
        <v>1726</v>
      </c>
    </row>
    <row r="991" spans="1:24" ht="30" customHeight="1">
      <c r="A991" s="13">
        <v>33</v>
      </c>
      <c r="B991" s="13">
        <v>8626257</v>
      </c>
      <c r="C991" s="9" t="s">
        <v>2318</v>
      </c>
      <c r="D991" s="9" t="s">
        <v>1094</v>
      </c>
      <c r="E991" s="71" t="s">
        <v>2251</v>
      </c>
      <c r="F991" s="13">
        <v>3000</v>
      </c>
      <c r="G991" s="13">
        <v>0</v>
      </c>
      <c r="H991" s="13">
        <v>0</v>
      </c>
      <c r="I991" s="13">
        <v>0</v>
      </c>
      <c r="J991" s="13">
        <v>0</v>
      </c>
      <c r="K991" s="13">
        <v>0</v>
      </c>
      <c r="L991" s="13">
        <v>0</v>
      </c>
      <c r="M991" s="13">
        <v>0</v>
      </c>
      <c r="N991" s="12">
        <f t="shared" si="152"/>
        <v>0</v>
      </c>
      <c r="O991" s="13">
        <v>0</v>
      </c>
      <c r="P991" s="13">
        <v>0</v>
      </c>
      <c r="Q991" s="13">
        <v>2500</v>
      </c>
      <c r="R991" s="14">
        <f t="shared" si="153"/>
        <v>2500</v>
      </c>
      <c r="S991" s="13">
        <f t="shared" si="156"/>
        <v>2600</v>
      </c>
      <c r="T991" s="13">
        <f t="shared" si="157"/>
        <v>2700</v>
      </c>
      <c r="U991" s="13" t="s">
        <v>4181</v>
      </c>
      <c r="V991" s="23" t="s">
        <v>1095</v>
      </c>
      <c r="W991" t="s">
        <v>1317</v>
      </c>
    </row>
    <row r="992" spans="1:24" ht="30" customHeight="1">
      <c r="A992" s="60">
        <v>34</v>
      </c>
      <c r="B992" s="13">
        <v>8636265</v>
      </c>
      <c r="C992" s="9" t="s">
        <v>2319</v>
      </c>
      <c r="D992" s="9" t="s">
        <v>2320</v>
      </c>
      <c r="E992" s="71" t="s">
        <v>2251</v>
      </c>
      <c r="F992" s="13">
        <v>3000</v>
      </c>
      <c r="G992" s="13">
        <v>0</v>
      </c>
      <c r="H992" s="13">
        <v>0</v>
      </c>
      <c r="I992" s="13">
        <v>0</v>
      </c>
      <c r="J992" s="13">
        <v>0</v>
      </c>
      <c r="K992" s="13">
        <v>0</v>
      </c>
      <c r="L992" s="13">
        <v>0</v>
      </c>
      <c r="M992" s="13">
        <v>0</v>
      </c>
      <c r="N992" s="12">
        <f t="shared" si="152"/>
        <v>0</v>
      </c>
      <c r="O992" s="13">
        <v>0</v>
      </c>
      <c r="P992" s="13">
        <v>0</v>
      </c>
      <c r="Q992" s="13">
        <v>0</v>
      </c>
      <c r="R992" s="14">
        <f t="shared" si="153"/>
        <v>0</v>
      </c>
      <c r="S992" s="13">
        <f t="shared" si="156"/>
        <v>100</v>
      </c>
      <c r="T992" s="13">
        <f t="shared" si="157"/>
        <v>200</v>
      </c>
      <c r="U992" s="13" t="s">
        <v>4181</v>
      </c>
      <c r="V992" s="23" t="s">
        <v>2321</v>
      </c>
      <c r="X992" t="s">
        <v>2322</v>
      </c>
    </row>
    <row r="993" spans="1:23" ht="30" customHeight="1">
      <c r="A993" s="13">
        <v>1</v>
      </c>
      <c r="B993" s="13">
        <v>616</v>
      </c>
      <c r="C993" s="9" t="s">
        <v>2323</v>
      </c>
      <c r="D993" s="9" t="s">
        <v>2128</v>
      </c>
      <c r="E993" s="66" t="s">
        <v>2324</v>
      </c>
      <c r="F993" s="13">
        <v>3000</v>
      </c>
      <c r="G993" s="13">
        <v>0</v>
      </c>
      <c r="H993" s="13">
        <v>0</v>
      </c>
      <c r="I993" s="13">
        <v>0</v>
      </c>
      <c r="J993" s="13">
        <v>0</v>
      </c>
      <c r="K993" s="13">
        <v>0</v>
      </c>
      <c r="L993" s="13">
        <v>0</v>
      </c>
      <c r="M993" s="13">
        <v>0</v>
      </c>
      <c r="N993" s="12">
        <f t="shared" si="152"/>
        <v>0</v>
      </c>
      <c r="O993" s="13">
        <v>0</v>
      </c>
      <c r="P993" s="13">
        <v>0</v>
      </c>
      <c r="Q993" s="13">
        <v>0</v>
      </c>
      <c r="R993" s="14">
        <f t="shared" si="153"/>
        <v>0</v>
      </c>
      <c r="S993" s="13">
        <f t="shared" si="156"/>
        <v>100</v>
      </c>
      <c r="T993" s="13">
        <f t="shared" si="157"/>
        <v>200</v>
      </c>
      <c r="U993" s="13" t="s">
        <v>4181</v>
      </c>
      <c r="V993" s="91" t="s">
        <v>2129</v>
      </c>
      <c r="W993" t="s">
        <v>423</v>
      </c>
    </row>
    <row r="994" spans="1:23" ht="30" customHeight="1">
      <c r="A994" s="13">
        <v>2</v>
      </c>
      <c r="B994" s="13">
        <v>617</v>
      </c>
      <c r="C994" s="9" t="s">
        <v>2325</v>
      </c>
      <c r="D994" s="9" t="s">
        <v>2018</v>
      </c>
      <c r="E994" s="66" t="s">
        <v>2324</v>
      </c>
      <c r="F994" s="13">
        <v>3000</v>
      </c>
      <c r="G994" s="13">
        <v>0</v>
      </c>
      <c r="H994" s="13">
        <v>0</v>
      </c>
      <c r="I994" s="13">
        <v>0</v>
      </c>
      <c r="J994" s="13">
        <v>0</v>
      </c>
      <c r="K994" s="13">
        <v>0</v>
      </c>
      <c r="L994" s="13">
        <v>0</v>
      </c>
      <c r="M994" s="13">
        <v>0</v>
      </c>
      <c r="N994" s="12">
        <f t="shared" si="152"/>
        <v>0</v>
      </c>
      <c r="O994" s="13">
        <v>0</v>
      </c>
      <c r="P994" s="13">
        <v>0</v>
      </c>
      <c r="Q994" s="13">
        <v>0</v>
      </c>
      <c r="R994" s="14">
        <f t="shared" si="153"/>
        <v>0</v>
      </c>
      <c r="S994" s="13">
        <f t="shared" si="156"/>
        <v>100</v>
      </c>
      <c r="T994" s="13">
        <f t="shared" si="157"/>
        <v>200</v>
      </c>
      <c r="U994" s="13" t="s">
        <v>4181</v>
      </c>
      <c r="V994" s="91" t="s">
        <v>2019</v>
      </c>
      <c r="W994" t="s">
        <v>2326</v>
      </c>
    </row>
    <row r="995" spans="1:23" ht="30" customHeight="1">
      <c r="A995" s="13">
        <v>3</v>
      </c>
      <c r="B995" s="13">
        <v>618</v>
      </c>
      <c r="C995" s="9" t="s">
        <v>2327</v>
      </c>
      <c r="D995" s="9" t="s">
        <v>2328</v>
      </c>
      <c r="E995" s="66" t="s">
        <v>2324</v>
      </c>
      <c r="F995" s="13">
        <v>3000</v>
      </c>
      <c r="G995" s="13">
        <v>0</v>
      </c>
      <c r="H995" s="13">
        <v>0</v>
      </c>
      <c r="I995" s="13">
        <v>0</v>
      </c>
      <c r="J995" s="13">
        <v>0</v>
      </c>
      <c r="K995" s="13">
        <v>0</v>
      </c>
      <c r="L995" s="13">
        <v>0</v>
      </c>
      <c r="M995" s="13">
        <v>0</v>
      </c>
      <c r="N995" s="12">
        <f t="shared" si="152"/>
        <v>0</v>
      </c>
      <c r="O995" s="13">
        <v>0</v>
      </c>
      <c r="P995" s="13">
        <v>0</v>
      </c>
      <c r="Q995" s="13">
        <v>0</v>
      </c>
      <c r="R995" s="14">
        <f t="shared" si="153"/>
        <v>0</v>
      </c>
      <c r="S995" s="13">
        <f t="shared" si="156"/>
        <v>100</v>
      </c>
      <c r="T995" s="13">
        <f t="shared" si="157"/>
        <v>200</v>
      </c>
      <c r="U995" s="13" t="s">
        <v>4181</v>
      </c>
      <c r="V995" s="91" t="s">
        <v>2329</v>
      </c>
    </row>
    <row r="996" spans="1:23" ht="30" customHeight="1">
      <c r="A996" s="13">
        <v>4</v>
      </c>
      <c r="B996" s="13">
        <v>619</v>
      </c>
      <c r="C996" s="9" t="s">
        <v>2330</v>
      </c>
      <c r="D996" s="9" t="s">
        <v>1983</v>
      </c>
      <c r="E996" s="66" t="s">
        <v>2324</v>
      </c>
      <c r="F996" s="13">
        <v>3000</v>
      </c>
      <c r="G996" s="13">
        <v>0</v>
      </c>
      <c r="H996" s="13">
        <v>0</v>
      </c>
      <c r="I996" s="13">
        <v>0</v>
      </c>
      <c r="J996" s="13">
        <v>0</v>
      </c>
      <c r="K996" s="13">
        <v>0</v>
      </c>
      <c r="L996" s="13">
        <v>0</v>
      </c>
      <c r="M996" s="13">
        <v>0</v>
      </c>
      <c r="N996" s="12">
        <f t="shared" si="152"/>
        <v>0</v>
      </c>
      <c r="O996" s="13">
        <v>0</v>
      </c>
      <c r="P996" s="13">
        <v>0</v>
      </c>
      <c r="Q996" s="13">
        <v>0</v>
      </c>
      <c r="R996" s="14">
        <f t="shared" si="153"/>
        <v>0</v>
      </c>
      <c r="S996" s="13">
        <f t="shared" si="156"/>
        <v>100</v>
      </c>
      <c r="T996" s="13">
        <f t="shared" si="157"/>
        <v>200</v>
      </c>
      <c r="U996" s="13" t="s">
        <v>4181</v>
      </c>
      <c r="V996" s="91" t="s">
        <v>2331</v>
      </c>
    </row>
    <row r="997" spans="1:23" ht="30" customHeight="1">
      <c r="A997" s="13">
        <v>5</v>
      </c>
      <c r="B997" s="13">
        <v>621</v>
      </c>
      <c r="C997" s="9" t="s">
        <v>2332</v>
      </c>
      <c r="D997" s="9" t="s">
        <v>2333</v>
      </c>
      <c r="E997" s="66" t="s">
        <v>2324</v>
      </c>
      <c r="F997" s="13">
        <v>3000</v>
      </c>
      <c r="G997" s="13">
        <v>0</v>
      </c>
      <c r="H997" s="13">
        <v>0</v>
      </c>
      <c r="I997" s="13">
        <v>0</v>
      </c>
      <c r="J997" s="13">
        <v>0</v>
      </c>
      <c r="K997" s="13">
        <v>0</v>
      </c>
      <c r="L997" s="13">
        <v>0</v>
      </c>
      <c r="M997" s="13">
        <v>0</v>
      </c>
      <c r="N997" s="12">
        <f t="shared" si="152"/>
        <v>0</v>
      </c>
      <c r="O997" s="13">
        <v>0</v>
      </c>
      <c r="P997" s="13">
        <v>0</v>
      </c>
      <c r="Q997" s="13">
        <v>0</v>
      </c>
      <c r="R997" s="14">
        <f t="shared" si="153"/>
        <v>0</v>
      </c>
      <c r="S997" s="13">
        <f t="shared" si="156"/>
        <v>100</v>
      </c>
      <c r="T997" s="13">
        <f t="shared" si="157"/>
        <v>200</v>
      </c>
      <c r="U997" s="13" t="s">
        <v>4181</v>
      </c>
      <c r="V997" s="91" t="s">
        <v>2334</v>
      </c>
    </row>
    <row r="998" spans="1:23" ht="30" customHeight="1">
      <c r="A998" s="13">
        <v>6</v>
      </c>
      <c r="B998" s="13">
        <v>622</v>
      </c>
      <c r="C998" s="9" t="s">
        <v>2335</v>
      </c>
      <c r="D998" s="9" t="s">
        <v>2336</v>
      </c>
      <c r="E998" s="66" t="s">
        <v>2324</v>
      </c>
      <c r="F998" s="13">
        <v>3000</v>
      </c>
      <c r="G998" s="13">
        <v>0</v>
      </c>
      <c r="H998" s="13">
        <v>0</v>
      </c>
      <c r="I998" s="13">
        <v>0</v>
      </c>
      <c r="J998" s="13">
        <v>0</v>
      </c>
      <c r="K998" s="13">
        <v>0</v>
      </c>
      <c r="L998" s="13">
        <v>0</v>
      </c>
      <c r="M998" s="13">
        <v>300</v>
      </c>
      <c r="N998" s="12">
        <f t="shared" si="152"/>
        <v>300</v>
      </c>
      <c r="O998" s="13">
        <v>3000</v>
      </c>
      <c r="P998" s="13">
        <v>0</v>
      </c>
      <c r="Q998" s="13">
        <v>5000</v>
      </c>
      <c r="R998" s="14">
        <f t="shared" si="153"/>
        <v>8300</v>
      </c>
      <c r="S998" s="13">
        <f t="shared" si="156"/>
        <v>8400</v>
      </c>
      <c r="T998" s="13">
        <f t="shared" si="157"/>
        <v>8500</v>
      </c>
      <c r="U998" s="13" t="s">
        <v>4181</v>
      </c>
      <c r="V998" s="91" t="s">
        <v>2337</v>
      </c>
    </row>
    <row r="999" spans="1:23" ht="30" customHeight="1">
      <c r="A999" s="13">
        <v>7</v>
      </c>
      <c r="B999" s="13">
        <v>623</v>
      </c>
      <c r="C999" s="9" t="s">
        <v>2338</v>
      </c>
      <c r="D999" s="9" t="s">
        <v>2339</v>
      </c>
      <c r="E999" s="66" t="s">
        <v>2324</v>
      </c>
      <c r="F999" s="13">
        <v>3000</v>
      </c>
      <c r="G999" s="13">
        <v>0</v>
      </c>
      <c r="H999" s="13">
        <v>0</v>
      </c>
      <c r="I999" s="13">
        <v>0</v>
      </c>
      <c r="J999" s="13">
        <v>0</v>
      </c>
      <c r="K999" s="13">
        <v>0</v>
      </c>
      <c r="L999" s="13">
        <v>0</v>
      </c>
      <c r="M999" s="13">
        <v>0</v>
      </c>
      <c r="N999" s="12">
        <f t="shared" si="152"/>
        <v>0</v>
      </c>
      <c r="O999" s="13">
        <v>0</v>
      </c>
      <c r="P999" s="13">
        <v>0</v>
      </c>
      <c r="Q999" s="13">
        <v>0</v>
      </c>
      <c r="R999" s="14">
        <f t="shared" si="153"/>
        <v>0</v>
      </c>
      <c r="S999" s="13">
        <f t="shared" si="156"/>
        <v>100</v>
      </c>
      <c r="T999" s="13">
        <f t="shared" si="157"/>
        <v>200</v>
      </c>
      <c r="U999" s="13" t="s">
        <v>4181</v>
      </c>
      <c r="V999" s="91" t="s">
        <v>2340</v>
      </c>
    </row>
    <row r="1000" spans="1:23" ht="30" customHeight="1">
      <c r="A1000" s="13">
        <v>8</v>
      </c>
      <c r="B1000" s="13">
        <v>624</v>
      </c>
      <c r="C1000" s="9" t="s">
        <v>41</v>
      </c>
      <c r="D1000" s="9" t="s">
        <v>2341</v>
      </c>
      <c r="E1000" s="66" t="s">
        <v>2324</v>
      </c>
      <c r="F1000" s="13">
        <v>2900</v>
      </c>
      <c r="G1000" s="13">
        <v>0</v>
      </c>
      <c r="H1000" s="13">
        <v>0</v>
      </c>
      <c r="I1000" s="13">
        <v>0</v>
      </c>
      <c r="J1000" s="13">
        <v>0</v>
      </c>
      <c r="K1000" s="13">
        <v>0</v>
      </c>
      <c r="L1000" s="13">
        <v>0</v>
      </c>
      <c r="M1000" s="13">
        <v>0</v>
      </c>
      <c r="N1000" s="12">
        <f t="shared" si="152"/>
        <v>0</v>
      </c>
      <c r="O1000" s="13">
        <v>2900</v>
      </c>
      <c r="P1000" s="13">
        <v>0</v>
      </c>
      <c r="Q1000" s="13">
        <v>5000</v>
      </c>
      <c r="R1000" s="14">
        <f t="shared" si="153"/>
        <v>7900</v>
      </c>
      <c r="S1000" s="13">
        <f t="shared" si="156"/>
        <v>8000</v>
      </c>
      <c r="T1000" s="13">
        <f t="shared" si="157"/>
        <v>8100</v>
      </c>
      <c r="U1000" s="13" t="s">
        <v>4181</v>
      </c>
      <c r="V1000" s="23" t="s">
        <v>2342</v>
      </c>
    </row>
    <row r="1001" spans="1:23" ht="30" customHeight="1">
      <c r="A1001" s="13">
        <v>9</v>
      </c>
      <c r="B1001" s="13">
        <v>626</v>
      </c>
      <c r="C1001" s="63" t="s">
        <v>2343</v>
      </c>
      <c r="D1001" s="63" t="s">
        <v>2344</v>
      </c>
      <c r="E1001" s="66" t="s">
        <v>2324</v>
      </c>
      <c r="F1001" s="60">
        <v>2600</v>
      </c>
      <c r="G1001" s="60">
        <v>0</v>
      </c>
      <c r="H1001" s="60">
        <v>0</v>
      </c>
      <c r="I1001" s="60">
        <v>0</v>
      </c>
      <c r="J1001" s="60">
        <v>0</v>
      </c>
      <c r="K1001" s="60">
        <v>0</v>
      </c>
      <c r="L1001" s="60">
        <v>0</v>
      </c>
      <c r="M1001" s="60">
        <v>2600</v>
      </c>
      <c r="N1001" s="12">
        <f t="shared" si="152"/>
        <v>2600</v>
      </c>
      <c r="O1001" s="60">
        <v>2600</v>
      </c>
      <c r="P1001" s="60">
        <v>0</v>
      </c>
      <c r="Q1001" s="13">
        <v>5000</v>
      </c>
      <c r="R1001" s="14">
        <f t="shared" si="153"/>
        <v>10200</v>
      </c>
      <c r="S1001" s="13">
        <f t="shared" si="156"/>
        <v>10300</v>
      </c>
      <c r="T1001" s="13">
        <f t="shared" si="157"/>
        <v>10400</v>
      </c>
      <c r="U1001" s="13" t="s">
        <v>4181</v>
      </c>
      <c r="V1001" s="29" t="s">
        <v>2345</v>
      </c>
    </row>
    <row r="1002" spans="1:23" ht="30" customHeight="1">
      <c r="A1002" s="13">
        <v>10</v>
      </c>
      <c r="B1002" s="13">
        <v>627</v>
      </c>
      <c r="C1002" s="9" t="s">
        <v>2346</v>
      </c>
      <c r="D1002" s="9" t="s">
        <v>855</v>
      </c>
      <c r="E1002" s="66" t="s">
        <v>2324</v>
      </c>
      <c r="F1002" s="13">
        <v>3000</v>
      </c>
      <c r="G1002" s="13">
        <v>0</v>
      </c>
      <c r="H1002" s="13">
        <v>0</v>
      </c>
      <c r="I1002" s="13">
        <v>0</v>
      </c>
      <c r="J1002" s="13">
        <v>0</v>
      </c>
      <c r="K1002" s="13">
        <v>0</v>
      </c>
      <c r="L1002" s="13">
        <v>0</v>
      </c>
      <c r="M1002" s="13">
        <v>0</v>
      </c>
      <c r="N1002" s="12">
        <f t="shared" si="152"/>
        <v>0</v>
      </c>
      <c r="O1002" s="13">
        <v>3000</v>
      </c>
      <c r="P1002" s="13">
        <v>0</v>
      </c>
      <c r="Q1002" s="13">
        <v>2000</v>
      </c>
      <c r="R1002" s="14">
        <f t="shared" si="153"/>
        <v>5000</v>
      </c>
      <c r="S1002" s="13">
        <f t="shared" si="156"/>
        <v>5100</v>
      </c>
      <c r="T1002" s="13">
        <f t="shared" si="157"/>
        <v>5200</v>
      </c>
      <c r="U1002" s="13" t="s">
        <v>4181</v>
      </c>
      <c r="V1002" s="23" t="s">
        <v>2347</v>
      </c>
    </row>
    <row r="1003" spans="1:23" ht="30" customHeight="1">
      <c r="A1003" s="13">
        <v>11</v>
      </c>
      <c r="B1003" s="13">
        <v>628</v>
      </c>
      <c r="C1003" s="63" t="s">
        <v>2348</v>
      </c>
      <c r="D1003" s="63" t="s">
        <v>855</v>
      </c>
      <c r="E1003" s="66" t="s">
        <v>2324</v>
      </c>
      <c r="F1003" s="60">
        <v>1700</v>
      </c>
      <c r="G1003" s="60">
        <v>0</v>
      </c>
      <c r="H1003" s="60">
        <v>0</v>
      </c>
      <c r="I1003" s="60">
        <v>0</v>
      </c>
      <c r="J1003" s="60">
        <v>0</v>
      </c>
      <c r="K1003" s="60">
        <v>0</v>
      </c>
      <c r="L1003" s="60">
        <v>0</v>
      </c>
      <c r="M1003" s="60">
        <v>0</v>
      </c>
      <c r="N1003" s="12">
        <f t="shared" si="152"/>
        <v>0</v>
      </c>
      <c r="O1003" s="60">
        <v>0</v>
      </c>
      <c r="P1003" s="60">
        <v>0</v>
      </c>
      <c r="Q1003" s="13">
        <v>5000</v>
      </c>
      <c r="R1003" s="14">
        <f t="shared" si="153"/>
        <v>5000</v>
      </c>
      <c r="S1003" s="13">
        <f t="shared" si="156"/>
        <v>5100</v>
      </c>
      <c r="T1003" s="13">
        <f t="shared" si="157"/>
        <v>5200</v>
      </c>
      <c r="U1003" s="13" t="s">
        <v>4181</v>
      </c>
      <c r="V1003" s="29" t="s">
        <v>2347</v>
      </c>
    </row>
    <row r="1004" spans="1:23" ht="30" customHeight="1">
      <c r="A1004" s="13">
        <v>12</v>
      </c>
      <c r="B1004" s="13">
        <v>631</v>
      </c>
      <c r="C1004" s="63" t="s">
        <v>2349</v>
      </c>
      <c r="D1004" s="63" t="s">
        <v>2350</v>
      </c>
      <c r="E1004" s="66" t="s">
        <v>2324</v>
      </c>
      <c r="F1004" s="60">
        <v>3000</v>
      </c>
      <c r="G1004" s="60">
        <v>0</v>
      </c>
      <c r="H1004" s="60">
        <v>0</v>
      </c>
      <c r="I1004" s="60">
        <v>0</v>
      </c>
      <c r="J1004" s="60">
        <v>0</v>
      </c>
      <c r="K1004" s="60">
        <v>0</v>
      </c>
      <c r="L1004" s="60">
        <v>0</v>
      </c>
      <c r="M1004" s="60">
        <v>0</v>
      </c>
      <c r="N1004" s="12">
        <f t="shared" si="152"/>
        <v>0</v>
      </c>
      <c r="O1004" s="60">
        <v>0</v>
      </c>
      <c r="P1004" s="60">
        <v>0</v>
      </c>
      <c r="Q1004" s="13">
        <v>2000</v>
      </c>
      <c r="R1004" s="14">
        <f t="shared" si="153"/>
        <v>2000</v>
      </c>
      <c r="S1004" s="13">
        <f t="shared" si="156"/>
        <v>2100</v>
      </c>
      <c r="T1004" s="13">
        <f t="shared" si="157"/>
        <v>2200</v>
      </c>
      <c r="U1004" s="13" t="s">
        <v>4181</v>
      </c>
      <c r="V1004" s="29" t="s">
        <v>2351</v>
      </c>
    </row>
    <row r="1005" spans="1:23" ht="30" customHeight="1">
      <c r="A1005" s="13">
        <v>13</v>
      </c>
      <c r="B1005" s="13">
        <v>632</v>
      </c>
      <c r="C1005" s="63" t="s">
        <v>2352</v>
      </c>
      <c r="D1005" s="63" t="s">
        <v>2353</v>
      </c>
      <c r="E1005" s="66" t="s">
        <v>2324</v>
      </c>
      <c r="F1005" s="60">
        <v>2700</v>
      </c>
      <c r="G1005" s="60">
        <v>0</v>
      </c>
      <c r="H1005" s="60">
        <v>0</v>
      </c>
      <c r="I1005" s="60">
        <v>0</v>
      </c>
      <c r="J1005" s="60">
        <v>0</v>
      </c>
      <c r="K1005" s="60">
        <v>0</v>
      </c>
      <c r="L1005" s="60">
        <v>0</v>
      </c>
      <c r="M1005" s="60">
        <v>0</v>
      </c>
      <c r="N1005" s="12">
        <f t="shared" si="152"/>
        <v>0</v>
      </c>
      <c r="O1005" s="60">
        <v>0</v>
      </c>
      <c r="P1005" s="60">
        <v>0</v>
      </c>
      <c r="Q1005" s="13">
        <v>0</v>
      </c>
      <c r="R1005" s="14">
        <f t="shared" si="153"/>
        <v>0</v>
      </c>
      <c r="S1005" s="13">
        <f t="shared" si="156"/>
        <v>100</v>
      </c>
      <c r="T1005" s="13">
        <f t="shared" si="157"/>
        <v>200</v>
      </c>
      <c r="U1005" s="13" t="s">
        <v>4181</v>
      </c>
      <c r="V1005" s="29" t="s">
        <v>2354</v>
      </c>
    </row>
    <row r="1006" spans="1:23" ht="30" customHeight="1">
      <c r="A1006" s="13">
        <v>14</v>
      </c>
      <c r="B1006" s="13">
        <v>665</v>
      </c>
      <c r="C1006" s="63" t="s">
        <v>2355</v>
      </c>
      <c r="D1006" s="63" t="s">
        <v>550</v>
      </c>
      <c r="E1006" s="66" t="s">
        <v>2324</v>
      </c>
      <c r="F1006" s="60">
        <v>3000</v>
      </c>
      <c r="G1006" s="60">
        <v>0</v>
      </c>
      <c r="H1006" s="60">
        <v>0</v>
      </c>
      <c r="I1006" s="60">
        <v>0</v>
      </c>
      <c r="J1006" s="60">
        <v>0</v>
      </c>
      <c r="K1006" s="60">
        <v>0</v>
      </c>
      <c r="L1006" s="60">
        <v>0</v>
      </c>
      <c r="M1006" s="60">
        <v>0</v>
      </c>
      <c r="N1006" s="12">
        <f t="shared" si="152"/>
        <v>0</v>
      </c>
      <c r="O1006" s="60">
        <v>0</v>
      </c>
      <c r="P1006" s="60">
        <v>0</v>
      </c>
      <c r="Q1006" s="13">
        <v>0</v>
      </c>
      <c r="R1006" s="14">
        <f t="shared" si="153"/>
        <v>0</v>
      </c>
      <c r="S1006" s="13">
        <f t="shared" si="156"/>
        <v>100</v>
      </c>
      <c r="T1006" s="13">
        <f t="shared" si="157"/>
        <v>200</v>
      </c>
      <c r="U1006" s="13" t="s">
        <v>4181</v>
      </c>
      <c r="V1006" s="29" t="s">
        <v>2356</v>
      </c>
      <c r="W1006" t="s">
        <v>2357</v>
      </c>
    </row>
    <row r="1007" spans="1:23" ht="30" customHeight="1">
      <c r="A1007" s="13">
        <v>15</v>
      </c>
      <c r="B1007" s="13">
        <v>667</v>
      </c>
      <c r="C1007" s="63" t="s">
        <v>2358</v>
      </c>
      <c r="D1007" s="63" t="s">
        <v>2359</v>
      </c>
      <c r="E1007" s="66" t="s">
        <v>2324</v>
      </c>
      <c r="F1007" s="60">
        <v>3000</v>
      </c>
      <c r="G1007" s="60">
        <v>0</v>
      </c>
      <c r="H1007" s="60">
        <v>0</v>
      </c>
      <c r="I1007" s="60">
        <v>0</v>
      </c>
      <c r="J1007" s="60">
        <v>0</v>
      </c>
      <c r="K1007" s="60">
        <v>0</v>
      </c>
      <c r="L1007" s="60">
        <v>0</v>
      </c>
      <c r="M1007" s="60">
        <v>0</v>
      </c>
      <c r="N1007" s="12">
        <f t="shared" si="152"/>
        <v>0</v>
      </c>
      <c r="O1007" s="60">
        <v>0</v>
      </c>
      <c r="P1007" s="60">
        <v>0</v>
      </c>
      <c r="Q1007" s="13">
        <v>5000</v>
      </c>
      <c r="R1007" s="14">
        <f t="shared" si="153"/>
        <v>5000</v>
      </c>
      <c r="S1007" s="13">
        <f t="shared" si="156"/>
        <v>5100</v>
      </c>
      <c r="T1007" s="13">
        <f t="shared" si="157"/>
        <v>5200</v>
      </c>
      <c r="U1007" s="13" t="s">
        <v>4181</v>
      </c>
      <c r="V1007" s="29" t="s">
        <v>2360</v>
      </c>
    </row>
    <row r="1008" spans="1:23" ht="30" customHeight="1">
      <c r="A1008" s="13">
        <v>16</v>
      </c>
      <c r="B1008" s="13">
        <v>6341505</v>
      </c>
      <c r="C1008" s="9" t="s">
        <v>2361</v>
      </c>
      <c r="D1008" s="9" t="s">
        <v>178</v>
      </c>
      <c r="E1008" s="66" t="s">
        <v>2324</v>
      </c>
      <c r="F1008" s="13">
        <v>3000</v>
      </c>
      <c r="G1008" s="13">
        <v>0</v>
      </c>
      <c r="H1008" s="13">
        <v>0</v>
      </c>
      <c r="I1008" s="13">
        <v>0</v>
      </c>
      <c r="J1008" s="13">
        <v>0</v>
      </c>
      <c r="K1008" s="13">
        <v>0</v>
      </c>
      <c r="L1008" s="13">
        <v>0</v>
      </c>
      <c r="M1008" s="13">
        <v>0</v>
      </c>
      <c r="N1008" s="12">
        <f t="shared" si="152"/>
        <v>0</v>
      </c>
      <c r="O1008" s="13">
        <v>0</v>
      </c>
      <c r="P1008" s="13">
        <v>0</v>
      </c>
      <c r="Q1008" s="13">
        <v>0</v>
      </c>
      <c r="R1008" s="14">
        <f t="shared" si="153"/>
        <v>0</v>
      </c>
      <c r="S1008" s="13">
        <f t="shared" si="156"/>
        <v>100</v>
      </c>
      <c r="T1008" s="13">
        <f t="shared" si="157"/>
        <v>200</v>
      </c>
      <c r="U1008" s="13" t="s">
        <v>4181</v>
      </c>
      <c r="V1008" s="23" t="s">
        <v>1213</v>
      </c>
    </row>
    <row r="1009" spans="1:23" ht="30" customHeight="1">
      <c r="A1009" s="13">
        <v>17</v>
      </c>
      <c r="B1009" s="13">
        <v>6351572</v>
      </c>
      <c r="C1009" s="9" t="s">
        <v>2362</v>
      </c>
      <c r="D1009" s="9" t="s">
        <v>2363</v>
      </c>
      <c r="E1009" s="66" t="s">
        <v>2324</v>
      </c>
      <c r="F1009" s="13">
        <v>3000</v>
      </c>
      <c r="G1009" s="13">
        <v>0</v>
      </c>
      <c r="H1009" s="13">
        <v>0</v>
      </c>
      <c r="I1009" s="13">
        <v>0</v>
      </c>
      <c r="J1009" s="13">
        <v>0</v>
      </c>
      <c r="K1009" s="13">
        <v>0</v>
      </c>
      <c r="L1009" s="13">
        <v>0</v>
      </c>
      <c r="M1009" s="13">
        <v>0</v>
      </c>
      <c r="N1009" s="12">
        <f t="shared" si="152"/>
        <v>0</v>
      </c>
      <c r="O1009" s="13">
        <v>0</v>
      </c>
      <c r="P1009" s="13">
        <v>0</v>
      </c>
      <c r="Q1009" s="13">
        <v>5000</v>
      </c>
      <c r="R1009" s="14">
        <f t="shared" si="153"/>
        <v>5000</v>
      </c>
      <c r="S1009" s="13">
        <f t="shared" si="156"/>
        <v>5100</v>
      </c>
      <c r="T1009" s="13">
        <f t="shared" si="157"/>
        <v>5200</v>
      </c>
      <c r="U1009" s="13" t="s">
        <v>4181</v>
      </c>
      <c r="V1009" s="104" t="s">
        <v>4084</v>
      </c>
    </row>
    <row r="1010" spans="1:23" ht="30" customHeight="1">
      <c r="A1010" s="13">
        <v>18</v>
      </c>
      <c r="B1010" s="13">
        <v>6361582</v>
      </c>
      <c r="C1010" s="9" t="s">
        <v>2364</v>
      </c>
      <c r="D1010" s="9" t="s">
        <v>833</v>
      </c>
      <c r="E1010" s="66" t="s">
        <v>2324</v>
      </c>
      <c r="F1010" s="13">
        <v>3000</v>
      </c>
      <c r="G1010" s="13">
        <v>0</v>
      </c>
      <c r="H1010" s="13">
        <v>0</v>
      </c>
      <c r="I1010" s="13">
        <v>0</v>
      </c>
      <c r="J1010" s="13">
        <v>0</v>
      </c>
      <c r="K1010" s="13">
        <v>0</v>
      </c>
      <c r="L1010" s="13">
        <v>0</v>
      </c>
      <c r="M1010" s="13">
        <v>0</v>
      </c>
      <c r="N1010" s="12">
        <f t="shared" si="152"/>
        <v>0</v>
      </c>
      <c r="O1010" s="13">
        <v>0</v>
      </c>
      <c r="P1010" s="13">
        <v>0</v>
      </c>
      <c r="Q1010" s="13">
        <v>5000</v>
      </c>
      <c r="R1010" s="14">
        <f t="shared" si="153"/>
        <v>5000</v>
      </c>
      <c r="S1010" s="13">
        <f t="shared" si="156"/>
        <v>5100</v>
      </c>
      <c r="T1010" s="13">
        <f t="shared" si="157"/>
        <v>5200</v>
      </c>
      <c r="U1010" s="13" t="s">
        <v>4181</v>
      </c>
      <c r="V1010" s="23" t="s">
        <v>2365</v>
      </c>
    </row>
    <row r="1011" spans="1:23" ht="30" customHeight="1">
      <c r="A1011" s="13">
        <v>19</v>
      </c>
      <c r="B1011" s="13">
        <v>6371625</v>
      </c>
      <c r="C1011" s="9" t="s">
        <v>146</v>
      </c>
      <c r="D1011" s="9" t="s">
        <v>2366</v>
      </c>
      <c r="E1011" s="66" t="s">
        <v>2324</v>
      </c>
      <c r="F1011" s="13">
        <v>3000</v>
      </c>
      <c r="G1011" s="13">
        <v>0</v>
      </c>
      <c r="H1011" s="13">
        <v>0</v>
      </c>
      <c r="I1011" s="13">
        <v>0</v>
      </c>
      <c r="J1011" s="13">
        <v>0</v>
      </c>
      <c r="K1011" s="13">
        <v>0</v>
      </c>
      <c r="L1011" s="13">
        <v>0</v>
      </c>
      <c r="M1011" s="13">
        <v>0</v>
      </c>
      <c r="N1011" s="12">
        <f t="shared" si="152"/>
        <v>0</v>
      </c>
      <c r="O1011" s="13">
        <v>3000</v>
      </c>
      <c r="P1011" s="13">
        <v>0</v>
      </c>
      <c r="Q1011" s="13">
        <v>2000</v>
      </c>
      <c r="R1011" s="14">
        <f t="shared" si="153"/>
        <v>5000</v>
      </c>
      <c r="S1011" s="13">
        <f t="shared" si="156"/>
        <v>5100</v>
      </c>
      <c r="T1011" s="13">
        <f t="shared" si="157"/>
        <v>5200</v>
      </c>
      <c r="U1011" s="13" t="s">
        <v>4181</v>
      </c>
      <c r="V1011" s="23" t="s">
        <v>2367</v>
      </c>
    </row>
    <row r="1012" spans="1:23" ht="30" customHeight="1">
      <c r="A1012" s="13">
        <v>20</v>
      </c>
      <c r="B1012" s="13">
        <v>6383060</v>
      </c>
      <c r="C1012" s="9" t="s">
        <v>2368</v>
      </c>
      <c r="D1012" s="9" t="s">
        <v>2369</v>
      </c>
      <c r="E1012" s="66" t="s">
        <v>2324</v>
      </c>
      <c r="F1012" s="13">
        <v>3000</v>
      </c>
      <c r="G1012" s="13">
        <v>0</v>
      </c>
      <c r="H1012" s="13">
        <v>0</v>
      </c>
      <c r="I1012" s="13">
        <v>0</v>
      </c>
      <c r="J1012" s="13">
        <v>0</v>
      </c>
      <c r="K1012" s="13">
        <v>0</v>
      </c>
      <c r="L1012" s="13">
        <v>0</v>
      </c>
      <c r="M1012" s="13">
        <v>0</v>
      </c>
      <c r="N1012" s="12">
        <f t="shared" si="152"/>
        <v>0</v>
      </c>
      <c r="O1012" s="13">
        <v>3000</v>
      </c>
      <c r="P1012" s="13">
        <v>0</v>
      </c>
      <c r="Q1012" s="13">
        <v>1000</v>
      </c>
      <c r="R1012" s="14">
        <f t="shared" si="153"/>
        <v>4000</v>
      </c>
      <c r="S1012" s="13">
        <f t="shared" si="156"/>
        <v>4100</v>
      </c>
      <c r="T1012" s="13">
        <f t="shared" si="157"/>
        <v>4200</v>
      </c>
      <c r="U1012" s="13" t="s">
        <v>4181</v>
      </c>
      <c r="V1012" s="65" t="s">
        <v>2370</v>
      </c>
    </row>
    <row r="1013" spans="1:23" ht="30" customHeight="1">
      <c r="A1013" s="13">
        <v>21</v>
      </c>
      <c r="B1013" s="13">
        <v>6394105</v>
      </c>
      <c r="C1013" s="9" t="s">
        <v>2371</v>
      </c>
      <c r="D1013" s="9" t="s">
        <v>2372</v>
      </c>
      <c r="E1013" s="66" t="s">
        <v>2324</v>
      </c>
      <c r="F1013" s="13">
        <v>3000</v>
      </c>
      <c r="G1013" s="13">
        <v>0</v>
      </c>
      <c r="H1013" s="13">
        <v>0</v>
      </c>
      <c r="I1013" s="13">
        <v>0</v>
      </c>
      <c r="J1013" s="13">
        <v>0</v>
      </c>
      <c r="K1013" s="13">
        <v>0</v>
      </c>
      <c r="L1013" s="13">
        <v>0</v>
      </c>
      <c r="M1013" s="13">
        <v>0</v>
      </c>
      <c r="N1013" s="12">
        <f t="shared" si="152"/>
        <v>0</v>
      </c>
      <c r="O1013" s="13">
        <v>0</v>
      </c>
      <c r="P1013" s="13">
        <v>0</v>
      </c>
      <c r="Q1013" s="13">
        <v>0</v>
      </c>
      <c r="R1013" s="14">
        <f t="shared" si="153"/>
        <v>0</v>
      </c>
      <c r="S1013" s="13">
        <f t="shared" si="156"/>
        <v>100</v>
      </c>
      <c r="T1013" s="13">
        <f t="shared" si="157"/>
        <v>200</v>
      </c>
      <c r="U1013" s="13" t="s">
        <v>4181</v>
      </c>
      <c r="V1013" s="65" t="s">
        <v>2373</v>
      </c>
    </row>
    <row r="1014" spans="1:23" ht="30" customHeight="1">
      <c r="A1014" s="13">
        <v>22</v>
      </c>
      <c r="B1014" s="13">
        <v>6404676</v>
      </c>
      <c r="C1014" s="9" t="s">
        <v>2374</v>
      </c>
      <c r="D1014" s="9" t="s">
        <v>539</v>
      </c>
      <c r="E1014" s="66" t="s">
        <v>2324</v>
      </c>
      <c r="F1014" s="13">
        <v>3000</v>
      </c>
      <c r="G1014" s="13">
        <v>0</v>
      </c>
      <c r="H1014" s="13">
        <v>0</v>
      </c>
      <c r="I1014" s="13">
        <v>0</v>
      </c>
      <c r="J1014" s="13">
        <v>0</v>
      </c>
      <c r="K1014" s="13">
        <v>0</v>
      </c>
      <c r="L1014" s="13">
        <v>0</v>
      </c>
      <c r="M1014" s="13">
        <v>0</v>
      </c>
      <c r="N1014" s="12">
        <f t="shared" ref="N1014:N1034" si="158">(SUM(G1014:M1014))</f>
        <v>0</v>
      </c>
      <c r="O1014" s="13">
        <v>3000</v>
      </c>
      <c r="P1014" s="13">
        <v>0</v>
      </c>
      <c r="Q1014" s="13">
        <v>5000</v>
      </c>
      <c r="R1014" s="14">
        <f t="shared" ref="R1014:R1035" si="159">(SUM(N1014:Q1014))</f>
        <v>8000</v>
      </c>
      <c r="S1014" s="13">
        <f t="shared" si="156"/>
        <v>8100</v>
      </c>
      <c r="T1014" s="13">
        <f t="shared" si="157"/>
        <v>8200</v>
      </c>
      <c r="U1014" s="13" t="s">
        <v>4181</v>
      </c>
      <c r="V1014" s="65" t="s">
        <v>2375</v>
      </c>
    </row>
    <row r="1015" spans="1:23" ht="30" customHeight="1">
      <c r="A1015" s="13">
        <v>23</v>
      </c>
      <c r="B1015" s="13">
        <v>6414704</v>
      </c>
      <c r="C1015" s="9" t="s">
        <v>536</v>
      </c>
      <c r="D1015" s="9" t="s">
        <v>2376</v>
      </c>
      <c r="E1015" s="66" t="s">
        <v>2324</v>
      </c>
      <c r="F1015" s="13">
        <v>3000</v>
      </c>
      <c r="G1015" s="13">
        <v>0</v>
      </c>
      <c r="H1015" s="13">
        <v>0</v>
      </c>
      <c r="I1015" s="13">
        <v>0</v>
      </c>
      <c r="J1015" s="13">
        <v>0</v>
      </c>
      <c r="K1015" s="13">
        <v>0</v>
      </c>
      <c r="L1015" s="13">
        <v>0</v>
      </c>
      <c r="M1015" s="13">
        <v>0</v>
      </c>
      <c r="N1015" s="12">
        <f t="shared" si="158"/>
        <v>0</v>
      </c>
      <c r="O1015" s="13">
        <v>0</v>
      </c>
      <c r="P1015" s="13">
        <v>0</v>
      </c>
      <c r="Q1015" s="13">
        <v>0</v>
      </c>
      <c r="R1015" s="14">
        <f t="shared" si="159"/>
        <v>0</v>
      </c>
      <c r="S1015" s="13">
        <f t="shared" si="156"/>
        <v>100</v>
      </c>
      <c r="T1015" s="13">
        <f t="shared" si="157"/>
        <v>200</v>
      </c>
      <c r="U1015" s="13" t="s">
        <v>4181</v>
      </c>
      <c r="V1015" s="65" t="s">
        <v>2377</v>
      </c>
    </row>
    <row r="1016" spans="1:23" ht="30" customHeight="1">
      <c r="A1016" s="13">
        <v>24</v>
      </c>
      <c r="B1016" s="13">
        <v>6424824</v>
      </c>
      <c r="C1016" s="9" t="s">
        <v>2378</v>
      </c>
      <c r="D1016" s="9" t="s">
        <v>2379</v>
      </c>
      <c r="E1016" s="66" t="s">
        <v>2324</v>
      </c>
      <c r="F1016" s="13">
        <v>3000</v>
      </c>
      <c r="G1016" s="13">
        <v>0</v>
      </c>
      <c r="H1016" s="13">
        <v>0</v>
      </c>
      <c r="I1016" s="13">
        <v>0</v>
      </c>
      <c r="J1016" s="13">
        <v>0</v>
      </c>
      <c r="K1016" s="13">
        <v>0</v>
      </c>
      <c r="L1016" s="13">
        <v>0</v>
      </c>
      <c r="M1016" s="13">
        <v>0</v>
      </c>
      <c r="N1016" s="12">
        <f t="shared" si="158"/>
        <v>0</v>
      </c>
      <c r="O1016" s="13">
        <v>3000</v>
      </c>
      <c r="P1016" s="13">
        <v>0</v>
      </c>
      <c r="Q1016" s="13">
        <v>2000</v>
      </c>
      <c r="R1016" s="14">
        <f t="shared" si="159"/>
        <v>5000</v>
      </c>
      <c r="S1016" s="13">
        <f t="shared" si="156"/>
        <v>5100</v>
      </c>
      <c r="T1016" s="13">
        <f t="shared" si="157"/>
        <v>5200</v>
      </c>
      <c r="U1016" s="13" t="s">
        <v>4181</v>
      </c>
      <c r="V1016" s="65" t="s">
        <v>2380</v>
      </c>
      <c r="W1016" t="s">
        <v>2302</v>
      </c>
    </row>
    <row r="1017" spans="1:23" ht="30" customHeight="1">
      <c r="A1017" s="13">
        <v>25</v>
      </c>
      <c r="B1017" s="13">
        <v>6434883</v>
      </c>
      <c r="C1017" s="9" t="s">
        <v>2381</v>
      </c>
      <c r="D1017" s="9" t="s">
        <v>2304</v>
      </c>
      <c r="E1017" s="66" t="s">
        <v>2324</v>
      </c>
      <c r="F1017" s="13">
        <v>3000</v>
      </c>
      <c r="G1017" s="13">
        <v>0</v>
      </c>
      <c r="H1017" s="13">
        <v>0</v>
      </c>
      <c r="I1017" s="13">
        <v>0</v>
      </c>
      <c r="J1017" s="13">
        <v>0</v>
      </c>
      <c r="K1017" s="13">
        <v>0</v>
      </c>
      <c r="L1017" s="13">
        <v>0</v>
      </c>
      <c r="M1017" s="13">
        <v>0</v>
      </c>
      <c r="N1017" s="12">
        <f t="shared" si="158"/>
        <v>0</v>
      </c>
      <c r="O1017" s="13">
        <v>3000</v>
      </c>
      <c r="P1017" s="13">
        <v>0</v>
      </c>
      <c r="Q1017" s="13">
        <v>5000</v>
      </c>
      <c r="R1017" s="14">
        <f t="shared" si="159"/>
        <v>8000</v>
      </c>
      <c r="S1017" s="13">
        <f t="shared" si="156"/>
        <v>8100</v>
      </c>
      <c r="T1017" s="13">
        <f t="shared" si="157"/>
        <v>8200</v>
      </c>
      <c r="U1017" s="13" t="s">
        <v>4181</v>
      </c>
      <c r="V1017" s="65" t="s">
        <v>2382</v>
      </c>
    </row>
    <row r="1018" spans="1:23" ht="30" customHeight="1">
      <c r="A1018" s="13">
        <v>26</v>
      </c>
      <c r="B1018" s="13">
        <v>6444949</v>
      </c>
      <c r="C1018" s="9" t="s">
        <v>2383</v>
      </c>
      <c r="D1018" s="9" t="s">
        <v>2384</v>
      </c>
      <c r="E1018" s="66" t="s">
        <v>2324</v>
      </c>
      <c r="F1018" s="13">
        <v>3000</v>
      </c>
      <c r="G1018" s="13">
        <v>0</v>
      </c>
      <c r="H1018" s="13">
        <v>0</v>
      </c>
      <c r="I1018" s="13">
        <v>0</v>
      </c>
      <c r="J1018" s="13">
        <v>0</v>
      </c>
      <c r="K1018" s="13">
        <v>0</v>
      </c>
      <c r="L1018" s="13">
        <v>0</v>
      </c>
      <c r="M1018" s="13">
        <v>0</v>
      </c>
      <c r="N1018" s="12">
        <f t="shared" si="158"/>
        <v>0</v>
      </c>
      <c r="O1018" s="13">
        <v>2000</v>
      </c>
      <c r="P1018" s="13">
        <v>0</v>
      </c>
      <c r="Q1018" s="13">
        <v>0</v>
      </c>
      <c r="R1018" s="14">
        <f t="shared" si="159"/>
        <v>2000</v>
      </c>
      <c r="S1018" s="13">
        <f t="shared" si="156"/>
        <v>2100</v>
      </c>
      <c r="T1018" s="13">
        <f t="shared" si="157"/>
        <v>2200</v>
      </c>
      <c r="U1018" s="13" t="s">
        <v>4181</v>
      </c>
      <c r="V1018" s="65" t="s">
        <v>2385</v>
      </c>
    </row>
    <row r="1019" spans="1:23" ht="30" customHeight="1">
      <c r="A1019" s="13">
        <v>27</v>
      </c>
      <c r="B1019" s="13">
        <v>6464985</v>
      </c>
      <c r="C1019" s="9" t="s">
        <v>2386</v>
      </c>
      <c r="D1019" s="9" t="s">
        <v>2387</v>
      </c>
      <c r="E1019" s="66" t="s">
        <v>2324</v>
      </c>
      <c r="F1019" s="13">
        <v>2900</v>
      </c>
      <c r="G1019" s="13">
        <v>0</v>
      </c>
      <c r="H1019" s="13">
        <v>0</v>
      </c>
      <c r="I1019" s="13">
        <v>0</v>
      </c>
      <c r="J1019" s="13">
        <v>0</v>
      </c>
      <c r="K1019" s="13">
        <v>0</v>
      </c>
      <c r="L1019" s="13">
        <v>0</v>
      </c>
      <c r="M1019" s="13">
        <v>0</v>
      </c>
      <c r="N1019" s="12">
        <f t="shared" si="158"/>
        <v>0</v>
      </c>
      <c r="O1019" s="13">
        <v>0</v>
      </c>
      <c r="P1019" s="13">
        <v>0</v>
      </c>
      <c r="Q1019" s="13">
        <v>0</v>
      </c>
      <c r="R1019" s="14">
        <f t="shared" si="159"/>
        <v>0</v>
      </c>
      <c r="S1019" s="13">
        <f t="shared" si="156"/>
        <v>100</v>
      </c>
      <c r="T1019" s="13">
        <f t="shared" si="157"/>
        <v>200</v>
      </c>
      <c r="U1019" s="13" t="s">
        <v>4181</v>
      </c>
      <c r="V1019" s="105" t="s">
        <v>2388</v>
      </c>
    </row>
    <row r="1020" spans="1:23" ht="30" customHeight="1">
      <c r="A1020" s="13">
        <v>28</v>
      </c>
      <c r="B1020" s="13">
        <v>6486048</v>
      </c>
      <c r="C1020" s="9" t="s">
        <v>1997</v>
      </c>
      <c r="D1020" s="9" t="s">
        <v>2390</v>
      </c>
      <c r="E1020" s="66" t="s">
        <v>2324</v>
      </c>
      <c r="F1020" s="13">
        <v>2500</v>
      </c>
      <c r="G1020" s="13">
        <v>0</v>
      </c>
      <c r="H1020" s="13">
        <v>0</v>
      </c>
      <c r="I1020" s="13">
        <v>0</v>
      </c>
      <c r="J1020" s="13">
        <v>0</v>
      </c>
      <c r="K1020" s="13">
        <v>0</v>
      </c>
      <c r="L1020" s="13">
        <v>0</v>
      </c>
      <c r="M1020" s="13">
        <v>0</v>
      </c>
      <c r="N1020" s="12">
        <f t="shared" si="158"/>
        <v>0</v>
      </c>
      <c r="O1020" s="13">
        <v>0</v>
      </c>
      <c r="P1020" s="13">
        <v>0</v>
      </c>
      <c r="Q1020" s="13">
        <v>0</v>
      </c>
      <c r="R1020" s="14">
        <f t="shared" si="159"/>
        <v>0</v>
      </c>
      <c r="S1020" s="13">
        <f t="shared" si="156"/>
        <v>100</v>
      </c>
      <c r="T1020" s="13">
        <f t="shared" si="157"/>
        <v>200</v>
      </c>
      <c r="U1020" s="13" t="s">
        <v>4181</v>
      </c>
      <c r="V1020" s="65" t="s">
        <v>2391</v>
      </c>
      <c r="W1020" t="s">
        <v>2357</v>
      </c>
    </row>
    <row r="1021" spans="1:23" ht="30" customHeight="1">
      <c r="A1021" s="13">
        <v>29</v>
      </c>
      <c r="B1021" s="13">
        <v>6496066</v>
      </c>
      <c r="C1021" s="9" t="s">
        <v>146</v>
      </c>
      <c r="D1021" s="9" t="s">
        <v>2392</v>
      </c>
      <c r="E1021" s="66" t="s">
        <v>2324</v>
      </c>
      <c r="F1021" s="13">
        <v>3000</v>
      </c>
      <c r="G1021" s="13">
        <v>0</v>
      </c>
      <c r="H1021" s="13">
        <v>0</v>
      </c>
      <c r="I1021" s="13">
        <v>0</v>
      </c>
      <c r="J1021" s="13">
        <v>0</v>
      </c>
      <c r="K1021" s="13">
        <v>0</v>
      </c>
      <c r="L1021" s="13">
        <v>0</v>
      </c>
      <c r="M1021" s="13">
        <v>0</v>
      </c>
      <c r="N1021" s="12">
        <f t="shared" si="158"/>
        <v>0</v>
      </c>
      <c r="O1021" s="13">
        <v>3000</v>
      </c>
      <c r="P1021" s="13">
        <v>0</v>
      </c>
      <c r="Q1021" s="13">
        <v>200</v>
      </c>
      <c r="R1021" s="14">
        <f t="shared" si="159"/>
        <v>3200</v>
      </c>
      <c r="S1021" s="13">
        <f t="shared" si="156"/>
        <v>3300</v>
      </c>
      <c r="T1021" s="13">
        <f t="shared" si="157"/>
        <v>3400</v>
      </c>
      <c r="U1021" s="13" t="s">
        <v>4181</v>
      </c>
      <c r="V1021" s="65" t="s">
        <v>2393</v>
      </c>
    </row>
    <row r="1022" spans="1:23" ht="30" customHeight="1">
      <c r="A1022" s="13">
        <v>30</v>
      </c>
      <c r="B1022" s="13">
        <v>6506089</v>
      </c>
      <c r="C1022" s="9" t="s">
        <v>2394</v>
      </c>
      <c r="D1022" s="9" t="s">
        <v>2395</v>
      </c>
      <c r="E1022" s="66" t="s">
        <v>2324</v>
      </c>
      <c r="F1022" s="13">
        <v>3000</v>
      </c>
      <c r="G1022" s="13">
        <v>0</v>
      </c>
      <c r="H1022" s="13">
        <v>0</v>
      </c>
      <c r="I1022" s="13">
        <v>0</v>
      </c>
      <c r="J1022" s="13">
        <v>0</v>
      </c>
      <c r="K1022" s="13">
        <v>0</v>
      </c>
      <c r="L1022" s="13">
        <v>0</v>
      </c>
      <c r="M1022" s="13">
        <v>0</v>
      </c>
      <c r="N1022" s="12">
        <f t="shared" si="158"/>
        <v>0</v>
      </c>
      <c r="O1022" s="13">
        <v>0</v>
      </c>
      <c r="P1022" s="13">
        <v>0</v>
      </c>
      <c r="Q1022" s="13">
        <v>0</v>
      </c>
      <c r="R1022" s="14">
        <f t="shared" si="159"/>
        <v>0</v>
      </c>
      <c r="S1022" s="13">
        <f t="shared" si="156"/>
        <v>100</v>
      </c>
      <c r="T1022" s="13">
        <f t="shared" si="157"/>
        <v>200</v>
      </c>
      <c r="U1022" s="13" t="s">
        <v>4181</v>
      </c>
      <c r="V1022" s="65" t="s">
        <v>2396</v>
      </c>
      <c r="W1022" t="s">
        <v>2302</v>
      </c>
    </row>
    <row r="1023" spans="1:23" ht="30" customHeight="1">
      <c r="A1023" s="13">
        <v>31</v>
      </c>
      <c r="B1023" s="13">
        <v>6516133</v>
      </c>
      <c r="C1023" s="9" t="s">
        <v>467</v>
      </c>
      <c r="D1023" s="9" t="s">
        <v>2307</v>
      </c>
      <c r="E1023" s="66" t="s">
        <v>2324</v>
      </c>
      <c r="F1023" s="13">
        <v>3000</v>
      </c>
      <c r="G1023" s="13">
        <v>0</v>
      </c>
      <c r="H1023" s="13">
        <v>0</v>
      </c>
      <c r="I1023" s="13">
        <v>0</v>
      </c>
      <c r="J1023" s="13">
        <v>0</v>
      </c>
      <c r="K1023" s="13">
        <v>0</v>
      </c>
      <c r="L1023" s="13">
        <v>0</v>
      </c>
      <c r="M1023" s="13">
        <v>0</v>
      </c>
      <c r="N1023" s="12">
        <f t="shared" si="158"/>
        <v>0</v>
      </c>
      <c r="O1023" s="13">
        <v>3000</v>
      </c>
      <c r="P1023" s="13">
        <v>0</v>
      </c>
      <c r="Q1023" s="13">
        <v>0</v>
      </c>
      <c r="R1023" s="14">
        <f t="shared" si="159"/>
        <v>3000</v>
      </c>
      <c r="S1023" s="13">
        <f t="shared" si="156"/>
        <v>3100</v>
      </c>
      <c r="T1023" s="13">
        <f t="shared" si="157"/>
        <v>3200</v>
      </c>
      <c r="U1023" s="13" t="s">
        <v>4181</v>
      </c>
      <c r="V1023" s="65" t="s">
        <v>2397</v>
      </c>
    </row>
    <row r="1024" spans="1:23" ht="30" customHeight="1">
      <c r="A1024" s="13">
        <v>32</v>
      </c>
      <c r="B1024" s="13">
        <v>6526158</v>
      </c>
      <c r="C1024" s="9" t="s">
        <v>2398</v>
      </c>
      <c r="D1024" s="9" t="s">
        <v>1523</v>
      </c>
      <c r="E1024" s="66" t="s">
        <v>2324</v>
      </c>
      <c r="F1024" s="13">
        <v>2800</v>
      </c>
      <c r="G1024" s="13">
        <v>0</v>
      </c>
      <c r="H1024" s="13">
        <v>0</v>
      </c>
      <c r="I1024" s="13">
        <v>0</v>
      </c>
      <c r="J1024" s="13">
        <v>0</v>
      </c>
      <c r="K1024" s="13">
        <v>0</v>
      </c>
      <c r="L1024" s="13">
        <v>0</v>
      </c>
      <c r="M1024" s="13">
        <v>0</v>
      </c>
      <c r="N1024" s="12">
        <f t="shared" si="158"/>
        <v>0</v>
      </c>
      <c r="O1024" s="13">
        <v>0</v>
      </c>
      <c r="P1024" s="13">
        <v>0</v>
      </c>
      <c r="Q1024" s="13">
        <v>0</v>
      </c>
      <c r="R1024" s="14">
        <f t="shared" si="159"/>
        <v>0</v>
      </c>
      <c r="S1024" s="13">
        <f t="shared" si="156"/>
        <v>100</v>
      </c>
      <c r="T1024" s="13">
        <f t="shared" si="157"/>
        <v>200</v>
      </c>
      <c r="U1024" s="13" t="s">
        <v>4181</v>
      </c>
      <c r="V1024" s="65" t="s">
        <v>1524</v>
      </c>
    </row>
    <row r="1025" spans="1:23" ht="30" customHeight="1">
      <c r="A1025" s="13">
        <v>33</v>
      </c>
      <c r="B1025" s="13">
        <v>6536170</v>
      </c>
      <c r="C1025" s="9" t="s">
        <v>433</v>
      </c>
      <c r="D1025" s="9" t="s">
        <v>2399</v>
      </c>
      <c r="E1025" s="66" t="s">
        <v>2324</v>
      </c>
      <c r="F1025" s="13">
        <v>2100</v>
      </c>
      <c r="G1025" s="13">
        <v>0</v>
      </c>
      <c r="H1025" s="13">
        <v>0</v>
      </c>
      <c r="I1025" s="13">
        <v>0</v>
      </c>
      <c r="J1025" s="13">
        <v>0</v>
      </c>
      <c r="K1025" s="13">
        <v>0</v>
      </c>
      <c r="L1025" s="13">
        <v>0</v>
      </c>
      <c r="M1025" s="13">
        <v>0</v>
      </c>
      <c r="N1025" s="12">
        <f t="shared" si="158"/>
        <v>0</v>
      </c>
      <c r="O1025" s="13">
        <v>0</v>
      </c>
      <c r="P1025" s="13">
        <v>0</v>
      </c>
      <c r="Q1025" s="13">
        <v>5000</v>
      </c>
      <c r="R1025" s="14">
        <f t="shared" si="159"/>
        <v>5000</v>
      </c>
      <c r="S1025" s="13">
        <f t="shared" si="156"/>
        <v>5100</v>
      </c>
      <c r="T1025" s="13">
        <f t="shared" si="157"/>
        <v>5200</v>
      </c>
      <c r="U1025" s="13" t="s">
        <v>4181</v>
      </c>
      <c r="V1025" s="23" t="s">
        <v>2317</v>
      </c>
    </row>
    <row r="1026" spans="1:23" ht="30" customHeight="1">
      <c r="A1026" s="13">
        <v>34</v>
      </c>
      <c r="B1026" s="13">
        <v>6546179</v>
      </c>
      <c r="C1026" s="9" t="s">
        <v>60</v>
      </c>
      <c r="D1026" s="9" t="s">
        <v>1458</v>
      </c>
      <c r="E1026" s="66" t="s">
        <v>2324</v>
      </c>
      <c r="F1026" s="13">
        <v>2500</v>
      </c>
      <c r="G1026" s="13">
        <v>0</v>
      </c>
      <c r="H1026" s="13">
        <v>0</v>
      </c>
      <c r="I1026" s="13">
        <v>0</v>
      </c>
      <c r="J1026" s="13">
        <v>0</v>
      </c>
      <c r="K1026" s="13">
        <v>0</v>
      </c>
      <c r="L1026" s="13">
        <v>0</v>
      </c>
      <c r="M1026" s="13">
        <v>0</v>
      </c>
      <c r="N1026" s="12">
        <f t="shared" si="158"/>
        <v>0</v>
      </c>
      <c r="O1026" s="13">
        <v>0</v>
      </c>
      <c r="P1026" s="13">
        <v>0</v>
      </c>
      <c r="Q1026" s="13">
        <v>3000</v>
      </c>
      <c r="R1026" s="14">
        <f t="shared" si="159"/>
        <v>3000</v>
      </c>
      <c r="S1026" s="13">
        <f t="shared" si="156"/>
        <v>3100</v>
      </c>
      <c r="T1026" s="13">
        <f t="shared" si="157"/>
        <v>3200</v>
      </c>
      <c r="U1026" s="13" t="s">
        <v>4181</v>
      </c>
      <c r="V1026" s="23" t="s">
        <v>1459</v>
      </c>
    </row>
    <row r="1027" spans="1:23" ht="30" customHeight="1">
      <c r="A1027" s="13">
        <v>35</v>
      </c>
      <c r="B1027" s="13">
        <v>6556219</v>
      </c>
      <c r="C1027" s="9" t="s">
        <v>2400</v>
      </c>
      <c r="D1027" s="9" t="s">
        <v>2401</v>
      </c>
      <c r="E1027" s="66" t="s">
        <v>2324</v>
      </c>
      <c r="F1027" s="13">
        <v>3000</v>
      </c>
      <c r="G1027" s="13">
        <v>0</v>
      </c>
      <c r="H1027" s="13">
        <v>0</v>
      </c>
      <c r="I1027" s="13">
        <v>0</v>
      </c>
      <c r="J1027" s="13">
        <v>0</v>
      </c>
      <c r="K1027" s="13">
        <v>0</v>
      </c>
      <c r="L1027" s="13">
        <v>0</v>
      </c>
      <c r="M1027" s="13">
        <v>0</v>
      </c>
      <c r="N1027" s="12">
        <f t="shared" si="158"/>
        <v>0</v>
      </c>
      <c r="O1027" s="13">
        <v>3000</v>
      </c>
      <c r="P1027" s="13">
        <v>0</v>
      </c>
      <c r="Q1027" s="13">
        <v>2000</v>
      </c>
      <c r="R1027" s="14">
        <f t="shared" si="159"/>
        <v>5000</v>
      </c>
      <c r="S1027" s="13">
        <f t="shared" si="156"/>
        <v>5100</v>
      </c>
      <c r="T1027" s="13">
        <f t="shared" si="157"/>
        <v>5200</v>
      </c>
      <c r="U1027" s="13" t="s">
        <v>4181</v>
      </c>
      <c r="V1027" s="23" t="s">
        <v>510</v>
      </c>
    </row>
    <row r="1028" spans="1:23" ht="30" customHeight="1">
      <c r="A1028" s="13">
        <v>36</v>
      </c>
      <c r="B1028" s="13">
        <v>6566204</v>
      </c>
      <c r="C1028" s="9" t="s">
        <v>2402</v>
      </c>
      <c r="D1028" s="9" t="s">
        <v>1297</v>
      </c>
      <c r="E1028" s="66" t="s">
        <v>2324</v>
      </c>
      <c r="F1028" s="13">
        <v>1500</v>
      </c>
      <c r="G1028" s="13">
        <v>0</v>
      </c>
      <c r="H1028" s="13">
        <v>0</v>
      </c>
      <c r="I1028" s="13">
        <v>0</v>
      </c>
      <c r="J1028" s="13">
        <v>0</v>
      </c>
      <c r="K1028" s="13">
        <v>0</v>
      </c>
      <c r="L1028" s="13">
        <v>0</v>
      </c>
      <c r="M1028" s="13">
        <v>0</v>
      </c>
      <c r="N1028" s="12">
        <f t="shared" si="158"/>
        <v>0</v>
      </c>
      <c r="O1028" s="13">
        <v>0</v>
      </c>
      <c r="P1028" s="13">
        <v>0</v>
      </c>
      <c r="Q1028" s="13">
        <v>0</v>
      </c>
      <c r="R1028" s="14">
        <f t="shared" si="159"/>
        <v>0</v>
      </c>
      <c r="S1028" s="13">
        <f t="shared" si="156"/>
        <v>100</v>
      </c>
      <c r="T1028" s="13">
        <f t="shared" si="157"/>
        <v>200</v>
      </c>
      <c r="U1028" s="13" t="s">
        <v>4181</v>
      </c>
      <c r="V1028" s="23" t="s">
        <v>1298</v>
      </c>
    </row>
    <row r="1029" spans="1:23" ht="30" customHeight="1">
      <c r="A1029" s="13">
        <v>37</v>
      </c>
      <c r="B1029" s="13">
        <v>6596260</v>
      </c>
      <c r="C1029" s="9" t="s">
        <v>41</v>
      </c>
      <c r="D1029" s="9" t="s">
        <v>1897</v>
      </c>
      <c r="E1029" s="66" t="s">
        <v>2324</v>
      </c>
      <c r="F1029" s="13">
        <v>3000</v>
      </c>
      <c r="G1029" s="13">
        <v>0</v>
      </c>
      <c r="H1029" s="13">
        <v>0</v>
      </c>
      <c r="I1029" s="13">
        <v>0</v>
      </c>
      <c r="J1029" s="13">
        <v>0</v>
      </c>
      <c r="K1029" s="13">
        <v>0</v>
      </c>
      <c r="L1029" s="13">
        <v>0</v>
      </c>
      <c r="M1029" s="13">
        <v>0</v>
      </c>
      <c r="N1029" s="12">
        <f t="shared" si="158"/>
        <v>0</v>
      </c>
      <c r="O1029" s="13">
        <v>3000</v>
      </c>
      <c r="P1029" s="13">
        <v>0</v>
      </c>
      <c r="Q1029" s="13">
        <v>5000</v>
      </c>
      <c r="R1029" s="14">
        <f t="shared" si="159"/>
        <v>8000</v>
      </c>
      <c r="S1029" s="13">
        <f t="shared" si="156"/>
        <v>8100</v>
      </c>
      <c r="T1029" s="13">
        <f t="shared" si="157"/>
        <v>8200</v>
      </c>
      <c r="U1029" s="13" t="s">
        <v>4181</v>
      </c>
      <c r="V1029" s="23" t="s">
        <v>749</v>
      </c>
    </row>
    <row r="1030" spans="1:23" ht="30" customHeight="1">
      <c r="A1030" s="13">
        <v>38</v>
      </c>
      <c r="B1030" s="13">
        <v>6606266</v>
      </c>
      <c r="C1030" s="9" t="s">
        <v>2405</v>
      </c>
      <c r="D1030" s="9" t="s">
        <v>2406</v>
      </c>
      <c r="E1030" s="66" t="s">
        <v>2324</v>
      </c>
      <c r="F1030" s="13">
        <v>2800</v>
      </c>
      <c r="G1030" s="13">
        <v>0</v>
      </c>
      <c r="H1030" s="13">
        <v>0</v>
      </c>
      <c r="I1030" s="13">
        <v>0</v>
      </c>
      <c r="J1030" s="13">
        <v>0</v>
      </c>
      <c r="K1030" s="13">
        <v>0</v>
      </c>
      <c r="L1030" s="13">
        <v>0</v>
      </c>
      <c r="M1030" s="13">
        <v>0</v>
      </c>
      <c r="N1030" s="12">
        <f t="shared" si="158"/>
        <v>0</v>
      </c>
      <c r="O1030" s="13">
        <v>2800</v>
      </c>
      <c r="P1030" s="13">
        <v>0</v>
      </c>
      <c r="Q1030" s="13">
        <v>4300</v>
      </c>
      <c r="R1030" s="14">
        <f t="shared" si="159"/>
        <v>7100</v>
      </c>
      <c r="S1030" s="13">
        <f t="shared" si="156"/>
        <v>7200</v>
      </c>
      <c r="T1030" s="13">
        <f t="shared" si="157"/>
        <v>7300</v>
      </c>
      <c r="U1030" s="13" t="s">
        <v>4181</v>
      </c>
      <c r="V1030" s="23" t="s">
        <v>2407</v>
      </c>
    </row>
    <row r="1031" spans="1:23" ht="30" customHeight="1">
      <c r="A1031" s="13">
        <v>39</v>
      </c>
      <c r="B1031" s="13">
        <v>6616281</v>
      </c>
      <c r="C1031" s="63" t="s">
        <v>271</v>
      </c>
      <c r="D1031" s="63" t="s">
        <v>2408</v>
      </c>
      <c r="E1031" s="66" t="s">
        <v>2324</v>
      </c>
      <c r="F1031" s="60">
        <v>3000</v>
      </c>
      <c r="G1031" s="60">
        <v>0</v>
      </c>
      <c r="H1031" s="60">
        <v>0</v>
      </c>
      <c r="I1031" s="60">
        <v>0</v>
      </c>
      <c r="J1031" s="60">
        <v>0</v>
      </c>
      <c r="K1031" s="60">
        <v>0</v>
      </c>
      <c r="L1031" s="60">
        <v>0</v>
      </c>
      <c r="M1031" s="60">
        <v>0</v>
      </c>
      <c r="N1031" s="12">
        <f t="shared" si="158"/>
        <v>0</v>
      </c>
      <c r="O1031" s="60">
        <v>0</v>
      </c>
      <c r="P1031" s="60">
        <v>0</v>
      </c>
      <c r="Q1031" s="13">
        <v>0</v>
      </c>
      <c r="R1031" s="14">
        <f t="shared" si="159"/>
        <v>0</v>
      </c>
      <c r="S1031" s="13">
        <f t="shared" si="156"/>
        <v>100</v>
      </c>
      <c r="T1031" s="13">
        <f t="shared" si="157"/>
        <v>200</v>
      </c>
      <c r="U1031" s="13" t="s">
        <v>4181</v>
      </c>
      <c r="V1031" s="29" t="s">
        <v>1743</v>
      </c>
    </row>
    <row r="1032" spans="1:23" ht="30" customHeight="1">
      <c r="A1032" s="13">
        <v>40</v>
      </c>
      <c r="B1032" s="13">
        <v>6634995</v>
      </c>
      <c r="C1032" s="9" t="s">
        <v>2409</v>
      </c>
      <c r="D1032" s="9" t="s">
        <v>233</v>
      </c>
      <c r="E1032" s="66" t="s">
        <v>2324</v>
      </c>
      <c r="F1032" s="13">
        <v>3000</v>
      </c>
      <c r="G1032" s="13">
        <v>0</v>
      </c>
      <c r="H1032" s="13">
        <v>0</v>
      </c>
      <c r="I1032" s="13">
        <v>0</v>
      </c>
      <c r="J1032" s="13">
        <v>0</v>
      </c>
      <c r="K1032" s="13">
        <v>3000</v>
      </c>
      <c r="L1032" s="13">
        <v>3000</v>
      </c>
      <c r="M1032" s="13">
        <v>3000</v>
      </c>
      <c r="N1032" s="12">
        <f t="shared" si="158"/>
        <v>9000</v>
      </c>
      <c r="O1032" s="13">
        <v>3000</v>
      </c>
      <c r="P1032" s="13">
        <v>0</v>
      </c>
      <c r="Q1032" s="13">
        <v>5000</v>
      </c>
      <c r="R1032" s="14">
        <f t="shared" si="159"/>
        <v>17000</v>
      </c>
      <c r="S1032" s="13">
        <f t="shared" si="156"/>
        <v>17100</v>
      </c>
      <c r="T1032" s="13">
        <f t="shared" si="157"/>
        <v>17200</v>
      </c>
      <c r="U1032" s="13" t="s">
        <v>4181</v>
      </c>
      <c r="V1032" s="65" t="s">
        <v>2410</v>
      </c>
    </row>
    <row r="1033" spans="1:23" ht="30" customHeight="1">
      <c r="A1033" s="13">
        <v>41</v>
      </c>
      <c r="B1033" s="13">
        <v>6644755</v>
      </c>
      <c r="C1033" s="9" t="s">
        <v>2411</v>
      </c>
      <c r="D1033" s="9" t="s">
        <v>431</v>
      </c>
      <c r="E1033" s="66" t="s">
        <v>2324</v>
      </c>
      <c r="F1033" s="13">
        <v>3000</v>
      </c>
      <c r="G1033" s="13">
        <v>0</v>
      </c>
      <c r="H1033" s="13">
        <v>0</v>
      </c>
      <c r="I1033" s="13">
        <v>0</v>
      </c>
      <c r="J1033" s="13">
        <v>0</v>
      </c>
      <c r="K1033" s="13">
        <v>0</v>
      </c>
      <c r="L1033" s="13">
        <v>0</v>
      </c>
      <c r="M1033" s="13">
        <v>0</v>
      </c>
      <c r="N1033" s="12">
        <f t="shared" si="158"/>
        <v>0</v>
      </c>
      <c r="O1033" s="13">
        <v>0</v>
      </c>
      <c r="P1033" s="13">
        <v>0</v>
      </c>
      <c r="Q1033" s="13">
        <v>0</v>
      </c>
      <c r="R1033" s="14">
        <f t="shared" si="159"/>
        <v>0</v>
      </c>
      <c r="S1033" s="13">
        <f t="shared" si="156"/>
        <v>100</v>
      </c>
      <c r="T1033" s="13">
        <f t="shared" si="157"/>
        <v>200</v>
      </c>
      <c r="U1033" s="13" t="s">
        <v>4181</v>
      </c>
      <c r="V1033" s="65" t="s">
        <v>2412</v>
      </c>
      <c r="W1033" t="s">
        <v>423</v>
      </c>
    </row>
    <row r="1034" spans="1:23" ht="30" customHeight="1">
      <c r="A1034" s="13">
        <v>42</v>
      </c>
      <c r="B1034" s="13">
        <v>6664530</v>
      </c>
      <c r="C1034" s="9" t="s">
        <v>2413</v>
      </c>
      <c r="D1034" s="9" t="s">
        <v>2414</v>
      </c>
      <c r="E1034" s="66" t="s">
        <v>2324</v>
      </c>
      <c r="F1034" s="13">
        <v>3000</v>
      </c>
      <c r="G1034" s="13">
        <v>0</v>
      </c>
      <c r="H1034" s="13">
        <v>0</v>
      </c>
      <c r="I1034" s="13">
        <v>0</v>
      </c>
      <c r="J1034" s="13">
        <v>0</v>
      </c>
      <c r="K1034" s="13">
        <v>0</v>
      </c>
      <c r="L1034" s="13">
        <v>0</v>
      </c>
      <c r="M1034" s="13">
        <v>0</v>
      </c>
      <c r="N1034" s="12">
        <f t="shared" si="158"/>
        <v>0</v>
      </c>
      <c r="O1034" s="13">
        <v>0</v>
      </c>
      <c r="P1034" s="13">
        <v>0</v>
      </c>
      <c r="Q1034" s="13">
        <v>0</v>
      </c>
      <c r="R1034" s="14">
        <f t="shared" si="159"/>
        <v>0</v>
      </c>
      <c r="S1034" s="13">
        <f t="shared" si="156"/>
        <v>100</v>
      </c>
      <c r="T1034" s="13">
        <f t="shared" si="157"/>
        <v>200</v>
      </c>
      <c r="U1034" s="13" t="s">
        <v>4181</v>
      </c>
      <c r="V1034" s="65" t="s">
        <v>2415</v>
      </c>
    </row>
    <row r="1035" spans="1:23" ht="30" customHeight="1">
      <c r="A1035" s="93"/>
      <c r="B1035" s="13"/>
      <c r="C1035" s="9"/>
      <c r="D1035" s="9"/>
      <c r="E1035" s="66"/>
      <c r="F1035" s="106">
        <f t="shared" ref="F1035:Q1035" si="160">(SUM(F51:F1034))</f>
        <v>2200300</v>
      </c>
      <c r="G1035" s="106">
        <f t="shared" si="160"/>
        <v>1000</v>
      </c>
      <c r="H1035" s="106">
        <f t="shared" si="160"/>
        <v>1200</v>
      </c>
      <c r="I1035" s="106">
        <f t="shared" si="160"/>
        <v>4300</v>
      </c>
      <c r="J1035" s="106">
        <f t="shared" si="160"/>
        <v>7100</v>
      </c>
      <c r="K1035" s="106">
        <f t="shared" si="160"/>
        <v>27700</v>
      </c>
      <c r="L1035" s="106">
        <f t="shared" si="160"/>
        <v>40500</v>
      </c>
      <c r="M1035" s="106">
        <f t="shared" si="160"/>
        <v>58700</v>
      </c>
      <c r="N1035" s="106">
        <f t="shared" si="160"/>
        <v>140500</v>
      </c>
      <c r="O1035" s="106">
        <f t="shared" si="160"/>
        <v>509000</v>
      </c>
      <c r="P1035" s="106">
        <f t="shared" si="160"/>
        <v>400</v>
      </c>
      <c r="Q1035" s="106">
        <f t="shared" si="160"/>
        <v>284100</v>
      </c>
      <c r="R1035" s="14">
        <f t="shared" si="159"/>
        <v>934000</v>
      </c>
      <c r="S1035" s="106">
        <f>(SUM(S51:S1034))</f>
        <v>1032400</v>
      </c>
      <c r="T1035" s="106">
        <f>(SUM(T51:T1034))</f>
        <v>1130800</v>
      </c>
      <c r="U1035" s="106">
        <f>(SUM(U51:U1034))</f>
        <v>0</v>
      </c>
      <c r="V1035" s="91"/>
    </row>
  </sheetData>
  <autoFilter ref="A1:X1035">
    <filterColumn colId="9"/>
    <filterColumn colId="10"/>
    <filterColumn colId="11"/>
    <filterColumn colId="12"/>
  </autoFilter>
  <conditionalFormatting sqref="C842">
    <cfRule type="duplicateValues" dxfId="79" priority="6"/>
  </conditionalFormatting>
  <conditionalFormatting sqref="B1:B772 B774:B1048576">
    <cfRule type="duplicateValues" dxfId="78" priority="5"/>
  </conditionalFormatting>
  <conditionalFormatting sqref="B869 B866 B822 B824:B842">
    <cfRule type="duplicateValues" dxfId="77" priority="4"/>
  </conditionalFormatting>
  <conditionalFormatting sqref="C869 C866 C824:C841 C810:C818 C820:C822">
    <cfRule type="duplicateValues" dxfId="76" priority="3"/>
  </conditionalFormatting>
  <conditionalFormatting sqref="B820:B821">
    <cfRule type="duplicateValues" dxfId="75" priority="2"/>
  </conditionalFormatting>
  <conditionalFormatting sqref="B773">
    <cfRule type="duplicateValues" dxfId="74" priority="1"/>
  </conditionalFormatting>
  <pageMargins left="0.27" right="0.52" top="0.31" bottom="0.3" header="0.3" footer="0.3"/>
  <pageSetup paperSize="9" scale="62" orientation="landscape" r:id="rId1"/>
  <rowBreaks count="10" manualBreakCount="10">
    <brk id="115" max="21" man="1"/>
    <brk id="142" max="21" man="1"/>
    <brk id="214" max="21" man="1"/>
    <brk id="277" max="21" man="1"/>
    <brk id="372" max="21" man="1"/>
    <brk id="461" max="21" man="1"/>
    <brk id="648" max="21" man="1"/>
    <brk id="754" max="21" man="1"/>
    <brk id="854" max="21" man="1"/>
    <brk id="976" max="21" man="1"/>
  </rowBreaks>
</worksheet>
</file>

<file path=xl/worksheets/sheet2.xml><?xml version="1.0" encoding="utf-8"?>
<worksheet xmlns="http://schemas.openxmlformats.org/spreadsheetml/2006/main" xmlns:r="http://schemas.openxmlformats.org/officeDocument/2006/relationships">
  <sheetPr codeName="Sheet2"/>
  <dimension ref="A2:Y847"/>
  <sheetViews>
    <sheetView view="pageBreakPreview" zoomScaleNormal="85" zoomScaleSheetLayoutView="100" workbookViewId="0">
      <pane xSplit="5" ySplit="5" topLeftCell="F834" activePane="bottomRight" state="frozen"/>
      <selection pane="topRight" activeCell="F1" sqref="F1"/>
      <selection pane="bottomLeft" activeCell="A6" sqref="A6"/>
      <selection pane="bottomRight" activeCell="A847" sqref="A847:XFD847"/>
    </sheetView>
  </sheetViews>
  <sheetFormatPr defaultRowHeight="15"/>
  <cols>
    <col min="1" max="1" width="5.42578125" customWidth="1"/>
    <col min="2" max="2" width="12" customWidth="1"/>
    <col min="3" max="3" width="27.5703125" customWidth="1"/>
    <col min="4" max="4" width="33" customWidth="1"/>
    <col min="5" max="5" width="13.28515625" customWidth="1"/>
    <col min="6" max="6" width="15" style="107" customWidth="1"/>
    <col min="7" max="7" width="11.85546875" customWidth="1"/>
    <col min="8" max="8" width="8.7109375" customWidth="1"/>
    <col min="9" max="9" width="10.7109375" customWidth="1"/>
    <col min="10" max="10" width="32.140625" customWidth="1"/>
    <col min="11" max="11" width="12.7109375" customWidth="1"/>
    <col min="257" max="257" width="5.42578125" customWidth="1"/>
    <col min="258" max="258" width="9.140625" customWidth="1"/>
    <col min="259" max="259" width="27.5703125" customWidth="1"/>
    <col min="260" max="260" width="33" customWidth="1"/>
    <col min="261" max="261" width="13.28515625" customWidth="1"/>
    <col min="262" max="262" width="15" customWidth="1"/>
    <col min="263" max="263" width="11.85546875" customWidth="1"/>
    <col min="264" max="264" width="8.7109375" customWidth="1"/>
    <col min="265" max="265" width="10.7109375" customWidth="1"/>
    <col min="266" max="266" width="37.140625" customWidth="1"/>
    <col min="267" max="267" width="15.5703125" customWidth="1"/>
    <col min="513" max="513" width="5.42578125" customWidth="1"/>
    <col min="514" max="514" width="9.140625" customWidth="1"/>
    <col min="515" max="515" width="27.5703125" customWidth="1"/>
    <col min="516" max="516" width="33" customWidth="1"/>
    <col min="517" max="517" width="13.28515625" customWidth="1"/>
    <col min="518" max="518" width="15" customWidth="1"/>
    <col min="519" max="519" width="11.85546875" customWidth="1"/>
    <col min="520" max="520" width="8.7109375" customWidth="1"/>
    <col min="521" max="521" width="10.7109375" customWidth="1"/>
    <col min="522" max="522" width="37.140625" customWidth="1"/>
    <col min="523" max="523" width="15.5703125" customWidth="1"/>
    <col min="769" max="769" width="5.42578125" customWidth="1"/>
    <col min="770" max="770" width="9.140625" customWidth="1"/>
    <col min="771" max="771" width="27.5703125" customWidth="1"/>
    <col min="772" max="772" width="33" customWidth="1"/>
    <col min="773" max="773" width="13.28515625" customWidth="1"/>
    <col min="774" max="774" width="15" customWidth="1"/>
    <col min="775" max="775" width="11.85546875" customWidth="1"/>
    <col min="776" max="776" width="8.7109375" customWidth="1"/>
    <col min="777" max="777" width="10.7109375" customWidth="1"/>
    <col min="778" max="778" width="37.140625" customWidth="1"/>
    <col min="779" max="779" width="15.5703125" customWidth="1"/>
    <col min="1025" max="1025" width="5.42578125" customWidth="1"/>
    <col min="1026" max="1026" width="9.140625" customWidth="1"/>
    <col min="1027" max="1027" width="27.5703125" customWidth="1"/>
    <col min="1028" max="1028" width="33" customWidth="1"/>
    <col min="1029" max="1029" width="13.28515625" customWidth="1"/>
    <col min="1030" max="1030" width="15" customWidth="1"/>
    <col min="1031" max="1031" width="11.85546875" customWidth="1"/>
    <col min="1032" max="1032" width="8.7109375" customWidth="1"/>
    <col min="1033" max="1033" width="10.7109375" customWidth="1"/>
    <col min="1034" max="1034" width="37.140625" customWidth="1"/>
    <col min="1035" max="1035" width="15.5703125" customWidth="1"/>
    <col min="1281" max="1281" width="5.42578125" customWidth="1"/>
    <col min="1282" max="1282" width="9.140625" customWidth="1"/>
    <col min="1283" max="1283" width="27.5703125" customWidth="1"/>
    <col min="1284" max="1284" width="33" customWidth="1"/>
    <col min="1285" max="1285" width="13.28515625" customWidth="1"/>
    <col min="1286" max="1286" width="15" customWidth="1"/>
    <col min="1287" max="1287" width="11.85546875" customWidth="1"/>
    <col min="1288" max="1288" width="8.7109375" customWidth="1"/>
    <col min="1289" max="1289" width="10.7109375" customWidth="1"/>
    <col min="1290" max="1290" width="37.140625" customWidth="1"/>
    <col min="1291" max="1291" width="15.5703125" customWidth="1"/>
    <col min="1537" max="1537" width="5.42578125" customWidth="1"/>
    <col min="1538" max="1538" width="9.140625" customWidth="1"/>
    <col min="1539" max="1539" width="27.5703125" customWidth="1"/>
    <col min="1540" max="1540" width="33" customWidth="1"/>
    <col min="1541" max="1541" width="13.28515625" customWidth="1"/>
    <col min="1542" max="1542" width="15" customWidth="1"/>
    <col min="1543" max="1543" width="11.85546875" customWidth="1"/>
    <col min="1544" max="1544" width="8.7109375" customWidth="1"/>
    <col min="1545" max="1545" width="10.7109375" customWidth="1"/>
    <col min="1546" max="1546" width="37.140625" customWidth="1"/>
    <col min="1547" max="1547" width="15.5703125" customWidth="1"/>
    <col min="1793" max="1793" width="5.42578125" customWidth="1"/>
    <col min="1794" max="1794" width="9.140625" customWidth="1"/>
    <col min="1795" max="1795" width="27.5703125" customWidth="1"/>
    <col min="1796" max="1796" width="33" customWidth="1"/>
    <col min="1797" max="1797" width="13.28515625" customWidth="1"/>
    <col min="1798" max="1798" width="15" customWidth="1"/>
    <col min="1799" max="1799" width="11.85546875" customWidth="1"/>
    <col min="1800" max="1800" width="8.7109375" customWidth="1"/>
    <col min="1801" max="1801" width="10.7109375" customWidth="1"/>
    <col min="1802" max="1802" width="37.140625" customWidth="1"/>
    <col min="1803" max="1803" width="15.5703125" customWidth="1"/>
    <col min="2049" max="2049" width="5.42578125" customWidth="1"/>
    <col min="2050" max="2050" width="9.140625" customWidth="1"/>
    <col min="2051" max="2051" width="27.5703125" customWidth="1"/>
    <col min="2052" max="2052" width="33" customWidth="1"/>
    <col min="2053" max="2053" width="13.28515625" customWidth="1"/>
    <col min="2054" max="2054" width="15" customWidth="1"/>
    <col min="2055" max="2055" width="11.85546875" customWidth="1"/>
    <col min="2056" max="2056" width="8.7109375" customWidth="1"/>
    <col min="2057" max="2057" width="10.7109375" customWidth="1"/>
    <col min="2058" max="2058" width="37.140625" customWidth="1"/>
    <col min="2059" max="2059" width="15.5703125" customWidth="1"/>
    <col min="2305" max="2305" width="5.42578125" customWidth="1"/>
    <col min="2306" max="2306" width="9.140625" customWidth="1"/>
    <col min="2307" max="2307" width="27.5703125" customWidth="1"/>
    <col min="2308" max="2308" width="33" customWidth="1"/>
    <col min="2309" max="2309" width="13.28515625" customWidth="1"/>
    <col min="2310" max="2310" width="15" customWidth="1"/>
    <col min="2311" max="2311" width="11.85546875" customWidth="1"/>
    <col min="2312" max="2312" width="8.7109375" customWidth="1"/>
    <col min="2313" max="2313" width="10.7109375" customWidth="1"/>
    <col min="2314" max="2314" width="37.140625" customWidth="1"/>
    <col min="2315" max="2315" width="15.5703125" customWidth="1"/>
    <col min="2561" max="2561" width="5.42578125" customWidth="1"/>
    <col min="2562" max="2562" width="9.140625" customWidth="1"/>
    <col min="2563" max="2563" width="27.5703125" customWidth="1"/>
    <col min="2564" max="2564" width="33" customWidth="1"/>
    <col min="2565" max="2565" width="13.28515625" customWidth="1"/>
    <col min="2566" max="2566" width="15" customWidth="1"/>
    <col min="2567" max="2567" width="11.85546875" customWidth="1"/>
    <col min="2568" max="2568" width="8.7109375" customWidth="1"/>
    <col min="2569" max="2569" width="10.7109375" customWidth="1"/>
    <col min="2570" max="2570" width="37.140625" customWidth="1"/>
    <col min="2571" max="2571" width="15.5703125" customWidth="1"/>
    <col min="2817" max="2817" width="5.42578125" customWidth="1"/>
    <col min="2818" max="2818" width="9.140625" customWidth="1"/>
    <col min="2819" max="2819" width="27.5703125" customWidth="1"/>
    <col min="2820" max="2820" width="33" customWidth="1"/>
    <col min="2821" max="2821" width="13.28515625" customWidth="1"/>
    <col min="2822" max="2822" width="15" customWidth="1"/>
    <col min="2823" max="2823" width="11.85546875" customWidth="1"/>
    <col min="2824" max="2824" width="8.7109375" customWidth="1"/>
    <col min="2825" max="2825" width="10.7109375" customWidth="1"/>
    <col min="2826" max="2826" width="37.140625" customWidth="1"/>
    <col min="2827" max="2827" width="15.5703125" customWidth="1"/>
    <col min="3073" max="3073" width="5.42578125" customWidth="1"/>
    <col min="3074" max="3074" width="9.140625" customWidth="1"/>
    <col min="3075" max="3075" width="27.5703125" customWidth="1"/>
    <col min="3076" max="3076" width="33" customWidth="1"/>
    <col min="3077" max="3077" width="13.28515625" customWidth="1"/>
    <col min="3078" max="3078" width="15" customWidth="1"/>
    <col min="3079" max="3079" width="11.85546875" customWidth="1"/>
    <col min="3080" max="3080" width="8.7109375" customWidth="1"/>
    <col min="3081" max="3081" width="10.7109375" customWidth="1"/>
    <col min="3082" max="3082" width="37.140625" customWidth="1"/>
    <col min="3083" max="3083" width="15.5703125" customWidth="1"/>
    <col min="3329" max="3329" width="5.42578125" customWidth="1"/>
    <col min="3330" max="3330" width="9.140625" customWidth="1"/>
    <col min="3331" max="3331" width="27.5703125" customWidth="1"/>
    <col min="3332" max="3332" width="33" customWidth="1"/>
    <col min="3333" max="3333" width="13.28515625" customWidth="1"/>
    <col min="3334" max="3334" width="15" customWidth="1"/>
    <col min="3335" max="3335" width="11.85546875" customWidth="1"/>
    <col min="3336" max="3336" width="8.7109375" customWidth="1"/>
    <col min="3337" max="3337" width="10.7109375" customWidth="1"/>
    <col min="3338" max="3338" width="37.140625" customWidth="1"/>
    <col min="3339" max="3339" width="15.5703125" customWidth="1"/>
    <col min="3585" max="3585" width="5.42578125" customWidth="1"/>
    <col min="3586" max="3586" width="9.140625" customWidth="1"/>
    <col min="3587" max="3587" width="27.5703125" customWidth="1"/>
    <col min="3588" max="3588" width="33" customWidth="1"/>
    <col min="3589" max="3589" width="13.28515625" customWidth="1"/>
    <col min="3590" max="3590" width="15" customWidth="1"/>
    <col min="3591" max="3591" width="11.85546875" customWidth="1"/>
    <col min="3592" max="3592" width="8.7109375" customWidth="1"/>
    <col min="3593" max="3593" width="10.7109375" customWidth="1"/>
    <col min="3594" max="3594" width="37.140625" customWidth="1"/>
    <col min="3595" max="3595" width="15.5703125" customWidth="1"/>
    <col min="3841" max="3841" width="5.42578125" customWidth="1"/>
    <col min="3842" max="3842" width="9.140625" customWidth="1"/>
    <col min="3843" max="3843" width="27.5703125" customWidth="1"/>
    <col min="3844" max="3844" width="33" customWidth="1"/>
    <col min="3845" max="3845" width="13.28515625" customWidth="1"/>
    <col min="3846" max="3846" width="15" customWidth="1"/>
    <col min="3847" max="3847" width="11.85546875" customWidth="1"/>
    <col min="3848" max="3848" width="8.7109375" customWidth="1"/>
    <col min="3849" max="3849" width="10.7109375" customWidth="1"/>
    <col min="3850" max="3850" width="37.140625" customWidth="1"/>
    <col min="3851" max="3851" width="15.5703125" customWidth="1"/>
    <col min="4097" max="4097" width="5.42578125" customWidth="1"/>
    <col min="4098" max="4098" width="9.140625" customWidth="1"/>
    <col min="4099" max="4099" width="27.5703125" customWidth="1"/>
    <col min="4100" max="4100" width="33" customWidth="1"/>
    <col min="4101" max="4101" width="13.28515625" customWidth="1"/>
    <col min="4102" max="4102" width="15" customWidth="1"/>
    <col min="4103" max="4103" width="11.85546875" customWidth="1"/>
    <col min="4104" max="4104" width="8.7109375" customWidth="1"/>
    <col min="4105" max="4105" width="10.7109375" customWidth="1"/>
    <col min="4106" max="4106" width="37.140625" customWidth="1"/>
    <col min="4107" max="4107" width="15.5703125" customWidth="1"/>
    <col min="4353" max="4353" width="5.42578125" customWidth="1"/>
    <col min="4354" max="4354" width="9.140625" customWidth="1"/>
    <col min="4355" max="4355" width="27.5703125" customWidth="1"/>
    <col min="4356" max="4356" width="33" customWidth="1"/>
    <col min="4357" max="4357" width="13.28515625" customWidth="1"/>
    <col min="4358" max="4358" width="15" customWidth="1"/>
    <col min="4359" max="4359" width="11.85546875" customWidth="1"/>
    <col min="4360" max="4360" width="8.7109375" customWidth="1"/>
    <col min="4361" max="4361" width="10.7109375" customWidth="1"/>
    <col min="4362" max="4362" width="37.140625" customWidth="1"/>
    <col min="4363" max="4363" width="15.5703125" customWidth="1"/>
    <col min="4609" max="4609" width="5.42578125" customWidth="1"/>
    <col min="4610" max="4610" width="9.140625" customWidth="1"/>
    <col min="4611" max="4611" width="27.5703125" customWidth="1"/>
    <col min="4612" max="4612" width="33" customWidth="1"/>
    <col min="4613" max="4613" width="13.28515625" customWidth="1"/>
    <col min="4614" max="4614" width="15" customWidth="1"/>
    <col min="4615" max="4615" width="11.85546875" customWidth="1"/>
    <col min="4616" max="4616" width="8.7109375" customWidth="1"/>
    <col min="4617" max="4617" width="10.7109375" customWidth="1"/>
    <col min="4618" max="4618" width="37.140625" customWidth="1"/>
    <col min="4619" max="4619" width="15.5703125" customWidth="1"/>
    <col min="4865" max="4865" width="5.42578125" customWidth="1"/>
    <col min="4866" max="4866" width="9.140625" customWidth="1"/>
    <col min="4867" max="4867" width="27.5703125" customWidth="1"/>
    <col min="4868" max="4868" width="33" customWidth="1"/>
    <col min="4869" max="4869" width="13.28515625" customWidth="1"/>
    <col min="4870" max="4870" width="15" customWidth="1"/>
    <col min="4871" max="4871" width="11.85546875" customWidth="1"/>
    <col min="4872" max="4872" width="8.7109375" customWidth="1"/>
    <col min="4873" max="4873" width="10.7109375" customWidth="1"/>
    <col min="4874" max="4874" width="37.140625" customWidth="1"/>
    <col min="4875" max="4875" width="15.5703125" customWidth="1"/>
    <col min="5121" max="5121" width="5.42578125" customWidth="1"/>
    <col min="5122" max="5122" width="9.140625" customWidth="1"/>
    <col min="5123" max="5123" width="27.5703125" customWidth="1"/>
    <col min="5124" max="5124" width="33" customWidth="1"/>
    <col min="5125" max="5125" width="13.28515625" customWidth="1"/>
    <col min="5126" max="5126" width="15" customWidth="1"/>
    <col min="5127" max="5127" width="11.85546875" customWidth="1"/>
    <col min="5128" max="5128" width="8.7109375" customWidth="1"/>
    <col min="5129" max="5129" width="10.7109375" customWidth="1"/>
    <col min="5130" max="5130" width="37.140625" customWidth="1"/>
    <col min="5131" max="5131" width="15.5703125" customWidth="1"/>
    <col min="5377" max="5377" width="5.42578125" customWidth="1"/>
    <col min="5378" max="5378" width="9.140625" customWidth="1"/>
    <col min="5379" max="5379" width="27.5703125" customWidth="1"/>
    <col min="5380" max="5380" width="33" customWidth="1"/>
    <col min="5381" max="5381" width="13.28515625" customWidth="1"/>
    <col min="5382" max="5382" width="15" customWidth="1"/>
    <col min="5383" max="5383" width="11.85546875" customWidth="1"/>
    <col min="5384" max="5384" width="8.7109375" customWidth="1"/>
    <col min="5385" max="5385" width="10.7109375" customWidth="1"/>
    <col min="5386" max="5386" width="37.140625" customWidth="1"/>
    <col min="5387" max="5387" width="15.5703125" customWidth="1"/>
    <col min="5633" max="5633" width="5.42578125" customWidth="1"/>
    <col min="5634" max="5634" width="9.140625" customWidth="1"/>
    <col min="5635" max="5635" width="27.5703125" customWidth="1"/>
    <col min="5636" max="5636" width="33" customWidth="1"/>
    <col min="5637" max="5637" width="13.28515625" customWidth="1"/>
    <col min="5638" max="5638" width="15" customWidth="1"/>
    <col min="5639" max="5639" width="11.85546875" customWidth="1"/>
    <col min="5640" max="5640" width="8.7109375" customWidth="1"/>
    <col min="5641" max="5641" width="10.7109375" customWidth="1"/>
    <col min="5642" max="5642" width="37.140625" customWidth="1"/>
    <col min="5643" max="5643" width="15.5703125" customWidth="1"/>
    <col min="5889" max="5889" width="5.42578125" customWidth="1"/>
    <col min="5890" max="5890" width="9.140625" customWidth="1"/>
    <col min="5891" max="5891" width="27.5703125" customWidth="1"/>
    <col min="5892" max="5892" width="33" customWidth="1"/>
    <col min="5893" max="5893" width="13.28515625" customWidth="1"/>
    <col min="5894" max="5894" width="15" customWidth="1"/>
    <col min="5895" max="5895" width="11.85546875" customWidth="1"/>
    <col min="5896" max="5896" width="8.7109375" customWidth="1"/>
    <col min="5897" max="5897" width="10.7109375" customWidth="1"/>
    <col min="5898" max="5898" width="37.140625" customWidth="1"/>
    <col min="5899" max="5899" width="15.5703125" customWidth="1"/>
    <col min="6145" max="6145" width="5.42578125" customWidth="1"/>
    <col min="6146" max="6146" width="9.140625" customWidth="1"/>
    <col min="6147" max="6147" width="27.5703125" customWidth="1"/>
    <col min="6148" max="6148" width="33" customWidth="1"/>
    <col min="6149" max="6149" width="13.28515625" customWidth="1"/>
    <col min="6150" max="6150" width="15" customWidth="1"/>
    <col min="6151" max="6151" width="11.85546875" customWidth="1"/>
    <col min="6152" max="6152" width="8.7109375" customWidth="1"/>
    <col min="6153" max="6153" width="10.7109375" customWidth="1"/>
    <col min="6154" max="6154" width="37.140625" customWidth="1"/>
    <col min="6155" max="6155" width="15.5703125" customWidth="1"/>
    <col min="6401" max="6401" width="5.42578125" customWidth="1"/>
    <col min="6402" max="6402" width="9.140625" customWidth="1"/>
    <col min="6403" max="6403" width="27.5703125" customWidth="1"/>
    <col min="6404" max="6404" width="33" customWidth="1"/>
    <col min="6405" max="6405" width="13.28515625" customWidth="1"/>
    <col min="6406" max="6406" width="15" customWidth="1"/>
    <col min="6407" max="6407" width="11.85546875" customWidth="1"/>
    <col min="6408" max="6408" width="8.7109375" customWidth="1"/>
    <col min="6409" max="6409" width="10.7109375" customWidth="1"/>
    <col min="6410" max="6410" width="37.140625" customWidth="1"/>
    <col min="6411" max="6411" width="15.5703125" customWidth="1"/>
    <col min="6657" max="6657" width="5.42578125" customWidth="1"/>
    <col min="6658" max="6658" width="9.140625" customWidth="1"/>
    <col min="6659" max="6659" width="27.5703125" customWidth="1"/>
    <col min="6660" max="6660" width="33" customWidth="1"/>
    <col min="6661" max="6661" width="13.28515625" customWidth="1"/>
    <col min="6662" max="6662" width="15" customWidth="1"/>
    <col min="6663" max="6663" width="11.85546875" customWidth="1"/>
    <col min="6664" max="6664" width="8.7109375" customWidth="1"/>
    <col min="6665" max="6665" width="10.7109375" customWidth="1"/>
    <col min="6666" max="6666" width="37.140625" customWidth="1"/>
    <col min="6667" max="6667" width="15.5703125" customWidth="1"/>
    <col min="6913" max="6913" width="5.42578125" customWidth="1"/>
    <col min="6914" max="6914" width="9.140625" customWidth="1"/>
    <col min="6915" max="6915" width="27.5703125" customWidth="1"/>
    <col min="6916" max="6916" width="33" customWidth="1"/>
    <col min="6917" max="6917" width="13.28515625" customWidth="1"/>
    <col min="6918" max="6918" width="15" customWidth="1"/>
    <col min="6919" max="6919" width="11.85546875" customWidth="1"/>
    <col min="6920" max="6920" width="8.7109375" customWidth="1"/>
    <col min="6921" max="6921" width="10.7109375" customWidth="1"/>
    <col min="6922" max="6922" width="37.140625" customWidth="1"/>
    <col min="6923" max="6923" width="15.5703125" customWidth="1"/>
    <col min="7169" max="7169" width="5.42578125" customWidth="1"/>
    <col min="7170" max="7170" width="9.140625" customWidth="1"/>
    <col min="7171" max="7171" width="27.5703125" customWidth="1"/>
    <col min="7172" max="7172" width="33" customWidth="1"/>
    <col min="7173" max="7173" width="13.28515625" customWidth="1"/>
    <col min="7174" max="7174" width="15" customWidth="1"/>
    <col min="7175" max="7175" width="11.85546875" customWidth="1"/>
    <col min="7176" max="7176" width="8.7109375" customWidth="1"/>
    <col min="7177" max="7177" width="10.7109375" customWidth="1"/>
    <col min="7178" max="7178" width="37.140625" customWidth="1"/>
    <col min="7179" max="7179" width="15.5703125" customWidth="1"/>
    <col min="7425" max="7425" width="5.42578125" customWidth="1"/>
    <col min="7426" max="7426" width="9.140625" customWidth="1"/>
    <col min="7427" max="7427" width="27.5703125" customWidth="1"/>
    <col min="7428" max="7428" width="33" customWidth="1"/>
    <col min="7429" max="7429" width="13.28515625" customWidth="1"/>
    <col min="7430" max="7430" width="15" customWidth="1"/>
    <col min="7431" max="7431" width="11.85546875" customWidth="1"/>
    <col min="7432" max="7432" width="8.7109375" customWidth="1"/>
    <col min="7433" max="7433" width="10.7109375" customWidth="1"/>
    <col min="7434" max="7434" width="37.140625" customWidth="1"/>
    <col min="7435" max="7435" width="15.5703125" customWidth="1"/>
    <col min="7681" max="7681" width="5.42578125" customWidth="1"/>
    <col min="7682" max="7682" width="9.140625" customWidth="1"/>
    <col min="7683" max="7683" width="27.5703125" customWidth="1"/>
    <col min="7684" max="7684" width="33" customWidth="1"/>
    <col min="7685" max="7685" width="13.28515625" customWidth="1"/>
    <col min="7686" max="7686" width="15" customWidth="1"/>
    <col min="7687" max="7687" width="11.85546875" customWidth="1"/>
    <col min="7688" max="7688" width="8.7109375" customWidth="1"/>
    <col min="7689" max="7689" width="10.7109375" customWidth="1"/>
    <col min="7690" max="7690" width="37.140625" customWidth="1"/>
    <col min="7691" max="7691" width="15.5703125" customWidth="1"/>
    <col min="7937" max="7937" width="5.42578125" customWidth="1"/>
    <col min="7938" max="7938" width="9.140625" customWidth="1"/>
    <col min="7939" max="7939" width="27.5703125" customWidth="1"/>
    <col min="7940" max="7940" width="33" customWidth="1"/>
    <col min="7941" max="7941" width="13.28515625" customWidth="1"/>
    <col min="7942" max="7942" width="15" customWidth="1"/>
    <col min="7943" max="7943" width="11.85546875" customWidth="1"/>
    <col min="7944" max="7944" width="8.7109375" customWidth="1"/>
    <col min="7945" max="7945" width="10.7109375" customWidth="1"/>
    <col min="7946" max="7946" width="37.140625" customWidth="1"/>
    <col min="7947" max="7947" width="15.5703125" customWidth="1"/>
    <col min="8193" max="8193" width="5.42578125" customWidth="1"/>
    <col min="8194" max="8194" width="9.140625" customWidth="1"/>
    <col min="8195" max="8195" width="27.5703125" customWidth="1"/>
    <col min="8196" max="8196" width="33" customWidth="1"/>
    <col min="8197" max="8197" width="13.28515625" customWidth="1"/>
    <col min="8198" max="8198" width="15" customWidth="1"/>
    <col min="8199" max="8199" width="11.85546875" customWidth="1"/>
    <col min="8200" max="8200" width="8.7109375" customWidth="1"/>
    <col min="8201" max="8201" width="10.7109375" customWidth="1"/>
    <col min="8202" max="8202" width="37.140625" customWidth="1"/>
    <col min="8203" max="8203" width="15.5703125" customWidth="1"/>
    <col min="8449" max="8449" width="5.42578125" customWidth="1"/>
    <col min="8450" max="8450" width="9.140625" customWidth="1"/>
    <col min="8451" max="8451" width="27.5703125" customWidth="1"/>
    <col min="8452" max="8452" width="33" customWidth="1"/>
    <col min="8453" max="8453" width="13.28515625" customWidth="1"/>
    <col min="8454" max="8454" width="15" customWidth="1"/>
    <col min="8455" max="8455" width="11.85546875" customWidth="1"/>
    <col min="8456" max="8456" width="8.7109375" customWidth="1"/>
    <col min="8457" max="8457" width="10.7109375" customWidth="1"/>
    <col min="8458" max="8458" width="37.140625" customWidth="1"/>
    <col min="8459" max="8459" width="15.5703125" customWidth="1"/>
    <col min="8705" max="8705" width="5.42578125" customWidth="1"/>
    <col min="8706" max="8706" width="9.140625" customWidth="1"/>
    <col min="8707" max="8707" width="27.5703125" customWidth="1"/>
    <col min="8708" max="8708" width="33" customWidth="1"/>
    <col min="8709" max="8709" width="13.28515625" customWidth="1"/>
    <col min="8710" max="8710" width="15" customWidth="1"/>
    <col min="8711" max="8711" width="11.85546875" customWidth="1"/>
    <col min="8712" max="8712" width="8.7109375" customWidth="1"/>
    <col min="8713" max="8713" width="10.7109375" customWidth="1"/>
    <col min="8714" max="8714" width="37.140625" customWidth="1"/>
    <col min="8715" max="8715" width="15.5703125" customWidth="1"/>
    <col min="8961" max="8961" width="5.42578125" customWidth="1"/>
    <col min="8962" max="8962" width="9.140625" customWidth="1"/>
    <col min="8963" max="8963" width="27.5703125" customWidth="1"/>
    <col min="8964" max="8964" width="33" customWidth="1"/>
    <col min="8965" max="8965" width="13.28515625" customWidth="1"/>
    <col min="8966" max="8966" width="15" customWidth="1"/>
    <col min="8967" max="8967" width="11.85546875" customWidth="1"/>
    <col min="8968" max="8968" width="8.7109375" customWidth="1"/>
    <col min="8969" max="8969" width="10.7109375" customWidth="1"/>
    <col min="8970" max="8970" width="37.140625" customWidth="1"/>
    <col min="8971" max="8971" width="15.5703125" customWidth="1"/>
    <col min="9217" max="9217" width="5.42578125" customWidth="1"/>
    <col min="9218" max="9218" width="9.140625" customWidth="1"/>
    <col min="9219" max="9219" width="27.5703125" customWidth="1"/>
    <col min="9220" max="9220" width="33" customWidth="1"/>
    <col min="9221" max="9221" width="13.28515625" customWidth="1"/>
    <col min="9222" max="9222" width="15" customWidth="1"/>
    <col min="9223" max="9223" width="11.85546875" customWidth="1"/>
    <col min="9224" max="9224" width="8.7109375" customWidth="1"/>
    <col min="9225" max="9225" width="10.7109375" customWidth="1"/>
    <col min="9226" max="9226" width="37.140625" customWidth="1"/>
    <col min="9227" max="9227" width="15.5703125" customWidth="1"/>
    <col min="9473" max="9473" width="5.42578125" customWidth="1"/>
    <col min="9474" max="9474" width="9.140625" customWidth="1"/>
    <col min="9475" max="9475" width="27.5703125" customWidth="1"/>
    <col min="9476" max="9476" width="33" customWidth="1"/>
    <col min="9477" max="9477" width="13.28515625" customWidth="1"/>
    <col min="9478" max="9478" width="15" customWidth="1"/>
    <col min="9479" max="9479" width="11.85546875" customWidth="1"/>
    <col min="9480" max="9480" width="8.7109375" customWidth="1"/>
    <col min="9481" max="9481" width="10.7109375" customWidth="1"/>
    <col min="9482" max="9482" width="37.140625" customWidth="1"/>
    <col min="9483" max="9483" width="15.5703125" customWidth="1"/>
    <col min="9729" max="9729" width="5.42578125" customWidth="1"/>
    <col min="9730" max="9730" width="9.140625" customWidth="1"/>
    <col min="9731" max="9731" width="27.5703125" customWidth="1"/>
    <col min="9732" max="9732" width="33" customWidth="1"/>
    <col min="9733" max="9733" width="13.28515625" customWidth="1"/>
    <col min="9734" max="9734" width="15" customWidth="1"/>
    <col min="9735" max="9735" width="11.85546875" customWidth="1"/>
    <col min="9736" max="9736" width="8.7109375" customWidth="1"/>
    <col min="9737" max="9737" width="10.7109375" customWidth="1"/>
    <col min="9738" max="9738" width="37.140625" customWidth="1"/>
    <col min="9739" max="9739" width="15.5703125" customWidth="1"/>
    <col min="9985" max="9985" width="5.42578125" customWidth="1"/>
    <col min="9986" max="9986" width="9.140625" customWidth="1"/>
    <col min="9987" max="9987" width="27.5703125" customWidth="1"/>
    <col min="9988" max="9988" width="33" customWidth="1"/>
    <col min="9989" max="9989" width="13.28515625" customWidth="1"/>
    <col min="9990" max="9990" width="15" customWidth="1"/>
    <col min="9991" max="9991" width="11.85546875" customWidth="1"/>
    <col min="9992" max="9992" width="8.7109375" customWidth="1"/>
    <col min="9993" max="9993" width="10.7109375" customWidth="1"/>
    <col min="9994" max="9994" width="37.140625" customWidth="1"/>
    <col min="9995" max="9995" width="15.5703125" customWidth="1"/>
    <col min="10241" max="10241" width="5.42578125" customWidth="1"/>
    <col min="10242" max="10242" width="9.140625" customWidth="1"/>
    <col min="10243" max="10243" width="27.5703125" customWidth="1"/>
    <col min="10244" max="10244" width="33" customWidth="1"/>
    <col min="10245" max="10245" width="13.28515625" customWidth="1"/>
    <col min="10246" max="10246" width="15" customWidth="1"/>
    <col min="10247" max="10247" width="11.85546875" customWidth="1"/>
    <col min="10248" max="10248" width="8.7109375" customWidth="1"/>
    <col min="10249" max="10249" width="10.7109375" customWidth="1"/>
    <col min="10250" max="10250" width="37.140625" customWidth="1"/>
    <col min="10251" max="10251" width="15.5703125" customWidth="1"/>
    <col min="10497" max="10497" width="5.42578125" customWidth="1"/>
    <col min="10498" max="10498" width="9.140625" customWidth="1"/>
    <col min="10499" max="10499" width="27.5703125" customWidth="1"/>
    <col min="10500" max="10500" width="33" customWidth="1"/>
    <col min="10501" max="10501" width="13.28515625" customWidth="1"/>
    <col min="10502" max="10502" width="15" customWidth="1"/>
    <col min="10503" max="10503" width="11.85546875" customWidth="1"/>
    <col min="10504" max="10504" width="8.7109375" customWidth="1"/>
    <col min="10505" max="10505" width="10.7109375" customWidth="1"/>
    <col min="10506" max="10506" width="37.140625" customWidth="1"/>
    <col min="10507" max="10507" width="15.5703125" customWidth="1"/>
    <col min="10753" max="10753" width="5.42578125" customWidth="1"/>
    <col min="10754" max="10754" width="9.140625" customWidth="1"/>
    <col min="10755" max="10755" width="27.5703125" customWidth="1"/>
    <col min="10756" max="10756" width="33" customWidth="1"/>
    <col min="10757" max="10757" width="13.28515625" customWidth="1"/>
    <col min="10758" max="10758" width="15" customWidth="1"/>
    <col min="10759" max="10759" width="11.85546875" customWidth="1"/>
    <col min="10760" max="10760" width="8.7109375" customWidth="1"/>
    <col min="10761" max="10761" width="10.7109375" customWidth="1"/>
    <col min="10762" max="10762" width="37.140625" customWidth="1"/>
    <col min="10763" max="10763" width="15.5703125" customWidth="1"/>
    <col min="11009" max="11009" width="5.42578125" customWidth="1"/>
    <col min="11010" max="11010" width="9.140625" customWidth="1"/>
    <col min="11011" max="11011" width="27.5703125" customWidth="1"/>
    <col min="11012" max="11012" width="33" customWidth="1"/>
    <col min="11013" max="11013" width="13.28515625" customWidth="1"/>
    <col min="11014" max="11014" width="15" customWidth="1"/>
    <col min="11015" max="11015" width="11.85546875" customWidth="1"/>
    <col min="11016" max="11016" width="8.7109375" customWidth="1"/>
    <col min="11017" max="11017" width="10.7109375" customWidth="1"/>
    <col min="11018" max="11018" width="37.140625" customWidth="1"/>
    <col min="11019" max="11019" width="15.5703125" customWidth="1"/>
    <col min="11265" max="11265" width="5.42578125" customWidth="1"/>
    <col min="11266" max="11266" width="9.140625" customWidth="1"/>
    <col min="11267" max="11267" width="27.5703125" customWidth="1"/>
    <col min="11268" max="11268" width="33" customWidth="1"/>
    <col min="11269" max="11269" width="13.28515625" customWidth="1"/>
    <col min="11270" max="11270" width="15" customWidth="1"/>
    <col min="11271" max="11271" width="11.85546875" customWidth="1"/>
    <col min="11272" max="11272" width="8.7109375" customWidth="1"/>
    <col min="11273" max="11273" width="10.7109375" customWidth="1"/>
    <col min="11274" max="11274" width="37.140625" customWidth="1"/>
    <col min="11275" max="11275" width="15.5703125" customWidth="1"/>
    <col min="11521" max="11521" width="5.42578125" customWidth="1"/>
    <col min="11522" max="11522" width="9.140625" customWidth="1"/>
    <col min="11523" max="11523" width="27.5703125" customWidth="1"/>
    <col min="11524" max="11524" width="33" customWidth="1"/>
    <col min="11525" max="11525" width="13.28515625" customWidth="1"/>
    <col min="11526" max="11526" width="15" customWidth="1"/>
    <col min="11527" max="11527" width="11.85546875" customWidth="1"/>
    <col min="11528" max="11528" width="8.7109375" customWidth="1"/>
    <col min="11529" max="11529" width="10.7109375" customWidth="1"/>
    <col min="11530" max="11530" width="37.140625" customWidth="1"/>
    <col min="11531" max="11531" width="15.5703125" customWidth="1"/>
    <col min="11777" max="11777" width="5.42578125" customWidth="1"/>
    <col min="11778" max="11778" width="9.140625" customWidth="1"/>
    <col min="11779" max="11779" width="27.5703125" customWidth="1"/>
    <col min="11780" max="11780" width="33" customWidth="1"/>
    <col min="11781" max="11781" width="13.28515625" customWidth="1"/>
    <col min="11782" max="11782" width="15" customWidth="1"/>
    <col min="11783" max="11783" width="11.85546875" customWidth="1"/>
    <col min="11784" max="11784" width="8.7109375" customWidth="1"/>
    <col min="11785" max="11785" width="10.7109375" customWidth="1"/>
    <col min="11786" max="11786" width="37.140625" customWidth="1"/>
    <col min="11787" max="11787" width="15.5703125" customWidth="1"/>
    <col min="12033" max="12033" width="5.42578125" customWidth="1"/>
    <col min="12034" max="12034" width="9.140625" customWidth="1"/>
    <col min="12035" max="12035" width="27.5703125" customWidth="1"/>
    <col min="12036" max="12036" width="33" customWidth="1"/>
    <col min="12037" max="12037" width="13.28515625" customWidth="1"/>
    <col min="12038" max="12038" width="15" customWidth="1"/>
    <col min="12039" max="12039" width="11.85546875" customWidth="1"/>
    <col min="12040" max="12040" width="8.7109375" customWidth="1"/>
    <col min="12041" max="12041" width="10.7109375" customWidth="1"/>
    <col min="12042" max="12042" width="37.140625" customWidth="1"/>
    <col min="12043" max="12043" width="15.5703125" customWidth="1"/>
    <col min="12289" max="12289" width="5.42578125" customWidth="1"/>
    <col min="12290" max="12290" width="9.140625" customWidth="1"/>
    <col min="12291" max="12291" width="27.5703125" customWidth="1"/>
    <col min="12292" max="12292" width="33" customWidth="1"/>
    <col min="12293" max="12293" width="13.28515625" customWidth="1"/>
    <col min="12294" max="12294" width="15" customWidth="1"/>
    <col min="12295" max="12295" width="11.85546875" customWidth="1"/>
    <col min="12296" max="12296" width="8.7109375" customWidth="1"/>
    <col min="12297" max="12297" width="10.7109375" customWidth="1"/>
    <col min="12298" max="12298" width="37.140625" customWidth="1"/>
    <col min="12299" max="12299" width="15.5703125" customWidth="1"/>
    <col min="12545" max="12545" width="5.42578125" customWidth="1"/>
    <col min="12546" max="12546" width="9.140625" customWidth="1"/>
    <col min="12547" max="12547" width="27.5703125" customWidth="1"/>
    <col min="12548" max="12548" width="33" customWidth="1"/>
    <col min="12549" max="12549" width="13.28515625" customWidth="1"/>
    <col min="12550" max="12550" width="15" customWidth="1"/>
    <col min="12551" max="12551" width="11.85546875" customWidth="1"/>
    <col min="12552" max="12552" width="8.7109375" customWidth="1"/>
    <col min="12553" max="12553" width="10.7109375" customWidth="1"/>
    <col min="12554" max="12554" width="37.140625" customWidth="1"/>
    <col min="12555" max="12555" width="15.5703125" customWidth="1"/>
    <col min="12801" max="12801" width="5.42578125" customWidth="1"/>
    <col min="12802" max="12802" width="9.140625" customWidth="1"/>
    <col min="12803" max="12803" width="27.5703125" customWidth="1"/>
    <col min="12804" max="12804" width="33" customWidth="1"/>
    <col min="12805" max="12805" width="13.28515625" customWidth="1"/>
    <col min="12806" max="12806" width="15" customWidth="1"/>
    <col min="12807" max="12807" width="11.85546875" customWidth="1"/>
    <col min="12808" max="12808" width="8.7109375" customWidth="1"/>
    <col min="12809" max="12809" width="10.7109375" customWidth="1"/>
    <col min="12810" max="12810" width="37.140625" customWidth="1"/>
    <col min="12811" max="12811" width="15.5703125" customWidth="1"/>
    <col min="13057" max="13057" width="5.42578125" customWidth="1"/>
    <col min="13058" max="13058" width="9.140625" customWidth="1"/>
    <col min="13059" max="13059" width="27.5703125" customWidth="1"/>
    <col min="13060" max="13060" width="33" customWidth="1"/>
    <col min="13061" max="13061" width="13.28515625" customWidth="1"/>
    <col min="13062" max="13062" width="15" customWidth="1"/>
    <col min="13063" max="13063" width="11.85546875" customWidth="1"/>
    <col min="13064" max="13064" width="8.7109375" customWidth="1"/>
    <col min="13065" max="13065" width="10.7109375" customWidth="1"/>
    <col min="13066" max="13066" width="37.140625" customWidth="1"/>
    <col min="13067" max="13067" width="15.5703125" customWidth="1"/>
    <col min="13313" max="13313" width="5.42578125" customWidth="1"/>
    <col min="13314" max="13314" width="9.140625" customWidth="1"/>
    <col min="13315" max="13315" width="27.5703125" customWidth="1"/>
    <col min="13316" max="13316" width="33" customWidth="1"/>
    <col min="13317" max="13317" width="13.28515625" customWidth="1"/>
    <col min="13318" max="13318" width="15" customWidth="1"/>
    <col min="13319" max="13319" width="11.85546875" customWidth="1"/>
    <col min="13320" max="13320" width="8.7109375" customWidth="1"/>
    <col min="13321" max="13321" width="10.7109375" customWidth="1"/>
    <col min="13322" max="13322" width="37.140625" customWidth="1"/>
    <col min="13323" max="13323" width="15.5703125" customWidth="1"/>
    <col min="13569" max="13569" width="5.42578125" customWidth="1"/>
    <col min="13570" max="13570" width="9.140625" customWidth="1"/>
    <col min="13571" max="13571" width="27.5703125" customWidth="1"/>
    <col min="13572" max="13572" width="33" customWidth="1"/>
    <col min="13573" max="13573" width="13.28515625" customWidth="1"/>
    <col min="13574" max="13574" width="15" customWidth="1"/>
    <col min="13575" max="13575" width="11.85546875" customWidth="1"/>
    <col min="13576" max="13576" width="8.7109375" customWidth="1"/>
    <col min="13577" max="13577" width="10.7109375" customWidth="1"/>
    <col min="13578" max="13578" width="37.140625" customWidth="1"/>
    <col min="13579" max="13579" width="15.5703125" customWidth="1"/>
    <col min="13825" max="13825" width="5.42578125" customWidth="1"/>
    <col min="13826" max="13826" width="9.140625" customWidth="1"/>
    <col min="13827" max="13827" width="27.5703125" customWidth="1"/>
    <col min="13828" max="13828" width="33" customWidth="1"/>
    <col min="13829" max="13829" width="13.28515625" customWidth="1"/>
    <col min="13830" max="13830" width="15" customWidth="1"/>
    <col min="13831" max="13831" width="11.85546875" customWidth="1"/>
    <col min="13832" max="13832" width="8.7109375" customWidth="1"/>
    <col min="13833" max="13833" width="10.7109375" customWidth="1"/>
    <col min="13834" max="13834" width="37.140625" customWidth="1"/>
    <col min="13835" max="13835" width="15.5703125" customWidth="1"/>
    <col min="14081" max="14081" width="5.42578125" customWidth="1"/>
    <col min="14082" max="14082" width="9.140625" customWidth="1"/>
    <col min="14083" max="14083" width="27.5703125" customWidth="1"/>
    <col min="14084" max="14084" width="33" customWidth="1"/>
    <col min="14085" max="14085" width="13.28515625" customWidth="1"/>
    <col min="14086" max="14086" width="15" customWidth="1"/>
    <col min="14087" max="14087" width="11.85546875" customWidth="1"/>
    <col min="14088" max="14088" width="8.7109375" customWidth="1"/>
    <col min="14089" max="14089" width="10.7109375" customWidth="1"/>
    <col min="14090" max="14090" width="37.140625" customWidth="1"/>
    <col min="14091" max="14091" width="15.5703125" customWidth="1"/>
    <col min="14337" max="14337" width="5.42578125" customWidth="1"/>
    <col min="14338" max="14338" width="9.140625" customWidth="1"/>
    <col min="14339" max="14339" width="27.5703125" customWidth="1"/>
    <col min="14340" max="14340" width="33" customWidth="1"/>
    <col min="14341" max="14341" width="13.28515625" customWidth="1"/>
    <col min="14342" max="14342" width="15" customWidth="1"/>
    <col min="14343" max="14343" width="11.85546875" customWidth="1"/>
    <col min="14344" max="14344" width="8.7109375" customWidth="1"/>
    <col min="14345" max="14345" width="10.7109375" customWidth="1"/>
    <col min="14346" max="14346" width="37.140625" customWidth="1"/>
    <col min="14347" max="14347" width="15.5703125" customWidth="1"/>
    <col min="14593" max="14593" width="5.42578125" customWidth="1"/>
    <col min="14594" max="14594" width="9.140625" customWidth="1"/>
    <col min="14595" max="14595" width="27.5703125" customWidth="1"/>
    <col min="14596" max="14596" width="33" customWidth="1"/>
    <col min="14597" max="14597" width="13.28515625" customWidth="1"/>
    <col min="14598" max="14598" width="15" customWidth="1"/>
    <col min="14599" max="14599" width="11.85546875" customWidth="1"/>
    <col min="14600" max="14600" width="8.7109375" customWidth="1"/>
    <col min="14601" max="14601" width="10.7109375" customWidth="1"/>
    <col min="14602" max="14602" width="37.140625" customWidth="1"/>
    <col min="14603" max="14603" width="15.5703125" customWidth="1"/>
    <col min="14849" max="14849" width="5.42578125" customWidth="1"/>
    <col min="14850" max="14850" width="9.140625" customWidth="1"/>
    <col min="14851" max="14851" width="27.5703125" customWidth="1"/>
    <col min="14852" max="14852" width="33" customWidth="1"/>
    <col min="14853" max="14853" width="13.28515625" customWidth="1"/>
    <col min="14854" max="14854" width="15" customWidth="1"/>
    <col min="14855" max="14855" width="11.85546875" customWidth="1"/>
    <col min="14856" max="14856" width="8.7109375" customWidth="1"/>
    <col min="14857" max="14857" width="10.7109375" customWidth="1"/>
    <col min="14858" max="14858" width="37.140625" customWidth="1"/>
    <col min="14859" max="14859" width="15.5703125" customWidth="1"/>
    <col min="15105" max="15105" width="5.42578125" customWidth="1"/>
    <col min="15106" max="15106" width="9.140625" customWidth="1"/>
    <col min="15107" max="15107" width="27.5703125" customWidth="1"/>
    <col min="15108" max="15108" width="33" customWidth="1"/>
    <col min="15109" max="15109" width="13.28515625" customWidth="1"/>
    <col min="15110" max="15110" width="15" customWidth="1"/>
    <col min="15111" max="15111" width="11.85546875" customWidth="1"/>
    <col min="15112" max="15112" width="8.7109375" customWidth="1"/>
    <col min="15113" max="15113" width="10.7109375" customWidth="1"/>
    <col min="15114" max="15114" width="37.140625" customWidth="1"/>
    <col min="15115" max="15115" width="15.5703125" customWidth="1"/>
    <col min="15361" max="15361" width="5.42578125" customWidth="1"/>
    <col min="15362" max="15362" width="9.140625" customWidth="1"/>
    <col min="15363" max="15363" width="27.5703125" customWidth="1"/>
    <col min="15364" max="15364" width="33" customWidth="1"/>
    <col min="15365" max="15365" width="13.28515625" customWidth="1"/>
    <col min="15366" max="15366" width="15" customWidth="1"/>
    <col min="15367" max="15367" width="11.85546875" customWidth="1"/>
    <col min="15368" max="15368" width="8.7109375" customWidth="1"/>
    <col min="15369" max="15369" width="10.7109375" customWidth="1"/>
    <col min="15370" max="15370" width="37.140625" customWidth="1"/>
    <col min="15371" max="15371" width="15.5703125" customWidth="1"/>
    <col min="15617" max="15617" width="5.42578125" customWidth="1"/>
    <col min="15618" max="15618" width="9.140625" customWidth="1"/>
    <col min="15619" max="15619" width="27.5703125" customWidth="1"/>
    <col min="15620" max="15620" width="33" customWidth="1"/>
    <col min="15621" max="15621" width="13.28515625" customWidth="1"/>
    <col min="15622" max="15622" width="15" customWidth="1"/>
    <col min="15623" max="15623" width="11.85546875" customWidth="1"/>
    <col min="15624" max="15624" width="8.7109375" customWidth="1"/>
    <col min="15625" max="15625" width="10.7109375" customWidth="1"/>
    <col min="15626" max="15626" width="37.140625" customWidth="1"/>
    <col min="15627" max="15627" width="15.5703125" customWidth="1"/>
    <col min="15873" max="15873" width="5.42578125" customWidth="1"/>
    <col min="15874" max="15874" width="9.140625" customWidth="1"/>
    <col min="15875" max="15875" width="27.5703125" customWidth="1"/>
    <col min="15876" max="15876" width="33" customWidth="1"/>
    <col min="15877" max="15877" width="13.28515625" customWidth="1"/>
    <col min="15878" max="15878" width="15" customWidth="1"/>
    <col min="15879" max="15879" width="11.85546875" customWidth="1"/>
    <col min="15880" max="15880" width="8.7109375" customWidth="1"/>
    <col min="15881" max="15881" width="10.7109375" customWidth="1"/>
    <col min="15882" max="15882" width="37.140625" customWidth="1"/>
    <col min="15883" max="15883" width="15.5703125" customWidth="1"/>
    <col min="16129" max="16129" width="5.42578125" customWidth="1"/>
    <col min="16130" max="16130" width="9.140625" customWidth="1"/>
    <col min="16131" max="16131" width="27.5703125" customWidth="1"/>
    <col min="16132" max="16132" width="33" customWidth="1"/>
    <col min="16133" max="16133" width="13.28515625" customWidth="1"/>
    <col min="16134" max="16134" width="15" customWidth="1"/>
    <col min="16135" max="16135" width="11.85546875" customWidth="1"/>
    <col min="16136" max="16136" width="8.7109375" customWidth="1"/>
    <col min="16137" max="16137" width="10.7109375" customWidth="1"/>
    <col min="16138" max="16138" width="37.140625" customWidth="1"/>
    <col min="16139" max="16139" width="15.5703125" customWidth="1"/>
  </cols>
  <sheetData>
    <row r="2" spans="1:11" ht="20.25">
      <c r="D2" s="108" t="s">
        <v>2416</v>
      </c>
      <c r="E2" s="109"/>
      <c r="F2" s="110"/>
      <c r="G2" s="109"/>
      <c r="H2" s="109"/>
      <c r="I2" s="109"/>
      <c r="J2" s="109"/>
      <c r="K2" s="109"/>
    </row>
    <row r="3" spans="1:11" ht="21">
      <c r="D3" s="292" t="s">
        <v>2417</v>
      </c>
      <c r="E3" s="292"/>
      <c r="F3" s="292"/>
      <c r="G3" s="292"/>
      <c r="H3" s="111"/>
      <c r="I3" s="111"/>
      <c r="J3" s="111"/>
      <c r="K3" s="111"/>
    </row>
    <row r="4" spans="1:11">
      <c r="A4" s="112"/>
      <c r="B4" s="112"/>
      <c r="C4" s="112"/>
      <c r="D4" s="112"/>
      <c r="E4" s="112"/>
      <c r="F4" s="113"/>
      <c r="G4" s="112"/>
      <c r="H4" s="112"/>
      <c r="I4" s="112"/>
      <c r="J4" s="112"/>
      <c r="K4" s="112"/>
    </row>
    <row r="5" spans="1:11" ht="15.75">
      <c r="A5" s="114" t="s">
        <v>2418</v>
      </c>
      <c r="B5" s="115" t="s">
        <v>2419</v>
      </c>
      <c r="C5" s="115" t="s">
        <v>2420</v>
      </c>
      <c r="D5" s="115" t="s">
        <v>2421</v>
      </c>
      <c r="E5" s="115" t="s">
        <v>4</v>
      </c>
      <c r="F5" s="116" t="s">
        <v>5</v>
      </c>
      <c r="G5" s="115" t="s">
        <v>2422</v>
      </c>
      <c r="H5" s="115" t="s">
        <v>2423</v>
      </c>
      <c r="I5" s="115" t="s">
        <v>2424</v>
      </c>
      <c r="J5" s="115" t="s">
        <v>2425</v>
      </c>
      <c r="K5" s="117" t="s">
        <v>2426</v>
      </c>
    </row>
    <row r="6" spans="1:11" ht="20.100000000000001" customHeight="1">
      <c r="A6" s="118">
        <v>1</v>
      </c>
      <c r="B6" s="19">
        <v>0</v>
      </c>
      <c r="C6" s="21" t="s">
        <v>2427</v>
      </c>
      <c r="D6" s="21" t="s">
        <v>411</v>
      </c>
      <c r="E6" s="21" t="s">
        <v>2428</v>
      </c>
      <c r="F6" s="19"/>
      <c r="G6" s="19"/>
      <c r="H6" s="19"/>
      <c r="I6" s="19"/>
      <c r="J6" s="119" t="s">
        <v>2429</v>
      </c>
      <c r="K6" s="120"/>
    </row>
    <row r="7" spans="1:11" ht="20.100000000000001" customHeight="1">
      <c r="A7" s="104">
        <v>2</v>
      </c>
      <c r="B7" s="13">
        <v>4581</v>
      </c>
      <c r="C7" s="21" t="s">
        <v>1174</v>
      </c>
      <c r="D7" s="21" t="s">
        <v>1818</v>
      </c>
      <c r="E7" s="21" t="s">
        <v>2430</v>
      </c>
      <c r="F7" s="19"/>
      <c r="G7" s="19"/>
      <c r="H7" s="19"/>
      <c r="I7" s="19"/>
      <c r="J7" s="121" t="s">
        <v>2431</v>
      </c>
      <c r="K7" s="122"/>
    </row>
    <row r="8" spans="1:11" ht="20.100000000000001" customHeight="1">
      <c r="A8" s="118">
        <v>3</v>
      </c>
      <c r="B8" s="123">
        <v>4591</v>
      </c>
      <c r="C8" s="124" t="s">
        <v>835</v>
      </c>
      <c r="D8" s="124" t="s">
        <v>2432</v>
      </c>
      <c r="E8" s="124" t="s">
        <v>2433</v>
      </c>
      <c r="F8" s="123"/>
      <c r="G8" s="123"/>
      <c r="H8" s="123"/>
      <c r="I8" s="123"/>
      <c r="J8" s="125" t="s">
        <v>2434</v>
      </c>
      <c r="K8" s="123"/>
    </row>
    <row r="9" spans="1:11" ht="20.100000000000001" customHeight="1">
      <c r="A9" s="104">
        <v>4</v>
      </c>
      <c r="B9" s="123">
        <v>4465</v>
      </c>
      <c r="C9" s="124" t="s">
        <v>522</v>
      </c>
      <c r="D9" s="124" t="s">
        <v>2435</v>
      </c>
      <c r="E9" s="124" t="s">
        <v>2436</v>
      </c>
      <c r="F9" s="123"/>
      <c r="G9" s="123"/>
      <c r="H9" s="123"/>
      <c r="I9" s="123"/>
      <c r="J9" s="126" t="s">
        <v>2437</v>
      </c>
      <c r="K9" s="123"/>
    </row>
    <row r="10" spans="1:11" ht="20.100000000000001" customHeight="1">
      <c r="A10" s="118">
        <v>5</v>
      </c>
      <c r="B10" s="123">
        <v>4519</v>
      </c>
      <c r="C10" s="124" t="s">
        <v>358</v>
      </c>
      <c r="D10" s="124" t="s">
        <v>2438</v>
      </c>
      <c r="E10" s="124" t="s">
        <v>2428</v>
      </c>
      <c r="F10" s="123"/>
      <c r="G10" s="123"/>
      <c r="H10" s="123"/>
      <c r="I10" s="123"/>
      <c r="J10" s="126" t="s">
        <v>2439</v>
      </c>
      <c r="K10" s="123"/>
    </row>
    <row r="11" spans="1:11" ht="20.100000000000001" customHeight="1">
      <c r="A11" s="104">
        <v>6</v>
      </c>
      <c r="B11" s="13">
        <v>4592</v>
      </c>
      <c r="C11" s="9" t="s">
        <v>2440</v>
      </c>
      <c r="D11" s="9" t="s">
        <v>2441</v>
      </c>
      <c r="E11" s="9" t="s">
        <v>2430</v>
      </c>
      <c r="F11" s="13"/>
      <c r="G11" s="13"/>
      <c r="H11" s="13"/>
      <c r="I11" s="13"/>
      <c r="J11" s="121" t="s">
        <v>2442</v>
      </c>
      <c r="K11" s="122"/>
    </row>
    <row r="12" spans="1:11" ht="20.100000000000001" customHeight="1">
      <c r="A12" s="118">
        <v>7</v>
      </c>
      <c r="B12" s="13">
        <v>4317</v>
      </c>
      <c r="C12" s="9" t="s">
        <v>2443</v>
      </c>
      <c r="D12" s="9" t="s">
        <v>2444</v>
      </c>
      <c r="E12" s="9" t="s">
        <v>2445</v>
      </c>
      <c r="F12" s="13"/>
      <c r="G12" s="13"/>
      <c r="H12" s="13"/>
      <c r="I12" s="13"/>
      <c r="J12" s="127" t="s">
        <v>2446</v>
      </c>
      <c r="K12" s="122"/>
    </row>
    <row r="13" spans="1:11" ht="20.100000000000001" customHeight="1">
      <c r="A13" s="104">
        <v>8</v>
      </c>
      <c r="B13" s="13">
        <v>4336</v>
      </c>
      <c r="C13" s="9" t="s">
        <v>2447</v>
      </c>
      <c r="D13" s="9" t="s">
        <v>305</v>
      </c>
      <c r="E13" s="9" t="s">
        <v>2445</v>
      </c>
      <c r="F13" s="13"/>
      <c r="G13" s="13"/>
      <c r="H13" s="13"/>
      <c r="I13" s="13"/>
      <c r="J13" s="127" t="s">
        <v>2448</v>
      </c>
      <c r="K13" s="128"/>
    </row>
    <row r="14" spans="1:11" ht="20.100000000000001" customHeight="1">
      <c r="A14" s="118">
        <v>9</v>
      </c>
      <c r="B14" s="123">
        <v>4594</v>
      </c>
      <c r="C14" s="124" t="s">
        <v>2449</v>
      </c>
      <c r="D14" s="124" t="s">
        <v>2441</v>
      </c>
      <c r="E14" s="124" t="s">
        <v>2450</v>
      </c>
      <c r="F14" s="123"/>
      <c r="G14" s="123"/>
      <c r="H14" s="123"/>
      <c r="I14" s="123"/>
      <c r="J14" s="125"/>
      <c r="K14" s="123"/>
    </row>
    <row r="15" spans="1:11" ht="20.100000000000001" customHeight="1">
      <c r="A15" s="104">
        <v>10</v>
      </c>
      <c r="B15" s="123">
        <v>4630</v>
      </c>
      <c r="C15" s="124" t="s">
        <v>1244</v>
      </c>
      <c r="D15" s="124" t="s">
        <v>2451</v>
      </c>
      <c r="E15" s="124" t="s">
        <v>2445</v>
      </c>
      <c r="F15" s="123"/>
      <c r="G15" s="123"/>
      <c r="H15" s="123"/>
      <c r="I15" s="123"/>
      <c r="J15" s="125" t="s">
        <v>2452</v>
      </c>
      <c r="K15" s="123"/>
    </row>
    <row r="16" spans="1:11" ht="20.100000000000001" customHeight="1">
      <c r="A16" s="118">
        <v>11</v>
      </c>
      <c r="B16" s="13">
        <v>4485</v>
      </c>
      <c r="C16" s="9" t="s">
        <v>410</v>
      </c>
      <c r="D16" s="9" t="s">
        <v>824</v>
      </c>
      <c r="E16" s="9" t="s">
        <v>2445</v>
      </c>
      <c r="F16" s="13"/>
      <c r="G16" s="13"/>
      <c r="H16" s="13"/>
      <c r="I16" s="13"/>
      <c r="J16" s="121" t="s">
        <v>825</v>
      </c>
      <c r="K16" s="122"/>
    </row>
    <row r="17" spans="1:11" ht="20.100000000000001" customHeight="1">
      <c r="A17" s="104">
        <v>12</v>
      </c>
      <c r="B17" s="13">
        <v>4579</v>
      </c>
      <c r="C17" s="9" t="s">
        <v>377</v>
      </c>
      <c r="D17" s="9" t="s">
        <v>1818</v>
      </c>
      <c r="E17" s="9" t="s">
        <v>432</v>
      </c>
      <c r="F17" s="13"/>
      <c r="G17" s="13"/>
      <c r="H17" s="13"/>
      <c r="I17" s="13"/>
      <c r="J17" s="127" t="s">
        <v>2453</v>
      </c>
      <c r="K17" s="122"/>
    </row>
    <row r="18" spans="1:11" ht="20.100000000000001" customHeight="1">
      <c r="A18" s="118">
        <v>13</v>
      </c>
      <c r="B18" s="123">
        <v>4394</v>
      </c>
      <c r="C18" s="124" t="s">
        <v>405</v>
      </c>
      <c r="D18" s="124" t="s">
        <v>2454</v>
      </c>
      <c r="E18" s="124" t="s">
        <v>2455</v>
      </c>
      <c r="F18" s="123"/>
      <c r="G18" s="123"/>
      <c r="H18" s="123"/>
      <c r="I18" s="123"/>
      <c r="J18" s="125" t="s">
        <v>2456</v>
      </c>
      <c r="K18" s="129"/>
    </row>
    <row r="19" spans="1:11" ht="20.100000000000001" customHeight="1">
      <c r="A19" s="104">
        <v>14</v>
      </c>
      <c r="B19" s="13">
        <v>4240</v>
      </c>
      <c r="C19" s="9" t="s">
        <v>1165</v>
      </c>
      <c r="D19" s="9" t="s">
        <v>1166</v>
      </c>
      <c r="E19" s="9" t="s">
        <v>2457</v>
      </c>
      <c r="F19" s="13"/>
      <c r="G19" s="13"/>
      <c r="H19" s="13"/>
      <c r="I19" s="13"/>
      <c r="J19" s="121" t="s">
        <v>1167</v>
      </c>
      <c r="K19" s="122"/>
    </row>
    <row r="20" spans="1:11" ht="20.100000000000001" customHeight="1">
      <c r="A20" s="118">
        <v>15</v>
      </c>
      <c r="B20" s="13">
        <v>4470</v>
      </c>
      <c r="C20" s="9" t="s">
        <v>2458</v>
      </c>
      <c r="D20" s="9" t="s">
        <v>2459</v>
      </c>
      <c r="E20" s="9" t="s">
        <v>2460</v>
      </c>
      <c r="F20" s="13"/>
      <c r="G20" s="13"/>
      <c r="H20" s="13"/>
      <c r="I20" s="13"/>
      <c r="J20" s="121" t="s">
        <v>2461</v>
      </c>
      <c r="K20" s="122"/>
    </row>
    <row r="21" spans="1:11" ht="20.100000000000001" customHeight="1">
      <c r="A21" s="104">
        <v>16</v>
      </c>
      <c r="B21" s="13">
        <v>4340</v>
      </c>
      <c r="C21" s="9" t="s">
        <v>2462</v>
      </c>
      <c r="D21" s="9" t="s">
        <v>2463</v>
      </c>
      <c r="E21" s="9" t="s">
        <v>2460</v>
      </c>
      <c r="F21" s="13"/>
      <c r="G21" s="13"/>
      <c r="H21" s="13"/>
      <c r="I21" s="13"/>
      <c r="J21" s="121"/>
      <c r="K21" s="122"/>
    </row>
    <row r="22" spans="1:11" ht="20.100000000000001" customHeight="1">
      <c r="A22" s="118">
        <v>17</v>
      </c>
      <c r="B22" s="13">
        <v>4133</v>
      </c>
      <c r="C22" s="124" t="s">
        <v>2464</v>
      </c>
      <c r="D22" s="124" t="s">
        <v>387</v>
      </c>
      <c r="E22" s="124" t="s">
        <v>2465</v>
      </c>
      <c r="F22" s="123"/>
      <c r="G22" s="123"/>
      <c r="H22" s="123"/>
      <c r="I22" s="123"/>
      <c r="J22" s="125" t="s">
        <v>2466</v>
      </c>
      <c r="K22" s="123"/>
    </row>
    <row r="23" spans="1:11" ht="20.100000000000001" customHeight="1">
      <c r="A23" s="104">
        <v>18</v>
      </c>
      <c r="B23" s="13">
        <v>4418</v>
      </c>
      <c r="C23" s="9" t="s">
        <v>2467</v>
      </c>
      <c r="D23" s="9" t="s">
        <v>753</v>
      </c>
      <c r="E23" s="9" t="s">
        <v>2468</v>
      </c>
      <c r="F23" s="13"/>
      <c r="G23" s="13"/>
      <c r="H23" s="13"/>
      <c r="I23" s="13"/>
      <c r="J23" s="121"/>
      <c r="K23" s="122"/>
    </row>
    <row r="24" spans="1:11" ht="20.100000000000001" customHeight="1">
      <c r="A24" s="118">
        <v>19</v>
      </c>
      <c r="B24" s="123">
        <v>4578</v>
      </c>
      <c r="C24" s="124" t="s">
        <v>779</v>
      </c>
      <c r="D24" s="124" t="s">
        <v>2469</v>
      </c>
      <c r="E24" s="124" t="s">
        <v>2465</v>
      </c>
      <c r="F24" s="123"/>
      <c r="G24" s="123"/>
      <c r="H24" s="123"/>
      <c r="I24" s="123"/>
      <c r="J24" s="125" t="s">
        <v>2470</v>
      </c>
      <c r="K24" s="123"/>
    </row>
    <row r="25" spans="1:11" ht="20.100000000000001" customHeight="1">
      <c r="A25" s="104">
        <v>20</v>
      </c>
      <c r="B25" s="13">
        <v>2087</v>
      </c>
      <c r="C25" s="9" t="s">
        <v>2471</v>
      </c>
      <c r="D25" s="9" t="s">
        <v>753</v>
      </c>
      <c r="E25" s="9" t="s">
        <v>2472</v>
      </c>
      <c r="F25" s="13"/>
      <c r="G25" s="13"/>
      <c r="H25" s="13"/>
      <c r="I25" s="13"/>
      <c r="J25" s="121"/>
      <c r="K25" s="122"/>
    </row>
    <row r="26" spans="1:11" ht="20.100000000000001" customHeight="1">
      <c r="A26" s="118">
        <v>21</v>
      </c>
      <c r="B26" s="13">
        <v>3049</v>
      </c>
      <c r="C26" s="9" t="s">
        <v>2473</v>
      </c>
      <c r="D26" s="9" t="s">
        <v>2474</v>
      </c>
      <c r="E26" s="9" t="s">
        <v>2472</v>
      </c>
      <c r="F26" s="13"/>
      <c r="G26" s="13"/>
      <c r="H26" s="13"/>
      <c r="I26" s="13"/>
      <c r="J26" s="121" t="s">
        <v>2475</v>
      </c>
      <c r="K26" s="122"/>
    </row>
    <row r="27" spans="1:11" ht="20.100000000000001" customHeight="1">
      <c r="A27" s="104">
        <v>22</v>
      </c>
      <c r="B27" s="13">
        <v>4593</v>
      </c>
      <c r="C27" s="9" t="s">
        <v>2476</v>
      </c>
      <c r="D27" s="9" t="s">
        <v>2441</v>
      </c>
      <c r="E27" s="9" t="s">
        <v>2472</v>
      </c>
      <c r="F27" s="13"/>
      <c r="G27" s="13"/>
      <c r="H27" s="13"/>
      <c r="I27" s="13"/>
      <c r="J27" s="121" t="s">
        <v>2442</v>
      </c>
      <c r="K27" s="130"/>
    </row>
    <row r="28" spans="1:11" ht="20.100000000000001" customHeight="1">
      <c r="A28" s="118">
        <v>23</v>
      </c>
      <c r="B28" s="13">
        <v>4448</v>
      </c>
      <c r="C28" s="9" t="s">
        <v>2477</v>
      </c>
      <c r="D28" s="9" t="s">
        <v>2478</v>
      </c>
      <c r="E28" s="9" t="s">
        <v>2472</v>
      </c>
      <c r="F28" s="13"/>
      <c r="G28" s="13"/>
      <c r="H28" s="13"/>
      <c r="I28" s="13"/>
      <c r="J28" s="127" t="s">
        <v>2479</v>
      </c>
      <c r="K28" s="122"/>
    </row>
    <row r="29" spans="1:11" ht="20.100000000000001" customHeight="1">
      <c r="A29" s="104">
        <v>24</v>
      </c>
      <c r="B29" s="13">
        <v>4034</v>
      </c>
      <c r="C29" s="124" t="s">
        <v>2480</v>
      </c>
      <c r="D29" s="124" t="s">
        <v>2481</v>
      </c>
      <c r="E29" s="124" t="s">
        <v>2482</v>
      </c>
      <c r="F29" s="123"/>
      <c r="G29" s="123"/>
      <c r="H29" s="123"/>
      <c r="I29" s="123"/>
      <c r="J29" s="125" t="s">
        <v>2483</v>
      </c>
      <c r="K29" s="123"/>
    </row>
    <row r="30" spans="1:11" ht="20.100000000000001" customHeight="1">
      <c r="A30" s="118">
        <v>25</v>
      </c>
      <c r="B30" s="123">
        <v>4089</v>
      </c>
      <c r="C30" s="124" t="s">
        <v>2484</v>
      </c>
      <c r="D30" s="124" t="s">
        <v>2478</v>
      </c>
      <c r="E30" s="124" t="s">
        <v>2482</v>
      </c>
      <c r="F30" s="123"/>
      <c r="G30" s="123"/>
      <c r="H30" s="123"/>
      <c r="I30" s="123"/>
      <c r="J30" s="125" t="s">
        <v>2479</v>
      </c>
      <c r="K30" s="123"/>
    </row>
    <row r="31" spans="1:11" ht="20.100000000000001" customHeight="1">
      <c r="A31" s="104">
        <v>26</v>
      </c>
      <c r="B31" s="123">
        <v>3078</v>
      </c>
      <c r="C31" s="9" t="s">
        <v>2485</v>
      </c>
      <c r="D31" s="9" t="s">
        <v>2486</v>
      </c>
      <c r="E31" s="9" t="s">
        <v>878</v>
      </c>
      <c r="F31" s="13"/>
      <c r="G31" s="13"/>
      <c r="H31" s="13"/>
      <c r="I31" s="13"/>
      <c r="J31" s="127" t="s">
        <v>2487</v>
      </c>
      <c r="K31" s="122"/>
    </row>
    <row r="32" spans="1:11" ht="20.100000000000001" customHeight="1">
      <c r="A32" s="118">
        <v>27</v>
      </c>
      <c r="B32" s="13">
        <v>4577</v>
      </c>
      <c r="C32" s="9" t="s">
        <v>2488</v>
      </c>
      <c r="D32" s="9" t="s">
        <v>1818</v>
      </c>
      <c r="E32" s="9" t="s">
        <v>878</v>
      </c>
      <c r="F32" s="13"/>
      <c r="G32" s="13"/>
      <c r="H32" s="13"/>
      <c r="I32" s="13"/>
      <c r="J32" s="127" t="s">
        <v>2489</v>
      </c>
      <c r="K32" s="122"/>
    </row>
    <row r="33" spans="1:11" ht="20.100000000000001" customHeight="1">
      <c r="A33" s="104">
        <v>28</v>
      </c>
      <c r="B33" s="13">
        <v>1936</v>
      </c>
      <c r="C33" s="9" t="s">
        <v>1574</v>
      </c>
      <c r="D33" s="9" t="s">
        <v>305</v>
      </c>
      <c r="E33" s="9" t="s">
        <v>2490</v>
      </c>
      <c r="F33" s="13"/>
      <c r="G33" s="13"/>
      <c r="H33" s="13"/>
      <c r="I33" s="13"/>
      <c r="J33" s="127" t="s">
        <v>2491</v>
      </c>
      <c r="K33" s="122"/>
    </row>
    <row r="34" spans="1:11" ht="20.100000000000001" customHeight="1">
      <c r="A34" s="118">
        <v>29</v>
      </c>
      <c r="B34" s="13">
        <v>2062</v>
      </c>
      <c r="C34" s="9" t="s">
        <v>377</v>
      </c>
      <c r="D34" s="9" t="s">
        <v>2492</v>
      </c>
      <c r="E34" s="9" t="s">
        <v>2490</v>
      </c>
      <c r="F34" s="13"/>
      <c r="G34" s="13"/>
      <c r="H34" s="13"/>
      <c r="I34" s="13"/>
      <c r="J34" s="131" t="s">
        <v>2493</v>
      </c>
      <c r="K34" s="122"/>
    </row>
    <row r="35" spans="1:11" ht="20.100000000000001" customHeight="1">
      <c r="A35" s="104">
        <v>30</v>
      </c>
      <c r="B35" s="13">
        <v>4090</v>
      </c>
      <c r="C35" s="9" t="s">
        <v>2494</v>
      </c>
      <c r="D35" s="9" t="s">
        <v>2495</v>
      </c>
      <c r="E35" s="9" t="s">
        <v>2490</v>
      </c>
      <c r="F35" s="13"/>
      <c r="G35" s="13"/>
      <c r="H35" s="13"/>
      <c r="I35" s="13"/>
      <c r="J35" s="127" t="s">
        <v>2496</v>
      </c>
      <c r="K35" s="122"/>
    </row>
    <row r="36" spans="1:11" ht="20.100000000000001" customHeight="1">
      <c r="A36" s="118">
        <v>31</v>
      </c>
      <c r="B36" s="123">
        <v>2029</v>
      </c>
      <c r="C36" s="124" t="s">
        <v>1575</v>
      </c>
      <c r="D36" s="124" t="s">
        <v>2497</v>
      </c>
      <c r="E36" s="124" t="s">
        <v>2490</v>
      </c>
      <c r="F36" s="123"/>
      <c r="G36" s="123"/>
      <c r="H36" s="123"/>
      <c r="I36" s="123"/>
      <c r="J36" s="125" t="s">
        <v>2498</v>
      </c>
      <c r="K36" s="123"/>
    </row>
    <row r="37" spans="1:11" ht="20.100000000000001" customHeight="1">
      <c r="A37" s="104">
        <v>32</v>
      </c>
      <c r="B37" s="13">
        <v>3041</v>
      </c>
      <c r="C37" s="9" t="s">
        <v>1522</v>
      </c>
      <c r="D37" s="9" t="s">
        <v>2499</v>
      </c>
      <c r="E37" s="9" t="s">
        <v>2490</v>
      </c>
      <c r="F37" s="13"/>
      <c r="G37" s="13"/>
      <c r="H37" s="13"/>
      <c r="I37" s="13"/>
      <c r="J37" s="132" t="s">
        <v>2500</v>
      </c>
      <c r="K37" s="122"/>
    </row>
    <row r="38" spans="1:11" ht="20.100000000000001" customHeight="1">
      <c r="A38" s="118">
        <v>33</v>
      </c>
      <c r="B38" s="13">
        <v>4356</v>
      </c>
      <c r="C38" s="124" t="s">
        <v>2501</v>
      </c>
      <c r="D38" s="124" t="s">
        <v>753</v>
      </c>
      <c r="E38" s="9" t="s">
        <v>2502</v>
      </c>
      <c r="F38" s="13"/>
      <c r="G38" s="13"/>
      <c r="H38" s="13"/>
      <c r="I38" s="13"/>
      <c r="J38" s="132"/>
      <c r="K38" s="122"/>
    </row>
    <row r="39" spans="1:11" ht="20.100000000000001" customHeight="1">
      <c r="A39" s="104">
        <v>34</v>
      </c>
      <c r="B39" s="13">
        <v>1834</v>
      </c>
      <c r="C39" s="9" t="s">
        <v>2409</v>
      </c>
      <c r="D39" s="9" t="s">
        <v>547</v>
      </c>
      <c r="E39" s="9" t="s">
        <v>2502</v>
      </c>
      <c r="F39" s="13"/>
      <c r="G39" s="13"/>
      <c r="H39" s="13"/>
      <c r="I39" s="13"/>
      <c r="J39" s="127" t="s">
        <v>2503</v>
      </c>
      <c r="K39" s="13"/>
    </row>
    <row r="40" spans="1:11" ht="20.100000000000001" customHeight="1">
      <c r="A40" s="118">
        <v>35</v>
      </c>
      <c r="B40" s="13">
        <v>1873</v>
      </c>
      <c r="C40" s="9" t="s">
        <v>2504</v>
      </c>
      <c r="D40" s="9" t="s">
        <v>1754</v>
      </c>
      <c r="E40" s="9" t="s">
        <v>1127</v>
      </c>
      <c r="F40" s="13"/>
      <c r="G40" s="13"/>
      <c r="H40" s="13"/>
      <c r="I40" s="13"/>
      <c r="J40" s="131" t="s">
        <v>2505</v>
      </c>
      <c r="K40" s="122"/>
    </row>
    <row r="41" spans="1:11" ht="20.100000000000001" customHeight="1">
      <c r="A41" s="104">
        <v>36</v>
      </c>
      <c r="B41" s="123">
        <v>1936</v>
      </c>
      <c r="C41" s="124" t="s">
        <v>1574</v>
      </c>
      <c r="D41" s="124" t="s">
        <v>305</v>
      </c>
      <c r="E41" s="124" t="s">
        <v>2506</v>
      </c>
      <c r="F41" s="123"/>
      <c r="G41" s="123"/>
      <c r="H41" s="123"/>
      <c r="I41" s="123"/>
      <c r="J41" s="125" t="s">
        <v>2491</v>
      </c>
      <c r="K41" s="133"/>
    </row>
    <row r="42" spans="1:11" ht="20.100000000000001" customHeight="1">
      <c r="A42" s="118">
        <v>37</v>
      </c>
      <c r="B42" s="13">
        <v>4031</v>
      </c>
      <c r="C42" s="9" t="s">
        <v>2507</v>
      </c>
      <c r="D42" s="9" t="s">
        <v>2079</v>
      </c>
      <c r="E42" s="9" t="s">
        <v>1127</v>
      </c>
      <c r="F42" s="13"/>
      <c r="G42" s="13"/>
      <c r="H42" s="13"/>
      <c r="I42" s="13"/>
      <c r="J42" s="131" t="s">
        <v>2056</v>
      </c>
      <c r="K42" s="122"/>
    </row>
    <row r="43" spans="1:11" ht="20.100000000000001" customHeight="1">
      <c r="A43" s="104">
        <v>38</v>
      </c>
      <c r="B43" s="123">
        <v>2062</v>
      </c>
      <c r="C43" s="124" t="s">
        <v>377</v>
      </c>
      <c r="D43" s="124" t="s">
        <v>2492</v>
      </c>
      <c r="E43" s="124" t="s">
        <v>2506</v>
      </c>
      <c r="F43" s="123"/>
      <c r="G43" s="123"/>
      <c r="H43" s="123"/>
      <c r="I43" s="123"/>
      <c r="J43" s="134" t="s">
        <v>2493</v>
      </c>
      <c r="K43" s="135"/>
    </row>
    <row r="44" spans="1:11" ht="20.100000000000001" customHeight="1">
      <c r="A44" s="118">
        <v>39</v>
      </c>
      <c r="B44" s="123">
        <v>1864</v>
      </c>
      <c r="C44" s="124" t="s">
        <v>2508</v>
      </c>
      <c r="D44" s="124" t="s">
        <v>2509</v>
      </c>
      <c r="E44" s="124" t="s">
        <v>1127</v>
      </c>
      <c r="F44" s="123"/>
      <c r="G44" s="123"/>
      <c r="H44" s="123"/>
      <c r="I44" s="123"/>
      <c r="J44" s="125"/>
      <c r="K44" s="135"/>
    </row>
    <row r="45" spans="1:11" ht="20.100000000000001" customHeight="1">
      <c r="A45" s="104">
        <v>40</v>
      </c>
      <c r="B45" s="13">
        <v>4329</v>
      </c>
      <c r="C45" s="9" t="s">
        <v>2510</v>
      </c>
      <c r="D45" s="9" t="s">
        <v>2511</v>
      </c>
      <c r="E45" s="9" t="s">
        <v>1127</v>
      </c>
      <c r="F45" s="13"/>
      <c r="G45" s="13"/>
      <c r="H45" s="13"/>
      <c r="I45" s="13"/>
      <c r="J45" s="132" t="s">
        <v>2496</v>
      </c>
      <c r="K45" s="122"/>
    </row>
    <row r="46" spans="1:11" ht="20.100000000000001" customHeight="1">
      <c r="A46" s="118">
        <v>41</v>
      </c>
      <c r="B46" s="13">
        <v>4364</v>
      </c>
      <c r="C46" s="9" t="s">
        <v>2512</v>
      </c>
      <c r="D46" s="9" t="s">
        <v>613</v>
      </c>
      <c r="E46" s="9" t="s">
        <v>2513</v>
      </c>
      <c r="F46" s="13"/>
      <c r="G46" s="13"/>
      <c r="H46" s="13"/>
      <c r="I46" s="13"/>
      <c r="J46" s="132" t="s">
        <v>2514</v>
      </c>
      <c r="K46" s="122"/>
    </row>
    <row r="47" spans="1:11" ht="20.100000000000001" customHeight="1">
      <c r="A47" s="104">
        <v>42</v>
      </c>
      <c r="B47" s="123">
        <v>4575</v>
      </c>
      <c r="C47" s="124" t="s">
        <v>2515</v>
      </c>
      <c r="D47" s="124" t="s">
        <v>855</v>
      </c>
      <c r="E47" s="124" t="s">
        <v>2516</v>
      </c>
      <c r="F47" s="123"/>
      <c r="G47" s="123"/>
      <c r="H47" s="123"/>
      <c r="I47" s="123"/>
      <c r="J47" s="125"/>
      <c r="K47" s="123"/>
    </row>
    <row r="48" spans="1:11" ht="20.100000000000001" customHeight="1">
      <c r="A48" s="118">
        <v>43</v>
      </c>
      <c r="B48" s="123">
        <v>4512</v>
      </c>
      <c r="C48" s="124" t="s">
        <v>1479</v>
      </c>
      <c r="D48" s="124" t="s">
        <v>411</v>
      </c>
      <c r="E48" s="124" t="s">
        <v>2502</v>
      </c>
      <c r="F48" s="123"/>
      <c r="G48" s="123"/>
      <c r="H48" s="123"/>
      <c r="I48" s="123"/>
      <c r="J48" s="126" t="s">
        <v>2429</v>
      </c>
      <c r="K48" s="133"/>
    </row>
    <row r="49" spans="1:15" ht="20.100000000000001" customHeight="1">
      <c r="A49" s="104">
        <v>44</v>
      </c>
      <c r="B49" s="123">
        <v>4659</v>
      </c>
      <c r="C49" s="124" t="s">
        <v>2517</v>
      </c>
      <c r="D49" s="124" t="s">
        <v>2518</v>
      </c>
      <c r="E49" s="124" t="s">
        <v>2502</v>
      </c>
      <c r="F49" s="123"/>
      <c r="G49" s="123"/>
      <c r="H49" s="123"/>
      <c r="I49" s="123"/>
      <c r="J49" s="125" t="s">
        <v>2519</v>
      </c>
      <c r="K49" s="123"/>
    </row>
    <row r="50" spans="1:15" ht="20.100000000000001" customHeight="1">
      <c r="A50" s="118">
        <v>45</v>
      </c>
      <c r="B50" s="13">
        <v>1627</v>
      </c>
      <c r="C50" s="9" t="s">
        <v>2520</v>
      </c>
      <c r="D50" s="9" t="s">
        <v>178</v>
      </c>
      <c r="E50" s="9" t="s">
        <v>1327</v>
      </c>
      <c r="F50" s="13"/>
      <c r="G50" s="13"/>
      <c r="H50" s="13"/>
      <c r="I50" s="13"/>
      <c r="J50" s="131" t="s">
        <v>2521</v>
      </c>
      <c r="K50" s="122"/>
    </row>
    <row r="51" spans="1:15" ht="20.100000000000001" customHeight="1">
      <c r="A51" s="104">
        <v>46</v>
      </c>
      <c r="B51" s="13">
        <v>2047</v>
      </c>
      <c r="C51" s="9" t="s">
        <v>2522</v>
      </c>
      <c r="D51" s="9" t="s">
        <v>2523</v>
      </c>
      <c r="E51" s="9" t="s">
        <v>1327</v>
      </c>
      <c r="F51" s="13"/>
      <c r="G51" s="13"/>
      <c r="H51" s="13"/>
      <c r="I51" s="13"/>
      <c r="J51" s="127" t="s">
        <v>1629</v>
      </c>
      <c r="K51" s="13"/>
    </row>
    <row r="52" spans="1:15" ht="20.100000000000001" customHeight="1">
      <c r="A52" s="118">
        <v>47</v>
      </c>
      <c r="B52" s="13">
        <v>4230</v>
      </c>
      <c r="C52" s="9" t="s">
        <v>2524</v>
      </c>
      <c r="D52" s="9" t="s">
        <v>2525</v>
      </c>
      <c r="E52" s="9" t="s">
        <v>2526</v>
      </c>
      <c r="F52" s="13"/>
      <c r="G52" s="13"/>
      <c r="H52" s="13"/>
      <c r="I52" s="13"/>
      <c r="J52" s="127" t="s">
        <v>2527</v>
      </c>
      <c r="K52" s="13"/>
    </row>
    <row r="53" spans="1:15" ht="20.100000000000001" customHeight="1">
      <c r="A53" s="104">
        <v>48</v>
      </c>
      <c r="B53" s="13">
        <v>4098</v>
      </c>
      <c r="C53" s="9" t="s">
        <v>382</v>
      </c>
      <c r="D53" s="9" t="s">
        <v>2528</v>
      </c>
      <c r="E53" s="9" t="s">
        <v>2526</v>
      </c>
      <c r="F53" s="13"/>
      <c r="G53" s="13"/>
      <c r="H53" s="13"/>
      <c r="I53" s="13"/>
      <c r="J53" s="127" t="s">
        <v>2529</v>
      </c>
      <c r="K53" s="13"/>
    </row>
    <row r="54" spans="1:15" ht="20.100000000000001" customHeight="1">
      <c r="A54" s="118">
        <v>49</v>
      </c>
      <c r="B54" s="13">
        <v>1670</v>
      </c>
      <c r="C54" s="9" t="s">
        <v>2530</v>
      </c>
      <c r="D54" s="9" t="s">
        <v>2531</v>
      </c>
      <c r="E54" s="9" t="s">
        <v>1327</v>
      </c>
      <c r="F54" s="13"/>
      <c r="G54" s="13"/>
      <c r="H54" s="13"/>
      <c r="I54" s="13"/>
      <c r="J54" s="127" t="s">
        <v>2493</v>
      </c>
      <c r="K54" s="13"/>
    </row>
    <row r="55" spans="1:15" ht="20.100000000000001" customHeight="1">
      <c r="A55" s="104">
        <v>50</v>
      </c>
      <c r="B55" s="13">
        <v>3043</v>
      </c>
      <c r="C55" s="9" t="s">
        <v>2532</v>
      </c>
      <c r="D55" s="9" t="s">
        <v>2499</v>
      </c>
      <c r="E55" s="9" t="s">
        <v>2533</v>
      </c>
      <c r="F55" s="13"/>
      <c r="G55" s="13"/>
      <c r="H55" s="13"/>
      <c r="I55" s="13"/>
      <c r="J55" s="132" t="s">
        <v>2534</v>
      </c>
      <c r="K55" s="122"/>
    </row>
    <row r="56" spans="1:15" ht="20.100000000000001" customHeight="1">
      <c r="A56" s="118">
        <v>51</v>
      </c>
      <c r="B56" s="123">
        <v>4629</v>
      </c>
      <c r="C56" s="124" t="s">
        <v>2535</v>
      </c>
      <c r="D56" s="124" t="s">
        <v>2451</v>
      </c>
      <c r="E56" s="124" t="s">
        <v>1203</v>
      </c>
      <c r="F56" s="123"/>
      <c r="G56" s="123"/>
      <c r="H56" s="123"/>
      <c r="I56" s="123"/>
      <c r="J56" s="125" t="s">
        <v>2536</v>
      </c>
      <c r="K56" s="122"/>
    </row>
    <row r="57" spans="1:15" ht="20.100000000000001" customHeight="1">
      <c r="A57" s="104">
        <v>52</v>
      </c>
      <c r="B57" s="13">
        <v>4438</v>
      </c>
      <c r="C57" s="9" t="s">
        <v>2537</v>
      </c>
      <c r="D57" s="9" t="s">
        <v>2538</v>
      </c>
      <c r="E57" s="9" t="s">
        <v>2526</v>
      </c>
      <c r="F57" s="13"/>
      <c r="G57" s="13"/>
      <c r="H57" s="13"/>
      <c r="I57" s="13"/>
      <c r="J57" s="132" t="s">
        <v>1432</v>
      </c>
      <c r="K57" s="122"/>
    </row>
    <row r="58" spans="1:15" ht="20.100000000000001" customHeight="1">
      <c r="A58" s="118">
        <v>53</v>
      </c>
      <c r="B58" s="123">
        <v>4093</v>
      </c>
      <c r="C58" s="124" t="s">
        <v>2539</v>
      </c>
      <c r="D58" s="124" t="s">
        <v>2528</v>
      </c>
      <c r="E58" s="124" t="s">
        <v>2540</v>
      </c>
      <c r="F58" s="123"/>
      <c r="G58" s="123"/>
      <c r="H58" s="123"/>
      <c r="I58" s="123"/>
      <c r="J58" s="125" t="s">
        <v>2529</v>
      </c>
      <c r="K58" s="123"/>
    </row>
    <row r="59" spans="1:15" ht="20.100000000000001" customHeight="1">
      <c r="A59" s="104">
        <v>54</v>
      </c>
      <c r="B59" s="123"/>
      <c r="C59" s="124"/>
      <c r="D59" s="124"/>
      <c r="E59" s="124"/>
      <c r="F59" s="123"/>
      <c r="G59" s="123"/>
      <c r="H59" s="123"/>
      <c r="I59" s="123"/>
      <c r="J59" s="125"/>
      <c r="K59" s="123"/>
      <c r="O59">
        <f>SUM(O34:O58)</f>
        <v>0</v>
      </c>
    </row>
    <row r="60" spans="1:15" ht="20.100000000000001" customHeight="1">
      <c r="A60" s="118">
        <v>55</v>
      </c>
      <c r="B60" s="13">
        <v>4650</v>
      </c>
      <c r="C60" s="9" t="s">
        <v>700</v>
      </c>
      <c r="D60" s="9" t="s">
        <v>1356</v>
      </c>
      <c r="E60" s="9" t="s">
        <v>2526</v>
      </c>
      <c r="F60" s="13"/>
      <c r="G60" s="13"/>
      <c r="H60" s="13"/>
      <c r="I60" s="13"/>
      <c r="J60" s="26">
        <v>0</v>
      </c>
      <c r="K60" s="13"/>
      <c r="L60">
        <f>SUM(L34:L58)</f>
        <v>0</v>
      </c>
      <c r="M60">
        <f>SUM(M34:M59)</f>
        <v>0</v>
      </c>
      <c r="N60">
        <f>SUM(N4:N58)</f>
        <v>0</v>
      </c>
      <c r="O60">
        <f>SUM(L60:N60)</f>
        <v>0</v>
      </c>
    </row>
    <row r="61" spans="1:15" ht="20.100000000000001" customHeight="1">
      <c r="A61" s="104">
        <v>56</v>
      </c>
      <c r="B61" s="13">
        <v>1443</v>
      </c>
      <c r="C61" s="9" t="s">
        <v>2541</v>
      </c>
      <c r="D61" s="9" t="s">
        <v>2542</v>
      </c>
      <c r="E61" s="9" t="s">
        <v>2543</v>
      </c>
      <c r="F61" s="13"/>
      <c r="G61" s="13"/>
      <c r="H61" s="13"/>
      <c r="I61" s="13"/>
      <c r="J61" s="131" t="s">
        <v>2491</v>
      </c>
      <c r="K61" s="122"/>
    </row>
    <row r="62" spans="1:15" ht="20.100000000000001" customHeight="1">
      <c r="A62" s="118">
        <v>57</v>
      </c>
      <c r="B62" s="13">
        <v>1821</v>
      </c>
      <c r="C62" s="9" t="s">
        <v>2544</v>
      </c>
      <c r="D62" s="9" t="s">
        <v>2545</v>
      </c>
      <c r="E62" s="9" t="s">
        <v>2543</v>
      </c>
      <c r="F62" s="13"/>
      <c r="G62" s="13"/>
      <c r="H62" s="13"/>
      <c r="I62" s="13"/>
      <c r="J62" s="132" t="s">
        <v>2546</v>
      </c>
      <c r="K62" s="122"/>
    </row>
    <row r="63" spans="1:15" ht="20.100000000000001" customHeight="1">
      <c r="A63" s="104">
        <v>58</v>
      </c>
      <c r="B63" s="13">
        <v>4143</v>
      </c>
      <c r="C63" s="9" t="s">
        <v>2547</v>
      </c>
      <c r="D63" s="9" t="s">
        <v>2444</v>
      </c>
      <c r="E63" s="9" t="s">
        <v>2543</v>
      </c>
      <c r="F63" s="13"/>
      <c r="G63" s="13"/>
      <c r="H63" s="13"/>
      <c r="I63" s="13"/>
      <c r="J63" s="131" t="s">
        <v>2548</v>
      </c>
      <c r="K63" s="122"/>
    </row>
    <row r="64" spans="1:15" ht="20.100000000000001" customHeight="1">
      <c r="A64" s="118">
        <v>59</v>
      </c>
      <c r="B64" s="13">
        <v>4354</v>
      </c>
      <c r="C64" s="9" t="s">
        <v>2549</v>
      </c>
      <c r="D64" s="9" t="s">
        <v>753</v>
      </c>
      <c r="E64" s="9" t="s">
        <v>2543</v>
      </c>
      <c r="F64" s="13"/>
      <c r="G64" s="13"/>
      <c r="H64" s="13"/>
      <c r="I64" s="13"/>
      <c r="J64" s="132" t="s">
        <v>2550</v>
      </c>
      <c r="K64" s="122"/>
    </row>
    <row r="65" spans="1:11" ht="20.100000000000001" customHeight="1">
      <c r="A65" s="104">
        <v>60</v>
      </c>
      <c r="B65" s="13">
        <v>4371</v>
      </c>
      <c r="C65" s="9" t="s">
        <v>2551</v>
      </c>
      <c r="D65" s="9" t="s">
        <v>2552</v>
      </c>
      <c r="E65" s="9" t="s">
        <v>2553</v>
      </c>
      <c r="F65" s="13"/>
      <c r="G65" s="13"/>
      <c r="H65" s="13"/>
      <c r="I65" s="13"/>
      <c r="J65" s="132" t="s">
        <v>2554</v>
      </c>
      <c r="K65" s="122"/>
    </row>
    <row r="66" spans="1:11" ht="20.100000000000001" customHeight="1">
      <c r="A66" s="118">
        <v>61</v>
      </c>
      <c r="B66" s="13">
        <v>1399</v>
      </c>
      <c r="C66" s="9" t="s">
        <v>513</v>
      </c>
      <c r="D66" s="9" t="s">
        <v>1616</v>
      </c>
      <c r="E66" s="9" t="s">
        <v>2555</v>
      </c>
      <c r="F66" s="13"/>
      <c r="G66" s="13"/>
      <c r="H66" s="13"/>
      <c r="I66" s="13"/>
      <c r="J66" s="131" t="s">
        <v>2556</v>
      </c>
      <c r="K66" s="122"/>
    </row>
    <row r="67" spans="1:11" ht="20.100000000000001" customHeight="1">
      <c r="A67" s="104">
        <v>62</v>
      </c>
      <c r="B67" s="13">
        <v>1510</v>
      </c>
      <c r="C67" s="9" t="s">
        <v>597</v>
      </c>
      <c r="D67" s="9" t="s">
        <v>1877</v>
      </c>
      <c r="E67" s="9" t="s">
        <v>2555</v>
      </c>
      <c r="F67" s="13"/>
      <c r="G67" s="13"/>
      <c r="H67" s="13"/>
      <c r="I67" s="13"/>
      <c r="J67" s="131" t="s">
        <v>2557</v>
      </c>
      <c r="K67" s="122"/>
    </row>
    <row r="68" spans="1:11" ht="20.100000000000001" customHeight="1">
      <c r="A68" s="118">
        <v>63</v>
      </c>
      <c r="B68" s="13">
        <v>1624</v>
      </c>
      <c r="C68" s="9" t="s">
        <v>2558</v>
      </c>
      <c r="D68" s="9" t="s">
        <v>1668</v>
      </c>
      <c r="E68" s="9" t="s">
        <v>2555</v>
      </c>
      <c r="F68" s="13"/>
      <c r="G68" s="13"/>
      <c r="H68" s="13"/>
      <c r="I68" s="13"/>
      <c r="J68" s="131"/>
      <c r="K68" s="122"/>
    </row>
    <row r="69" spans="1:11" ht="20.100000000000001" customHeight="1">
      <c r="A69" s="104">
        <v>64</v>
      </c>
      <c r="B69" s="13">
        <v>1626</v>
      </c>
      <c r="C69" s="9" t="s">
        <v>2559</v>
      </c>
      <c r="D69" s="9" t="s">
        <v>1668</v>
      </c>
      <c r="E69" s="9" t="s">
        <v>2555</v>
      </c>
      <c r="F69" s="13"/>
      <c r="G69" s="13"/>
      <c r="H69" s="13"/>
      <c r="I69" s="13"/>
      <c r="J69" s="131" t="s">
        <v>2560</v>
      </c>
      <c r="K69" s="122"/>
    </row>
    <row r="70" spans="1:11" ht="20.100000000000001" customHeight="1">
      <c r="A70" s="118">
        <v>65</v>
      </c>
      <c r="B70" s="13">
        <v>4014</v>
      </c>
      <c r="C70" s="9" t="s">
        <v>2561</v>
      </c>
      <c r="D70" s="9" t="s">
        <v>2562</v>
      </c>
      <c r="E70" s="9" t="s">
        <v>2555</v>
      </c>
      <c r="F70" s="13"/>
      <c r="G70" s="13"/>
      <c r="H70" s="13"/>
      <c r="I70" s="13"/>
      <c r="J70" s="131" t="s">
        <v>2563</v>
      </c>
      <c r="K70" s="122"/>
    </row>
    <row r="71" spans="1:11" ht="20.100000000000001" customHeight="1">
      <c r="A71" s="104">
        <v>66</v>
      </c>
      <c r="B71" s="123">
        <v>4649</v>
      </c>
      <c r="C71" s="124" t="s">
        <v>2564</v>
      </c>
      <c r="D71" s="124" t="s">
        <v>740</v>
      </c>
      <c r="E71" s="124" t="s">
        <v>2555</v>
      </c>
      <c r="F71" s="123"/>
      <c r="G71" s="123"/>
      <c r="H71" s="123"/>
      <c r="I71" s="123"/>
      <c r="J71" s="125" t="s">
        <v>2565</v>
      </c>
      <c r="K71" s="123"/>
    </row>
    <row r="72" spans="1:11" ht="20.100000000000001" customHeight="1">
      <c r="A72" s="118">
        <v>67</v>
      </c>
      <c r="B72" s="93">
        <v>1163</v>
      </c>
      <c r="C72" s="9" t="s">
        <v>2566</v>
      </c>
      <c r="D72" s="9" t="s">
        <v>2481</v>
      </c>
      <c r="E72" s="9" t="s">
        <v>2567</v>
      </c>
      <c r="F72" s="13"/>
      <c r="G72" s="13"/>
      <c r="H72" s="13"/>
      <c r="I72" s="13"/>
      <c r="J72" s="131" t="s">
        <v>2493</v>
      </c>
      <c r="K72" s="122"/>
    </row>
    <row r="73" spans="1:11" ht="20.100000000000001" customHeight="1">
      <c r="A73" s="104">
        <v>68</v>
      </c>
      <c r="B73" s="93">
        <v>1227</v>
      </c>
      <c r="C73" s="9" t="s">
        <v>2568</v>
      </c>
      <c r="D73" s="9" t="s">
        <v>1844</v>
      </c>
      <c r="E73" s="9" t="s">
        <v>2569</v>
      </c>
      <c r="F73" s="13"/>
      <c r="G73" s="13"/>
      <c r="H73" s="13"/>
      <c r="I73" s="13"/>
      <c r="J73" s="131" t="s">
        <v>2570</v>
      </c>
      <c r="K73" s="122"/>
    </row>
    <row r="74" spans="1:11" ht="20.100000000000001" customHeight="1">
      <c r="A74" s="118">
        <v>69</v>
      </c>
      <c r="B74" s="93">
        <v>1635</v>
      </c>
      <c r="C74" s="9" t="s">
        <v>2571</v>
      </c>
      <c r="D74" s="9" t="s">
        <v>2572</v>
      </c>
      <c r="E74" s="9" t="s">
        <v>2569</v>
      </c>
      <c r="F74" s="13"/>
      <c r="G74" s="13"/>
      <c r="H74" s="13"/>
      <c r="I74" s="13"/>
      <c r="J74" s="131" t="s">
        <v>2573</v>
      </c>
      <c r="K74" s="122"/>
    </row>
    <row r="75" spans="1:11" ht="20.100000000000001" customHeight="1">
      <c r="A75" s="104">
        <v>70</v>
      </c>
      <c r="B75" s="93">
        <v>4176</v>
      </c>
      <c r="C75" s="9" t="s">
        <v>2574</v>
      </c>
      <c r="D75" s="9" t="s">
        <v>2575</v>
      </c>
      <c r="E75" s="9" t="s">
        <v>2576</v>
      </c>
      <c r="F75" s="13"/>
      <c r="G75" s="13"/>
      <c r="H75" s="13"/>
      <c r="I75" s="13"/>
      <c r="J75" s="132" t="s">
        <v>2577</v>
      </c>
      <c r="K75" s="122"/>
    </row>
    <row r="76" spans="1:11" ht="20.100000000000001" customHeight="1">
      <c r="A76" s="118">
        <v>71</v>
      </c>
      <c r="B76" s="93">
        <v>4353</v>
      </c>
      <c r="C76" s="9" t="s">
        <v>2578</v>
      </c>
      <c r="D76" s="9" t="s">
        <v>753</v>
      </c>
      <c r="E76" s="9" t="s">
        <v>2579</v>
      </c>
      <c r="F76" s="13"/>
      <c r="G76" s="13"/>
      <c r="H76" s="13"/>
      <c r="I76" s="13"/>
      <c r="J76" s="132" t="s">
        <v>2550</v>
      </c>
      <c r="K76" s="122"/>
    </row>
    <row r="77" spans="1:11" ht="20.100000000000001" customHeight="1">
      <c r="A77" s="104">
        <v>72</v>
      </c>
      <c r="B77" s="93">
        <v>4370</v>
      </c>
      <c r="C77" s="9" t="s">
        <v>2580</v>
      </c>
      <c r="D77" s="9" t="s">
        <v>2552</v>
      </c>
      <c r="E77" s="9" t="s">
        <v>2579</v>
      </c>
      <c r="F77" s="13"/>
      <c r="G77" s="13"/>
      <c r="H77" s="13"/>
      <c r="I77" s="13"/>
      <c r="J77" s="132" t="s">
        <v>2581</v>
      </c>
      <c r="K77" s="122"/>
    </row>
    <row r="78" spans="1:11" ht="20.100000000000001" customHeight="1">
      <c r="A78" s="118">
        <v>73</v>
      </c>
      <c r="B78" s="93">
        <v>1955</v>
      </c>
      <c r="C78" s="9" t="s">
        <v>2582</v>
      </c>
      <c r="D78" s="9" t="s">
        <v>1668</v>
      </c>
      <c r="E78" s="9" t="s">
        <v>2583</v>
      </c>
      <c r="F78" s="13"/>
      <c r="G78" s="13"/>
      <c r="H78" s="13"/>
      <c r="I78" s="13"/>
      <c r="J78" s="131" t="s">
        <v>2584</v>
      </c>
      <c r="K78" s="122"/>
    </row>
    <row r="79" spans="1:11" ht="20.100000000000001" customHeight="1">
      <c r="A79" s="104">
        <v>74</v>
      </c>
      <c r="B79" s="93">
        <v>4463</v>
      </c>
      <c r="C79" s="9" t="s">
        <v>2585</v>
      </c>
      <c r="D79" s="9" t="s">
        <v>2586</v>
      </c>
      <c r="E79" s="9" t="s">
        <v>2583</v>
      </c>
      <c r="F79" s="13"/>
      <c r="G79" s="13"/>
      <c r="H79" s="13"/>
      <c r="I79" s="13"/>
      <c r="J79" s="132" t="s">
        <v>2587</v>
      </c>
      <c r="K79" s="122"/>
    </row>
    <row r="80" spans="1:11" ht="20.100000000000001" customHeight="1">
      <c r="A80" s="118">
        <v>75</v>
      </c>
      <c r="B80" s="123">
        <v>1399</v>
      </c>
      <c r="C80" s="124" t="s">
        <v>513</v>
      </c>
      <c r="D80" s="124" t="s">
        <v>1616</v>
      </c>
      <c r="E80" s="124" t="s">
        <v>2588</v>
      </c>
      <c r="F80" s="123"/>
      <c r="G80" s="123"/>
      <c r="H80" s="123"/>
      <c r="I80" s="123"/>
      <c r="J80" s="134" t="s">
        <v>2556</v>
      </c>
      <c r="K80" s="122"/>
    </row>
    <row r="81" spans="1:15" ht="20.100000000000001" customHeight="1">
      <c r="A81" s="104">
        <v>76</v>
      </c>
      <c r="B81" s="123">
        <v>1510</v>
      </c>
      <c r="C81" s="124" t="s">
        <v>597</v>
      </c>
      <c r="D81" s="124" t="s">
        <v>1877</v>
      </c>
      <c r="E81" s="124" t="s">
        <v>2588</v>
      </c>
      <c r="F81" s="123"/>
      <c r="G81" s="123"/>
      <c r="H81" s="123"/>
      <c r="I81" s="123"/>
      <c r="J81" s="134" t="s">
        <v>2557</v>
      </c>
      <c r="K81" s="135"/>
    </row>
    <row r="82" spans="1:15" ht="20.100000000000001" customHeight="1">
      <c r="A82" s="118">
        <v>77</v>
      </c>
      <c r="B82" s="123">
        <v>1387</v>
      </c>
      <c r="C82" s="124" t="s">
        <v>2589</v>
      </c>
      <c r="D82" s="124" t="s">
        <v>1067</v>
      </c>
      <c r="E82" s="124" t="s">
        <v>2555</v>
      </c>
      <c r="F82" s="123"/>
      <c r="G82" s="123"/>
      <c r="H82" s="123"/>
      <c r="I82" s="123"/>
      <c r="J82" s="125" t="s">
        <v>2498</v>
      </c>
      <c r="K82" s="123"/>
    </row>
    <row r="83" spans="1:15" ht="20.100000000000001" customHeight="1">
      <c r="A83" s="104">
        <v>78</v>
      </c>
      <c r="B83" s="93">
        <v>4516</v>
      </c>
      <c r="C83" s="9" t="s">
        <v>2590</v>
      </c>
      <c r="D83" s="9" t="s">
        <v>411</v>
      </c>
      <c r="E83" s="9" t="s">
        <v>2583</v>
      </c>
      <c r="F83" s="13"/>
      <c r="G83" s="13"/>
      <c r="H83" s="13"/>
      <c r="I83" s="13"/>
      <c r="J83" s="132" t="s">
        <v>2591</v>
      </c>
      <c r="K83" s="122"/>
    </row>
    <row r="84" spans="1:15" ht="20.100000000000001" customHeight="1">
      <c r="A84" s="118">
        <v>79</v>
      </c>
      <c r="B84" s="123">
        <v>4014</v>
      </c>
      <c r="C84" s="124" t="s">
        <v>2561</v>
      </c>
      <c r="D84" s="124" t="s">
        <v>2562</v>
      </c>
      <c r="E84" s="124" t="s">
        <v>2583</v>
      </c>
      <c r="F84" s="123"/>
      <c r="G84" s="123"/>
      <c r="H84" s="123"/>
      <c r="I84" s="123"/>
      <c r="J84" s="134" t="s">
        <v>2563</v>
      </c>
      <c r="K84" s="122"/>
    </row>
    <row r="85" spans="1:15" ht="20.100000000000001" customHeight="1">
      <c r="A85" s="104">
        <v>80</v>
      </c>
      <c r="B85" s="123">
        <v>4461</v>
      </c>
      <c r="C85" s="124" t="s">
        <v>2592</v>
      </c>
      <c r="D85" s="124" t="s">
        <v>2593</v>
      </c>
      <c r="E85" s="124" t="s">
        <v>2555</v>
      </c>
      <c r="F85" s="123"/>
      <c r="G85" s="123"/>
      <c r="H85" s="123"/>
      <c r="I85" s="123"/>
      <c r="J85" s="136"/>
      <c r="K85" s="122"/>
    </row>
    <row r="86" spans="1:15" ht="20.100000000000001" customHeight="1">
      <c r="A86" s="118">
        <v>81</v>
      </c>
      <c r="B86" s="137">
        <v>1635</v>
      </c>
      <c r="C86" s="124" t="s">
        <v>2571</v>
      </c>
      <c r="D86" s="124" t="s">
        <v>2572</v>
      </c>
      <c r="E86" s="124" t="s">
        <v>2594</v>
      </c>
      <c r="F86" s="123"/>
      <c r="G86" s="123"/>
      <c r="H86" s="123"/>
      <c r="I86" s="123"/>
      <c r="J86" s="134" t="s">
        <v>2573</v>
      </c>
      <c r="K86" s="122"/>
    </row>
    <row r="87" spans="1:15" ht="20.100000000000001" customHeight="1">
      <c r="A87" s="104">
        <v>82</v>
      </c>
      <c r="B87" s="137">
        <v>4109</v>
      </c>
      <c r="C87" s="124" t="s">
        <v>2595</v>
      </c>
      <c r="D87" s="124" t="s">
        <v>1844</v>
      </c>
      <c r="E87" s="124" t="s">
        <v>2594</v>
      </c>
      <c r="F87" s="123"/>
      <c r="G87" s="123"/>
      <c r="H87" s="123"/>
      <c r="I87" s="123"/>
      <c r="J87" s="134" t="s">
        <v>2596</v>
      </c>
      <c r="K87" s="122"/>
    </row>
    <row r="88" spans="1:15" ht="20.100000000000001" customHeight="1">
      <c r="A88" s="118">
        <v>83</v>
      </c>
      <c r="B88" s="93">
        <v>1996</v>
      </c>
      <c r="C88" s="9" t="s">
        <v>2597</v>
      </c>
      <c r="D88" s="9" t="s">
        <v>2598</v>
      </c>
      <c r="E88" s="9" t="s">
        <v>2599</v>
      </c>
      <c r="F88" s="13"/>
      <c r="G88" s="13"/>
      <c r="H88" s="13"/>
      <c r="I88" s="13"/>
      <c r="J88" s="127" t="s">
        <v>2600</v>
      </c>
      <c r="K88" s="122"/>
    </row>
    <row r="89" spans="1:15" ht="20.100000000000001" customHeight="1">
      <c r="A89" s="104">
        <v>84</v>
      </c>
      <c r="B89" s="75">
        <v>4547</v>
      </c>
      <c r="C89" s="9" t="s">
        <v>2601</v>
      </c>
      <c r="D89" s="9" t="s">
        <v>2602</v>
      </c>
      <c r="E89" s="9" t="s">
        <v>2599</v>
      </c>
      <c r="F89" s="13"/>
      <c r="G89" s="13"/>
      <c r="H89" s="13"/>
      <c r="I89" s="13"/>
      <c r="J89" s="121"/>
      <c r="K89" s="122"/>
    </row>
    <row r="90" spans="1:15" ht="20.100000000000001" customHeight="1">
      <c r="A90" s="118">
        <v>85</v>
      </c>
      <c r="B90" s="138">
        <v>1513</v>
      </c>
      <c r="C90" s="124" t="s">
        <v>2603</v>
      </c>
      <c r="D90" s="124" t="s">
        <v>178</v>
      </c>
      <c r="E90" s="124" t="s">
        <v>2604</v>
      </c>
      <c r="F90" s="123"/>
      <c r="G90" s="123"/>
      <c r="H90" s="123"/>
      <c r="I90" s="123"/>
      <c r="J90" s="134" t="s">
        <v>2605</v>
      </c>
      <c r="K90" s="122"/>
    </row>
    <row r="91" spans="1:15" ht="20.100000000000001" customHeight="1">
      <c r="A91" s="104">
        <v>86</v>
      </c>
      <c r="B91" s="138">
        <v>747</v>
      </c>
      <c r="C91" s="124" t="s">
        <v>2108</v>
      </c>
      <c r="D91" s="124" t="s">
        <v>2606</v>
      </c>
      <c r="E91" s="124" t="s">
        <v>2604</v>
      </c>
      <c r="F91" s="123"/>
      <c r="G91" s="123"/>
      <c r="H91" s="123"/>
      <c r="I91" s="123"/>
      <c r="J91" s="125" t="s">
        <v>2607</v>
      </c>
      <c r="K91" s="122"/>
    </row>
    <row r="92" spans="1:15" ht="20.100000000000001" customHeight="1">
      <c r="A92" s="118">
        <v>87</v>
      </c>
      <c r="B92" s="137">
        <v>4351</v>
      </c>
      <c r="C92" s="124" t="s">
        <v>2608</v>
      </c>
      <c r="D92" s="124" t="s">
        <v>2609</v>
      </c>
      <c r="E92" s="124" t="s">
        <v>2599</v>
      </c>
      <c r="F92" s="123"/>
      <c r="G92" s="123"/>
      <c r="H92" s="123"/>
      <c r="I92" s="123"/>
      <c r="J92" s="125" t="s">
        <v>2610</v>
      </c>
      <c r="K92" s="123"/>
      <c r="O92">
        <f>SUM(O62:O89)</f>
        <v>0</v>
      </c>
    </row>
    <row r="93" spans="1:15" ht="20.100000000000001" customHeight="1">
      <c r="A93" s="104">
        <v>88</v>
      </c>
      <c r="B93" s="93">
        <v>1966</v>
      </c>
      <c r="C93" s="9" t="s">
        <v>1244</v>
      </c>
      <c r="D93" s="9" t="s">
        <v>2036</v>
      </c>
      <c r="E93" s="9" t="s">
        <v>2599</v>
      </c>
      <c r="F93" s="13"/>
      <c r="G93" s="13"/>
      <c r="H93" s="13"/>
      <c r="I93" s="13"/>
      <c r="J93" s="127" t="s">
        <v>2611</v>
      </c>
      <c r="K93" s="13"/>
    </row>
    <row r="94" spans="1:15" ht="20.100000000000001" customHeight="1">
      <c r="A94" s="118">
        <v>89</v>
      </c>
      <c r="B94" s="93">
        <v>1967</v>
      </c>
      <c r="C94" s="9" t="s">
        <v>2612</v>
      </c>
      <c r="D94" s="9" t="s">
        <v>2036</v>
      </c>
      <c r="E94" s="9" t="s">
        <v>2599</v>
      </c>
      <c r="F94" s="13"/>
      <c r="G94" s="13"/>
      <c r="H94" s="13"/>
      <c r="I94" s="13"/>
      <c r="J94" s="127" t="s">
        <v>2611</v>
      </c>
      <c r="K94" s="13"/>
    </row>
    <row r="95" spans="1:15" ht="20.100000000000001" customHeight="1">
      <c r="A95" s="104">
        <v>90</v>
      </c>
      <c r="B95" s="123">
        <v>4522</v>
      </c>
      <c r="C95" s="124" t="s">
        <v>2613</v>
      </c>
      <c r="D95" s="124" t="s">
        <v>233</v>
      </c>
      <c r="E95" s="124" t="s">
        <v>2599</v>
      </c>
      <c r="F95" s="123"/>
      <c r="G95" s="123"/>
      <c r="H95" s="123"/>
      <c r="I95" s="123"/>
      <c r="J95" s="125" t="s">
        <v>2614</v>
      </c>
      <c r="K95" s="123"/>
    </row>
    <row r="96" spans="1:15" ht="20.100000000000001" customHeight="1">
      <c r="A96" s="118">
        <v>91</v>
      </c>
      <c r="B96" s="139">
        <v>4539</v>
      </c>
      <c r="C96" s="124" t="s">
        <v>1275</v>
      </c>
      <c r="D96" s="124" t="s">
        <v>505</v>
      </c>
      <c r="E96" s="124" t="e">
        <v>#REF!</v>
      </c>
      <c r="F96" s="123"/>
      <c r="G96" s="123"/>
      <c r="H96" s="123"/>
      <c r="I96" s="123"/>
      <c r="J96" s="126" t="s">
        <v>2615</v>
      </c>
      <c r="K96" s="123"/>
    </row>
    <row r="97" spans="1:11" ht="20.100000000000001" customHeight="1">
      <c r="A97" s="104">
        <v>92</v>
      </c>
      <c r="B97" s="123">
        <v>4553</v>
      </c>
      <c r="C97" s="124" t="s">
        <v>2616</v>
      </c>
      <c r="D97" s="124" t="s">
        <v>2617</v>
      </c>
      <c r="E97" s="124" t="s">
        <v>2599</v>
      </c>
      <c r="F97" s="123"/>
      <c r="G97" s="123"/>
      <c r="H97" s="123"/>
      <c r="I97" s="123"/>
      <c r="J97" s="125" t="s">
        <v>2618</v>
      </c>
      <c r="K97" s="123"/>
    </row>
    <row r="98" spans="1:11" ht="20.100000000000001" customHeight="1">
      <c r="A98" s="118">
        <v>93</v>
      </c>
      <c r="B98" s="140">
        <v>4462</v>
      </c>
      <c r="C98" s="124" t="s">
        <v>2619</v>
      </c>
      <c r="D98" s="124" t="s">
        <v>2620</v>
      </c>
      <c r="E98" s="124" t="s">
        <v>2621</v>
      </c>
      <c r="F98" s="123"/>
      <c r="G98" s="123"/>
      <c r="H98" s="123"/>
      <c r="I98" s="123"/>
      <c r="J98" s="125"/>
      <c r="K98" s="123"/>
    </row>
    <row r="99" spans="1:11" ht="20.100000000000001" customHeight="1">
      <c r="A99" s="104">
        <v>94</v>
      </c>
      <c r="B99" s="139">
        <v>4524</v>
      </c>
      <c r="C99" s="124" t="s">
        <v>2622</v>
      </c>
      <c r="D99" s="124" t="s">
        <v>2623</v>
      </c>
      <c r="E99" s="124" t="s">
        <v>2624</v>
      </c>
      <c r="F99" s="123"/>
      <c r="G99" s="123"/>
      <c r="H99" s="123"/>
      <c r="I99" s="123"/>
      <c r="J99" s="125" t="s">
        <v>2625</v>
      </c>
      <c r="K99" s="123"/>
    </row>
    <row r="100" spans="1:11" ht="20.100000000000001" customHeight="1">
      <c r="A100" s="118">
        <v>95</v>
      </c>
      <c r="B100" s="139">
        <v>4527</v>
      </c>
      <c r="C100" s="124" t="s">
        <v>2626</v>
      </c>
      <c r="D100" s="124" t="s">
        <v>2627</v>
      </c>
      <c r="E100" s="124" t="s">
        <v>2621</v>
      </c>
      <c r="F100" s="123"/>
      <c r="G100" s="123"/>
      <c r="H100" s="123"/>
      <c r="I100" s="123"/>
      <c r="J100" s="125" t="s">
        <v>2628</v>
      </c>
      <c r="K100" s="123"/>
    </row>
    <row r="101" spans="1:11" ht="20.100000000000001" customHeight="1">
      <c r="A101" s="104">
        <v>96</v>
      </c>
      <c r="B101" s="123">
        <v>4540</v>
      </c>
      <c r="C101" s="124" t="s">
        <v>2629</v>
      </c>
      <c r="D101" s="124" t="s">
        <v>1278</v>
      </c>
      <c r="E101" s="124" t="s">
        <v>2630</v>
      </c>
      <c r="F101" s="123"/>
      <c r="G101" s="123"/>
      <c r="H101" s="123"/>
      <c r="I101" s="123"/>
      <c r="J101" s="125" t="s">
        <v>2631</v>
      </c>
      <c r="K101" s="123"/>
    </row>
    <row r="102" spans="1:11" ht="20.100000000000001" customHeight="1">
      <c r="A102" s="118">
        <v>97</v>
      </c>
      <c r="B102" s="139">
        <v>1906</v>
      </c>
      <c r="C102" s="124" t="s">
        <v>2632</v>
      </c>
      <c r="D102" s="124" t="s">
        <v>1742</v>
      </c>
      <c r="E102" s="141" t="s">
        <v>2633</v>
      </c>
      <c r="F102" s="123"/>
      <c r="G102" s="129"/>
      <c r="H102" s="129"/>
      <c r="I102" s="129"/>
      <c r="J102" s="125" t="s">
        <v>2634</v>
      </c>
      <c r="K102" s="123"/>
    </row>
    <row r="103" spans="1:11" ht="20.100000000000001" customHeight="1">
      <c r="A103" s="104">
        <v>98</v>
      </c>
      <c r="B103" s="74">
        <v>4618</v>
      </c>
      <c r="C103" s="9" t="s">
        <v>1275</v>
      </c>
      <c r="D103" s="9" t="s">
        <v>2635</v>
      </c>
      <c r="E103" s="9" t="s">
        <v>2636</v>
      </c>
      <c r="F103" s="13"/>
      <c r="G103" s="13"/>
      <c r="H103" s="13"/>
      <c r="I103" s="13"/>
      <c r="J103" s="127" t="s">
        <v>2637</v>
      </c>
      <c r="K103" s="13"/>
    </row>
    <row r="104" spans="1:11" ht="20.100000000000001" customHeight="1">
      <c r="A104" s="118">
        <v>99</v>
      </c>
      <c r="B104" s="142">
        <v>4622</v>
      </c>
      <c r="C104" s="9" t="s">
        <v>2638</v>
      </c>
      <c r="D104" s="9" t="s">
        <v>621</v>
      </c>
      <c r="E104" s="9" t="s">
        <v>2636</v>
      </c>
      <c r="F104" s="13"/>
      <c r="G104" s="13"/>
      <c r="H104" s="13"/>
      <c r="I104" s="13"/>
      <c r="J104" s="127" t="s">
        <v>2639</v>
      </c>
      <c r="K104" s="13"/>
    </row>
    <row r="105" spans="1:11" ht="20.100000000000001" customHeight="1">
      <c r="A105" s="104">
        <v>100</v>
      </c>
      <c r="B105" s="123">
        <v>4491</v>
      </c>
      <c r="C105" s="124" t="s">
        <v>2640</v>
      </c>
      <c r="D105" s="124" t="s">
        <v>461</v>
      </c>
      <c r="E105" s="124" t="s">
        <v>2641</v>
      </c>
      <c r="F105" s="123"/>
      <c r="G105" s="123"/>
      <c r="H105" s="123"/>
      <c r="I105" s="123"/>
      <c r="J105" s="136" t="s">
        <v>2642</v>
      </c>
      <c r="K105" s="123"/>
    </row>
    <row r="106" spans="1:11" ht="20.100000000000001" customHeight="1">
      <c r="A106" s="118">
        <v>101</v>
      </c>
      <c r="B106" s="123">
        <v>4639</v>
      </c>
      <c r="C106" s="124" t="s">
        <v>2643</v>
      </c>
      <c r="D106" s="124" t="s">
        <v>1212</v>
      </c>
      <c r="E106" s="124" t="s">
        <v>2641</v>
      </c>
      <c r="F106" s="123"/>
      <c r="G106" s="123"/>
      <c r="H106" s="123"/>
      <c r="I106" s="123"/>
      <c r="J106" s="136" t="s">
        <v>2644</v>
      </c>
      <c r="K106" s="123"/>
    </row>
    <row r="107" spans="1:11" ht="20.100000000000001" customHeight="1">
      <c r="A107" s="104">
        <v>102</v>
      </c>
      <c r="B107" s="137">
        <v>4664</v>
      </c>
      <c r="C107" s="124" t="s">
        <v>2645</v>
      </c>
      <c r="D107" s="124" t="s">
        <v>2451</v>
      </c>
      <c r="E107" s="124" t="s">
        <v>2641</v>
      </c>
      <c r="F107" s="123"/>
      <c r="G107" s="123"/>
      <c r="H107" s="123"/>
      <c r="I107" s="123"/>
      <c r="J107" s="126" t="s">
        <v>2646</v>
      </c>
      <c r="K107" s="123"/>
    </row>
    <row r="108" spans="1:11" ht="20.100000000000001" customHeight="1">
      <c r="A108" s="118">
        <v>103</v>
      </c>
      <c r="B108" s="137">
        <v>1342</v>
      </c>
      <c r="C108" s="124" t="s">
        <v>2647</v>
      </c>
      <c r="D108" s="124" t="s">
        <v>1754</v>
      </c>
      <c r="E108" s="124" t="s">
        <v>2648</v>
      </c>
      <c r="F108" s="123"/>
      <c r="G108" s="123"/>
      <c r="H108" s="123"/>
      <c r="I108" s="123"/>
      <c r="J108" s="125" t="s">
        <v>2505</v>
      </c>
      <c r="K108" s="123"/>
    </row>
    <row r="109" spans="1:11" ht="20.100000000000001" customHeight="1">
      <c r="A109" s="104">
        <v>104</v>
      </c>
      <c r="B109" s="123">
        <v>3009</v>
      </c>
      <c r="C109" s="124" t="s">
        <v>2649</v>
      </c>
      <c r="D109" s="124" t="s">
        <v>1356</v>
      </c>
      <c r="E109" s="124" t="s">
        <v>1407</v>
      </c>
      <c r="F109" s="123"/>
      <c r="G109" s="123"/>
      <c r="H109" s="123"/>
      <c r="I109" s="123"/>
      <c r="J109" s="143" t="s">
        <v>2650</v>
      </c>
      <c r="K109" s="122"/>
    </row>
    <row r="110" spans="1:11" ht="20.100000000000001" customHeight="1">
      <c r="A110" s="118">
        <v>105</v>
      </c>
      <c r="B110" s="123">
        <v>4506</v>
      </c>
      <c r="C110" s="124" t="s">
        <v>2651</v>
      </c>
      <c r="D110" s="124" t="s">
        <v>827</v>
      </c>
      <c r="E110" s="124" t="s">
        <v>2526</v>
      </c>
      <c r="F110" s="123"/>
      <c r="G110" s="123"/>
      <c r="H110" s="123"/>
      <c r="I110" s="123"/>
      <c r="J110" s="143" t="s">
        <v>2650</v>
      </c>
      <c r="K110" s="122"/>
    </row>
    <row r="111" spans="1:11" ht="20.100000000000001" customHeight="1">
      <c r="A111" s="104">
        <v>106</v>
      </c>
      <c r="B111" s="123">
        <v>4678</v>
      </c>
      <c r="C111" s="124" t="s">
        <v>2652</v>
      </c>
      <c r="D111" s="124" t="s">
        <v>2653</v>
      </c>
      <c r="E111" s="124" t="s">
        <v>2555</v>
      </c>
      <c r="F111" s="123"/>
      <c r="G111" s="123"/>
      <c r="H111" s="123"/>
      <c r="I111" s="123"/>
      <c r="J111" s="143" t="s">
        <v>2654</v>
      </c>
      <c r="K111" s="122"/>
    </row>
    <row r="112" spans="1:11" ht="20.100000000000001" customHeight="1">
      <c r="A112" s="118">
        <v>107</v>
      </c>
      <c r="B112" s="139">
        <v>4415</v>
      </c>
      <c r="C112" s="124" t="s">
        <v>2655</v>
      </c>
      <c r="D112" s="124" t="s">
        <v>1280</v>
      </c>
      <c r="E112" s="124" t="s">
        <v>2656</v>
      </c>
      <c r="F112" s="123"/>
      <c r="G112" s="123"/>
      <c r="H112" s="123"/>
      <c r="I112" s="123"/>
      <c r="J112" s="144" t="s">
        <v>2657</v>
      </c>
      <c r="K112" s="122"/>
    </row>
    <row r="113" spans="1:15" ht="20.100000000000001" customHeight="1">
      <c r="A113" s="104">
        <v>108</v>
      </c>
      <c r="B113" s="123">
        <v>4558</v>
      </c>
      <c r="C113" s="124" t="s">
        <v>2658</v>
      </c>
      <c r="D113" s="124" t="s">
        <v>2659</v>
      </c>
      <c r="E113" s="124" t="s">
        <v>2660</v>
      </c>
      <c r="F113" s="123"/>
      <c r="G113" s="123"/>
      <c r="H113" s="123"/>
      <c r="I113" s="123"/>
      <c r="J113" s="145" t="s">
        <v>2661</v>
      </c>
      <c r="K113" s="122"/>
    </row>
    <row r="114" spans="1:15" ht="20.100000000000001" customHeight="1">
      <c r="A114" s="118">
        <v>109</v>
      </c>
      <c r="B114" s="146">
        <v>4198</v>
      </c>
      <c r="C114" s="90" t="s">
        <v>2662</v>
      </c>
      <c r="D114" s="90" t="s">
        <v>1067</v>
      </c>
      <c r="E114" s="90" t="s">
        <v>2663</v>
      </c>
      <c r="F114" s="89"/>
      <c r="G114" s="146"/>
      <c r="H114" s="146"/>
      <c r="I114" s="146"/>
      <c r="J114" s="90" t="s">
        <v>2498</v>
      </c>
      <c r="K114" s="122"/>
    </row>
    <row r="115" spans="1:15" ht="20.100000000000001" customHeight="1">
      <c r="A115" s="104">
        <v>110</v>
      </c>
      <c r="B115" s="137">
        <v>1942</v>
      </c>
      <c r="C115" s="124" t="s">
        <v>2664</v>
      </c>
      <c r="D115" s="124" t="s">
        <v>362</v>
      </c>
      <c r="E115" s="124" t="s">
        <v>2594</v>
      </c>
      <c r="F115" s="123"/>
      <c r="G115" s="123"/>
      <c r="H115" s="123"/>
      <c r="I115" s="123"/>
      <c r="J115" s="147" t="s">
        <v>364</v>
      </c>
      <c r="K115" s="122"/>
    </row>
    <row r="116" spans="1:15" ht="20.100000000000001" customHeight="1">
      <c r="A116" s="118">
        <v>111</v>
      </c>
      <c r="B116" s="123">
        <v>4458</v>
      </c>
      <c r="C116" s="124" t="s">
        <v>2665</v>
      </c>
      <c r="D116" s="124" t="s">
        <v>2666</v>
      </c>
      <c r="E116" s="124" t="s">
        <v>2472</v>
      </c>
      <c r="F116" s="123"/>
      <c r="G116" s="123"/>
      <c r="H116" s="123"/>
      <c r="I116" s="123"/>
      <c r="J116" s="145" t="s">
        <v>2667</v>
      </c>
      <c r="K116" s="122"/>
    </row>
    <row r="117" spans="1:15" ht="20.100000000000001" customHeight="1">
      <c r="A117" s="104">
        <v>112</v>
      </c>
      <c r="B117" s="123">
        <v>4459</v>
      </c>
      <c r="C117" s="124" t="s">
        <v>2668</v>
      </c>
      <c r="D117" s="124" t="s">
        <v>2669</v>
      </c>
      <c r="E117" s="124" t="s">
        <v>1127</v>
      </c>
      <c r="F117" s="123"/>
      <c r="G117" s="123"/>
      <c r="H117" s="123"/>
      <c r="I117" s="123"/>
      <c r="J117" s="143" t="s">
        <v>2667</v>
      </c>
      <c r="K117" s="122"/>
    </row>
    <row r="118" spans="1:15" ht="20.100000000000001" customHeight="1">
      <c r="A118" s="118">
        <v>113</v>
      </c>
      <c r="B118" s="123">
        <v>4457</v>
      </c>
      <c r="C118" s="124" t="s">
        <v>2670</v>
      </c>
      <c r="D118" s="124" t="s">
        <v>2669</v>
      </c>
      <c r="E118" s="124" t="s">
        <v>2455</v>
      </c>
      <c r="F118" s="123"/>
      <c r="G118" s="123"/>
      <c r="H118" s="123"/>
      <c r="I118" s="123"/>
      <c r="J118" s="148" t="s">
        <v>2667</v>
      </c>
      <c r="K118" s="122"/>
    </row>
    <row r="119" spans="1:15" ht="20.100000000000001" customHeight="1">
      <c r="A119" s="104">
        <v>114</v>
      </c>
      <c r="B119" s="123">
        <v>4569</v>
      </c>
      <c r="C119" s="124" t="s">
        <v>2671</v>
      </c>
      <c r="D119" s="124" t="s">
        <v>2672</v>
      </c>
      <c r="E119" s="124" t="s">
        <v>1127</v>
      </c>
      <c r="F119" s="123"/>
      <c r="G119" s="123"/>
      <c r="H119" s="123"/>
      <c r="I119" s="123"/>
      <c r="J119" s="145" t="s">
        <v>2654</v>
      </c>
      <c r="K119" s="122"/>
    </row>
    <row r="120" spans="1:15" ht="20.100000000000001" customHeight="1">
      <c r="A120" s="118">
        <v>115</v>
      </c>
      <c r="B120" s="146">
        <v>1188</v>
      </c>
      <c r="C120" s="124" t="s">
        <v>2673</v>
      </c>
      <c r="D120" s="124" t="s">
        <v>2674</v>
      </c>
      <c r="E120" s="90" t="s">
        <v>1689</v>
      </c>
      <c r="F120" s="89"/>
      <c r="G120" s="146"/>
      <c r="H120" s="146"/>
      <c r="I120" s="146"/>
      <c r="J120" s="147" t="s">
        <v>2675</v>
      </c>
      <c r="K120" s="122"/>
    </row>
    <row r="121" spans="1:15" ht="20.100000000000001" customHeight="1">
      <c r="A121" s="104">
        <v>116</v>
      </c>
      <c r="B121" s="123">
        <v>4468</v>
      </c>
      <c r="C121" s="124" t="s">
        <v>2585</v>
      </c>
      <c r="D121" s="124" t="s">
        <v>328</v>
      </c>
      <c r="E121" s="90" t="s">
        <v>2460</v>
      </c>
      <c r="F121" s="89"/>
      <c r="G121" s="146"/>
      <c r="H121" s="146"/>
      <c r="I121" s="146"/>
      <c r="J121" s="145" t="s">
        <v>329</v>
      </c>
      <c r="K121" s="122"/>
    </row>
    <row r="122" spans="1:15" ht="20.100000000000001" customHeight="1">
      <c r="A122" s="118">
        <v>117</v>
      </c>
      <c r="B122" s="123">
        <v>1818</v>
      </c>
      <c r="C122" s="124" t="s">
        <v>2676</v>
      </c>
      <c r="D122" s="124" t="s">
        <v>2677</v>
      </c>
      <c r="E122" s="90" t="s">
        <v>1203</v>
      </c>
      <c r="F122" s="89"/>
      <c r="G122" s="146"/>
      <c r="H122" s="146"/>
      <c r="I122" s="146"/>
      <c r="J122" s="147" t="s">
        <v>2678</v>
      </c>
      <c r="K122" s="122"/>
    </row>
    <row r="123" spans="1:15" ht="20.100000000000001" customHeight="1">
      <c r="A123" s="104">
        <v>118</v>
      </c>
      <c r="B123" s="123">
        <v>1974</v>
      </c>
      <c r="C123" s="124" t="s">
        <v>1846</v>
      </c>
      <c r="D123" s="124" t="s">
        <v>2679</v>
      </c>
      <c r="E123" s="90" t="s">
        <v>1203</v>
      </c>
      <c r="F123" s="89"/>
      <c r="G123" s="146"/>
      <c r="H123" s="146"/>
      <c r="I123" s="146"/>
      <c r="J123" s="147" t="s">
        <v>329</v>
      </c>
      <c r="K123" s="122"/>
      <c r="O123">
        <f>SUM(O95:O121)</f>
        <v>0</v>
      </c>
    </row>
    <row r="124" spans="1:15" ht="20.100000000000001" customHeight="1">
      <c r="A124" s="118">
        <v>119</v>
      </c>
      <c r="B124" s="137">
        <v>1566</v>
      </c>
      <c r="C124" s="124" t="s">
        <v>2680</v>
      </c>
      <c r="D124" s="124" t="s">
        <v>372</v>
      </c>
      <c r="E124" s="90" t="s">
        <v>2681</v>
      </c>
      <c r="F124" s="89"/>
      <c r="G124" s="146"/>
      <c r="H124" s="146"/>
      <c r="I124" s="146"/>
      <c r="J124" s="147" t="s">
        <v>2682</v>
      </c>
      <c r="K124" s="146"/>
      <c r="L124">
        <f>SUM(L95:L123)</f>
        <v>0</v>
      </c>
      <c r="M124">
        <f>SUM(M95:M123)</f>
        <v>0</v>
      </c>
      <c r="N124">
        <f>SUM(N95:N123)</f>
        <v>0</v>
      </c>
    </row>
    <row r="125" spans="1:15" ht="20.100000000000001" customHeight="1">
      <c r="A125" s="104">
        <v>120</v>
      </c>
      <c r="B125" s="123">
        <v>4543</v>
      </c>
      <c r="C125" s="124" t="s">
        <v>2683</v>
      </c>
      <c r="D125" s="124" t="s">
        <v>305</v>
      </c>
      <c r="E125" s="90" t="s">
        <v>2681</v>
      </c>
      <c r="F125" s="89"/>
      <c r="G125" s="146"/>
      <c r="H125" s="146"/>
      <c r="I125" s="146"/>
      <c r="J125" s="143" t="s">
        <v>2684</v>
      </c>
      <c r="K125" s="146"/>
    </row>
    <row r="126" spans="1:15" ht="20.100000000000001" customHeight="1">
      <c r="A126" s="118">
        <v>121</v>
      </c>
      <c r="B126" s="137">
        <v>4701</v>
      </c>
      <c r="C126" s="124" t="s">
        <v>2685</v>
      </c>
      <c r="D126" s="124" t="s">
        <v>2686</v>
      </c>
      <c r="E126" s="90" t="s">
        <v>2681</v>
      </c>
      <c r="F126" s="89"/>
      <c r="G126" s="146"/>
      <c r="H126" s="146"/>
      <c r="I126" s="146"/>
      <c r="J126" s="145" t="s">
        <v>2687</v>
      </c>
      <c r="K126" s="146"/>
    </row>
    <row r="127" spans="1:15" ht="20.100000000000001" customHeight="1">
      <c r="A127" s="104">
        <v>122</v>
      </c>
      <c r="B127" s="137">
        <v>4703</v>
      </c>
      <c r="C127" s="124" t="s">
        <v>197</v>
      </c>
      <c r="D127" s="124" t="s">
        <v>2688</v>
      </c>
      <c r="E127" s="90" t="s">
        <v>2681</v>
      </c>
      <c r="F127" s="89"/>
      <c r="G127" s="146"/>
      <c r="H127" s="146"/>
      <c r="I127" s="146"/>
      <c r="J127" s="145" t="s">
        <v>2689</v>
      </c>
      <c r="K127" s="146"/>
    </row>
    <row r="128" spans="1:15" ht="20.100000000000001" customHeight="1">
      <c r="A128" s="118">
        <v>123</v>
      </c>
      <c r="B128" s="123">
        <v>4754</v>
      </c>
      <c r="C128" s="149" t="s">
        <v>1794</v>
      </c>
      <c r="D128" s="149" t="s">
        <v>2690</v>
      </c>
      <c r="E128" s="149" t="s">
        <v>2455</v>
      </c>
      <c r="F128" s="150"/>
      <c r="G128" s="150"/>
      <c r="H128" s="150"/>
      <c r="I128" s="150"/>
      <c r="J128" s="148" t="s">
        <v>2691</v>
      </c>
      <c r="K128" s="146"/>
    </row>
    <row r="129" spans="1:11" ht="20.100000000000001" customHeight="1">
      <c r="A129" s="104">
        <v>124</v>
      </c>
      <c r="B129" s="123">
        <v>2090</v>
      </c>
      <c r="C129" s="124" t="s">
        <v>275</v>
      </c>
      <c r="D129" s="124" t="s">
        <v>461</v>
      </c>
      <c r="E129" s="90" t="s">
        <v>2472</v>
      </c>
      <c r="F129" s="89"/>
      <c r="G129" s="146"/>
      <c r="H129" s="146"/>
      <c r="I129" s="146"/>
      <c r="J129" s="148" t="s">
        <v>2642</v>
      </c>
      <c r="K129" s="146"/>
    </row>
    <row r="130" spans="1:11" ht="20.100000000000001" customHeight="1">
      <c r="A130" s="118">
        <v>125</v>
      </c>
      <c r="B130" s="123">
        <v>1402</v>
      </c>
      <c r="C130" s="124" t="s">
        <v>2692</v>
      </c>
      <c r="D130" s="124" t="s">
        <v>461</v>
      </c>
      <c r="E130" s="151" t="s">
        <v>2543</v>
      </c>
      <c r="F130" s="93"/>
      <c r="G130" s="152"/>
      <c r="H130" s="152"/>
      <c r="I130" s="152"/>
      <c r="J130" s="147" t="s">
        <v>2693</v>
      </c>
      <c r="K130" s="122"/>
    </row>
    <row r="131" spans="1:11" ht="20.100000000000001" customHeight="1">
      <c r="A131" s="104">
        <v>126</v>
      </c>
      <c r="B131" s="123">
        <v>4843</v>
      </c>
      <c r="C131" s="153" t="s">
        <v>607</v>
      </c>
      <c r="D131" s="124" t="s">
        <v>2694</v>
      </c>
      <c r="E131" s="90" t="s">
        <v>2695</v>
      </c>
      <c r="F131" s="89"/>
      <c r="G131" s="146"/>
      <c r="H131" s="146"/>
      <c r="I131" s="146"/>
      <c r="J131" s="153" t="s">
        <v>2696</v>
      </c>
      <c r="K131" s="122"/>
    </row>
    <row r="132" spans="1:11" ht="20.100000000000001" customHeight="1">
      <c r="A132" s="118">
        <v>127</v>
      </c>
      <c r="B132" s="123">
        <v>4842</v>
      </c>
      <c r="C132" s="153" t="s">
        <v>689</v>
      </c>
      <c r="D132" s="124" t="s">
        <v>2694</v>
      </c>
      <c r="E132" s="90" t="s">
        <v>2695</v>
      </c>
      <c r="F132" s="89"/>
      <c r="G132" s="146"/>
      <c r="H132" s="146"/>
      <c r="I132" s="146"/>
      <c r="J132" s="153" t="s">
        <v>2696</v>
      </c>
      <c r="K132" s="122"/>
    </row>
    <row r="133" spans="1:11" ht="20.100000000000001" customHeight="1">
      <c r="A133" s="104">
        <v>128</v>
      </c>
      <c r="B133" s="93">
        <v>4789</v>
      </c>
      <c r="C133" s="9" t="s">
        <v>2697</v>
      </c>
      <c r="D133" s="9" t="s">
        <v>2698</v>
      </c>
      <c r="E133" s="90" t="s">
        <v>2641</v>
      </c>
      <c r="F133" s="89"/>
      <c r="G133" s="146"/>
      <c r="H133" s="146"/>
      <c r="I133" s="146"/>
      <c r="J133" s="154" t="s">
        <v>2699</v>
      </c>
      <c r="K133" s="122"/>
    </row>
    <row r="134" spans="1:11" ht="20.100000000000001" customHeight="1">
      <c r="A134" s="118">
        <v>129</v>
      </c>
      <c r="B134" s="13">
        <v>3006</v>
      </c>
      <c r="C134" s="9" t="s">
        <v>2700</v>
      </c>
      <c r="D134" s="9" t="s">
        <v>1356</v>
      </c>
      <c r="E134" s="90" t="s">
        <v>2701</v>
      </c>
      <c r="F134" s="89"/>
      <c r="G134" s="146"/>
      <c r="H134" s="146"/>
      <c r="I134" s="146"/>
      <c r="J134" s="105" t="s">
        <v>2702</v>
      </c>
      <c r="K134" s="122"/>
    </row>
    <row r="135" spans="1:11" ht="20.100000000000001" customHeight="1">
      <c r="A135" s="104">
        <v>130</v>
      </c>
      <c r="B135" s="13">
        <v>4683</v>
      </c>
      <c r="C135" s="9" t="s">
        <v>807</v>
      </c>
      <c r="D135" s="9" t="s">
        <v>2703</v>
      </c>
      <c r="E135" s="90" t="s">
        <v>2704</v>
      </c>
      <c r="F135" s="89"/>
      <c r="G135" s="146"/>
      <c r="H135" s="146"/>
      <c r="I135" s="146"/>
      <c r="J135" s="155" t="s">
        <v>2705</v>
      </c>
      <c r="K135" s="122"/>
    </row>
    <row r="136" spans="1:11" ht="20.100000000000001" customHeight="1">
      <c r="A136" s="118">
        <v>131</v>
      </c>
      <c r="B136" s="13">
        <v>4791</v>
      </c>
      <c r="C136" s="9" t="s">
        <v>1424</v>
      </c>
      <c r="D136" s="9" t="s">
        <v>2706</v>
      </c>
      <c r="E136" s="9" t="s">
        <v>2455</v>
      </c>
      <c r="F136" s="13"/>
      <c r="G136" s="13"/>
      <c r="H136" s="13"/>
      <c r="I136" s="13"/>
      <c r="J136" s="155" t="s">
        <v>2707</v>
      </c>
      <c r="K136" s="122"/>
    </row>
    <row r="137" spans="1:11" ht="20.100000000000001" customHeight="1">
      <c r="A137" s="104">
        <v>132</v>
      </c>
      <c r="B137" s="13">
        <v>4153</v>
      </c>
      <c r="C137" s="9" t="s">
        <v>433</v>
      </c>
      <c r="D137" s="9" t="s">
        <v>2099</v>
      </c>
      <c r="E137" s="104" t="s">
        <v>2502</v>
      </c>
      <c r="F137" s="12"/>
      <c r="G137" s="122"/>
      <c r="H137" s="122"/>
      <c r="I137" s="122"/>
      <c r="J137" s="155" t="s">
        <v>2708</v>
      </c>
      <c r="K137" s="122"/>
    </row>
    <row r="138" spans="1:11" ht="20.100000000000001" customHeight="1">
      <c r="A138" s="118">
        <v>133</v>
      </c>
      <c r="B138" s="93">
        <v>4139</v>
      </c>
      <c r="C138" s="9" t="s">
        <v>2709</v>
      </c>
      <c r="D138" s="9" t="s">
        <v>2710</v>
      </c>
      <c r="E138" s="104" t="s">
        <v>2711</v>
      </c>
      <c r="F138" s="12"/>
      <c r="G138" s="122"/>
      <c r="H138" s="122"/>
      <c r="I138" s="122"/>
      <c r="J138" s="156" t="s">
        <v>2529</v>
      </c>
      <c r="K138" s="122"/>
    </row>
    <row r="139" spans="1:11" ht="20.100000000000001" customHeight="1">
      <c r="A139" s="104">
        <v>134</v>
      </c>
      <c r="B139" s="13">
        <v>4541</v>
      </c>
      <c r="C139" s="9" t="s">
        <v>779</v>
      </c>
      <c r="D139" s="9" t="s">
        <v>1278</v>
      </c>
      <c r="E139" s="104" t="s">
        <v>2455</v>
      </c>
      <c r="F139" s="12"/>
      <c r="G139" s="122"/>
      <c r="H139" s="122"/>
      <c r="I139" s="122"/>
      <c r="J139" s="155" t="s">
        <v>2631</v>
      </c>
      <c r="K139" s="122"/>
    </row>
    <row r="140" spans="1:11" ht="20.100000000000001" customHeight="1">
      <c r="A140" s="118">
        <v>135</v>
      </c>
      <c r="B140" s="13">
        <v>3023</v>
      </c>
      <c r="C140" s="9" t="s">
        <v>2712</v>
      </c>
      <c r="D140" s="9" t="s">
        <v>2713</v>
      </c>
      <c r="E140" s="104" t="s">
        <v>878</v>
      </c>
      <c r="F140" s="12"/>
      <c r="G140" s="122"/>
      <c r="H140" s="122"/>
      <c r="I140" s="122"/>
      <c r="J140" s="154" t="s">
        <v>2714</v>
      </c>
      <c r="K140" s="122"/>
    </row>
    <row r="141" spans="1:11" ht="20.100000000000001" customHeight="1">
      <c r="A141" s="104">
        <v>136</v>
      </c>
      <c r="B141" s="13">
        <v>4505</v>
      </c>
      <c r="C141" s="9" t="s">
        <v>2715</v>
      </c>
      <c r="D141" s="9" t="s">
        <v>2716</v>
      </c>
      <c r="E141" s="104" t="s">
        <v>878</v>
      </c>
      <c r="F141" s="12"/>
      <c r="G141" s="122"/>
      <c r="H141" s="122"/>
      <c r="I141" s="122"/>
      <c r="J141" s="154" t="s">
        <v>2717</v>
      </c>
      <c r="K141" s="122"/>
    </row>
    <row r="142" spans="1:11" ht="20.100000000000001" customHeight="1">
      <c r="A142" s="118">
        <v>137</v>
      </c>
      <c r="B142" s="13">
        <v>4819</v>
      </c>
      <c r="C142" s="9" t="s">
        <v>2718</v>
      </c>
      <c r="D142" s="9" t="s">
        <v>2719</v>
      </c>
      <c r="E142" s="90" t="s">
        <v>2430</v>
      </c>
      <c r="F142" s="89"/>
      <c r="G142" s="146"/>
      <c r="H142" s="146"/>
      <c r="I142" s="146"/>
      <c r="J142" s="154" t="s">
        <v>2720</v>
      </c>
      <c r="K142" s="122"/>
    </row>
    <row r="143" spans="1:11" ht="20.100000000000001" customHeight="1">
      <c r="A143" s="104">
        <v>138</v>
      </c>
      <c r="B143" s="13">
        <v>4788</v>
      </c>
      <c r="C143" s="9" t="s">
        <v>2721</v>
      </c>
      <c r="D143" s="9" t="s">
        <v>2698</v>
      </c>
      <c r="E143" s="90" t="s">
        <v>2430</v>
      </c>
      <c r="F143" s="89"/>
      <c r="G143" s="146"/>
      <c r="H143" s="146"/>
      <c r="I143" s="146"/>
      <c r="J143" s="154" t="s">
        <v>2699</v>
      </c>
      <c r="K143" s="122"/>
    </row>
    <row r="144" spans="1:11" ht="20.100000000000001" customHeight="1">
      <c r="A144" s="118">
        <v>139</v>
      </c>
      <c r="B144" s="142">
        <v>4724</v>
      </c>
      <c r="C144" s="9" t="s">
        <v>2722</v>
      </c>
      <c r="D144" s="9" t="s">
        <v>2723</v>
      </c>
      <c r="E144" s="104" t="s">
        <v>2636</v>
      </c>
      <c r="F144" s="12"/>
      <c r="G144" s="122"/>
      <c r="H144" s="122"/>
      <c r="I144" s="122"/>
      <c r="J144" s="154" t="s">
        <v>2724</v>
      </c>
      <c r="K144" s="122"/>
    </row>
    <row r="145" spans="1:15" ht="20.100000000000001" customHeight="1">
      <c r="A145" s="104">
        <v>140</v>
      </c>
      <c r="B145" s="13">
        <v>3005</v>
      </c>
      <c r="C145" s="9" t="s">
        <v>2725</v>
      </c>
      <c r="D145" s="9" t="s">
        <v>2726</v>
      </c>
      <c r="E145" s="157" t="s">
        <v>878</v>
      </c>
      <c r="F145" s="12"/>
      <c r="G145" s="158"/>
      <c r="H145" s="158"/>
      <c r="I145" s="158"/>
      <c r="J145" s="159" t="s">
        <v>2727</v>
      </c>
      <c r="K145" s="122"/>
    </row>
    <row r="146" spans="1:15" ht="20.100000000000001" customHeight="1">
      <c r="A146" s="118">
        <v>141</v>
      </c>
      <c r="B146" s="13">
        <v>3054</v>
      </c>
      <c r="C146" s="9" t="s">
        <v>212</v>
      </c>
      <c r="D146" s="9" t="s">
        <v>2728</v>
      </c>
      <c r="E146" s="157" t="s">
        <v>878</v>
      </c>
      <c r="F146" s="12"/>
      <c r="G146" s="158"/>
      <c r="H146" s="158"/>
      <c r="I146" s="158"/>
      <c r="J146" s="159" t="s">
        <v>2729</v>
      </c>
      <c r="K146" s="122"/>
    </row>
    <row r="147" spans="1:15" ht="20.100000000000001" customHeight="1">
      <c r="A147" s="104">
        <v>142</v>
      </c>
      <c r="B147" s="13">
        <v>1463</v>
      </c>
      <c r="C147" s="9" t="s">
        <v>2730</v>
      </c>
      <c r="D147" s="9" t="s">
        <v>305</v>
      </c>
      <c r="E147" s="160" t="s">
        <v>1782</v>
      </c>
      <c r="F147" s="12"/>
      <c r="G147" s="12"/>
      <c r="H147" s="12"/>
      <c r="I147" s="12"/>
      <c r="J147" s="161" t="s">
        <v>2731</v>
      </c>
      <c r="K147" s="122"/>
      <c r="O147">
        <f>SUM(O125:O146)</f>
        <v>0</v>
      </c>
    </row>
    <row r="148" spans="1:15" ht="20.100000000000001" customHeight="1">
      <c r="A148" s="118">
        <v>143</v>
      </c>
      <c r="B148" s="13">
        <v>4515</v>
      </c>
      <c r="C148" s="9" t="s">
        <v>2732</v>
      </c>
      <c r="D148" s="9" t="s">
        <v>2189</v>
      </c>
      <c r="E148" s="104" t="s">
        <v>1782</v>
      </c>
      <c r="F148" s="12"/>
      <c r="G148" s="122"/>
      <c r="H148" s="122"/>
      <c r="I148" s="122"/>
      <c r="J148" s="105" t="s">
        <v>2733</v>
      </c>
      <c r="K148" s="122" t="s">
        <v>2734</v>
      </c>
    </row>
    <row r="149" spans="1:15" ht="20.100000000000001" customHeight="1">
      <c r="A149" s="104">
        <v>144</v>
      </c>
      <c r="B149" s="93">
        <v>4377</v>
      </c>
      <c r="C149" s="9" t="s">
        <v>2735</v>
      </c>
      <c r="D149" s="9" t="s">
        <v>2736</v>
      </c>
      <c r="E149" s="104" t="s">
        <v>2636</v>
      </c>
      <c r="F149" s="12"/>
      <c r="G149" s="122"/>
      <c r="H149" s="122"/>
      <c r="I149" s="122"/>
      <c r="J149" s="105" t="s">
        <v>2737</v>
      </c>
      <c r="K149" s="122" t="s">
        <v>2734</v>
      </c>
    </row>
    <row r="150" spans="1:15" ht="20.100000000000001" customHeight="1">
      <c r="A150" s="118">
        <v>145</v>
      </c>
      <c r="B150" s="93">
        <v>1134</v>
      </c>
      <c r="C150" s="9" t="s">
        <v>2738</v>
      </c>
      <c r="D150" s="9" t="s">
        <v>2739</v>
      </c>
      <c r="E150" s="104" t="s">
        <v>2636</v>
      </c>
      <c r="F150" s="12"/>
      <c r="G150" s="122"/>
      <c r="H150" s="122"/>
      <c r="I150" s="122"/>
      <c r="J150" s="156" t="s">
        <v>2740</v>
      </c>
      <c r="K150" s="122" t="s">
        <v>2734</v>
      </c>
    </row>
    <row r="151" spans="1:15" ht="20.100000000000001" customHeight="1">
      <c r="A151" s="104">
        <v>146</v>
      </c>
      <c r="B151" s="13">
        <v>4785</v>
      </c>
      <c r="C151" s="9" t="s">
        <v>2741</v>
      </c>
      <c r="D151" s="9" t="s">
        <v>2742</v>
      </c>
      <c r="E151" s="160"/>
      <c r="F151" s="12"/>
      <c r="G151" s="12"/>
      <c r="H151" s="12"/>
      <c r="I151" s="12"/>
      <c r="J151" s="162" t="s">
        <v>2743</v>
      </c>
      <c r="K151" s="122" t="s">
        <v>2744</v>
      </c>
    </row>
    <row r="152" spans="1:15" ht="20.100000000000001" customHeight="1">
      <c r="A152" s="118">
        <v>147</v>
      </c>
      <c r="B152" s="13">
        <v>1534</v>
      </c>
      <c r="C152" s="9" t="s">
        <v>2745</v>
      </c>
      <c r="D152" s="9" t="s">
        <v>2739</v>
      </c>
      <c r="E152" s="104" t="s">
        <v>2555</v>
      </c>
      <c r="F152" s="12"/>
      <c r="G152" s="122"/>
      <c r="H152" s="122"/>
      <c r="I152" s="122"/>
      <c r="J152" s="161" t="s">
        <v>2740</v>
      </c>
      <c r="K152" s="122" t="s">
        <v>2744</v>
      </c>
    </row>
    <row r="153" spans="1:15" ht="20.100000000000001" customHeight="1">
      <c r="A153" s="104">
        <v>148</v>
      </c>
      <c r="B153" s="13">
        <v>1574</v>
      </c>
      <c r="C153" s="9" t="s">
        <v>2746</v>
      </c>
      <c r="D153" s="9" t="s">
        <v>2747</v>
      </c>
      <c r="E153" s="104"/>
      <c r="F153" s="12"/>
      <c r="G153" s="122"/>
      <c r="H153" s="122"/>
      <c r="I153" s="122"/>
      <c r="J153" s="161" t="s">
        <v>2737</v>
      </c>
      <c r="K153" s="122" t="s">
        <v>2744</v>
      </c>
    </row>
    <row r="154" spans="1:15" ht="20.100000000000001" customHeight="1">
      <c r="A154" s="118">
        <v>149</v>
      </c>
      <c r="B154" s="13">
        <v>4008</v>
      </c>
      <c r="C154" s="9" t="s">
        <v>2748</v>
      </c>
      <c r="D154" s="9" t="s">
        <v>2749</v>
      </c>
      <c r="E154" s="104"/>
      <c r="F154" s="12"/>
      <c r="G154" s="122"/>
      <c r="H154" s="122"/>
      <c r="I154" s="122"/>
      <c r="J154" s="64" t="s">
        <v>2750</v>
      </c>
      <c r="K154" s="122" t="s">
        <v>2744</v>
      </c>
    </row>
    <row r="155" spans="1:15" ht="20.100000000000001" customHeight="1">
      <c r="A155" s="104">
        <v>150</v>
      </c>
      <c r="B155" s="13">
        <v>4762</v>
      </c>
      <c r="C155" s="64" t="s">
        <v>508</v>
      </c>
      <c r="D155" s="9" t="s">
        <v>2751</v>
      </c>
      <c r="E155" s="104" t="s">
        <v>2430</v>
      </c>
      <c r="F155" s="12" t="s">
        <v>2752</v>
      </c>
      <c r="G155" s="122">
        <v>0</v>
      </c>
      <c r="H155" s="122">
        <v>0</v>
      </c>
      <c r="I155" s="122">
        <v>0</v>
      </c>
      <c r="J155" s="104"/>
      <c r="K155" s="122" t="s">
        <v>2744</v>
      </c>
    </row>
    <row r="156" spans="1:15" ht="20.100000000000001" customHeight="1">
      <c r="A156" s="118">
        <v>151</v>
      </c>
      <c r="B156" s="13">
        <v>2026</v>
      </c>
      <c r="C156" s="9" t="s">
        <v>2753</v>
      </c>
      <c r="D156" s="9" t="s">
        <v>2736</v>
      </c>
      <c r="E156" s="104" t="s">
        <v>1127</v>
      </c>
      <c r="F156" s="12"/>
      <c r="G156" s="122"/>
      <c r="H156" s="122"/>
      <c r="I156" s="122"/>
      <c r="J156" s="155" t="s">
        <v>2737</v>
      </c>
      <c r="K156" s="122" t="s">
        <v>2744</v>
      </c>
    </row>
    <row r="157" spans="1:15" ht="20.100000000000001" customHeight="1">
      <c r="A157" s="104">
        <v>152</v>
      </c>
      <c r="B157" s="13">
        <v>3008</v>
      </c>
      <c r="C157" s="9" t="s">
        <v>2754</v>
      </c>
      <c r="D157" s="9" t="s">
        <v>2755</v>
      </c>
      <c r="E157" s="9" t="s">
        <v>2756</v>
      </c>
      <c r="F157" s="13"/>
      <c r="G157" s="13"/>
      <c r="H157" s="13"/>
      <c r="I157" s="13"/>
      <c r="J157" s="105" t="s">
        <v>2702</v>
      </c>
      <c r="K157" s="122" t="s">
        <v>2757</v>
      </c>
    </row>
    <row r="158" spans="1:15" ht="20.100000000000001" customHeight="1">
      <c r="A158" s="118">
        <v>153</v>
      </c>
      <c r="B158" s="13">
        <v>4293</v>
      </c>
      <c r="C158" s="9" t="s">
        <v>2758</v>
      </c>
      <c r="D158" s="9" t="s">
        <v>2759</v>
      </c>
      <c r="E158" s="160" t="s">
        <v>2457</v>
      </c>
      <c r="F158" s="12"/>
      <c r="G158" s="12"/>
      <c r="H158" s="12"/>
      <c r="I158" s="12"/>
      <c r="J158" s="64" t="s">
        <v>2760</v>
      </c>
      <c r="K158" s="122" t="s">
        <v>2757</v>
      </c>
    </row>
    <row r="159" spans="1:15" ht="20.100000000000001" customHeight="1">
      <c r="A159" s="104">
        <v>154</v>
      </c>
      <c r="B159" s="13">
        <v>4658</v>
      </c>
      <c r="C159" s="9" t="s">
        <v>2761</v>
      </c>
      <c r="D159" s="9" t="s">
        <v>2518</v>
      </c>
      <c r="E159" s="163" t="s">
        <v>2457</v>
      </c>
      <c r="F159" s="164"/>
      <c r="G159" s="164"/>
      <c r="H159" s="164"/>
      <c r="I159" s="164"/>
      <c r="J159" s="64" t="s">
        <v>2519</v>
      </c>
      <c r="K159" s="122" t="s">
        <v>2757</v>
      </c>
    </row>
    <row r="160" spans="1:15" ht="20.100000000000001" customHeight="1">
      <c r="A160" s="118">
        <v>155</v>
      </c>
      <c r="B160" s="13">
        <v>4067</v>
      </c>
      <c r="C160" s="9" t="s">
        <v>146</v>
      </c>
      <c r="D160" s="9" t="s">
        <v>2762</v>
      </c>
      <c r="E160" s="104" t="s">
        <v>878</v>
      </c>
      <c r="F160" s="12"/>
      <c r="G160" s="122"/>
      <c r="H160" s="122"/>
      <c r="I160" s="122"/>
      <c r="J160" s="64" t="s">
        <v>2763</v>
      </c>
      <c r="K160" s="122" t="s">
        <v>2757</v>
      </c>
    </row>
    <row r="161" spans="1:15" ht="20.100000000000001" customHeight="1">
      <c r="A161" s="104">
        <v>156</v>
      </c>
      <c r="B161" s="13">
        <v>3003</v>
      </c>
      <c r="C161" s="9" t="s">
        <v>2764</v>
      </c>
      <c r="D161" s="9" t="s">
        <v>2755</v>
      </c>
      <c r="E161" s="104" t="s">
        <v>2490</v>
      </c>
      <c r="F161" s="12"/>
      <c r="G161" s="122"/>
      <c r="H161" s="122"/>
      <c r="I161" s="122"/>
      <c r="J161" s="154" t="s">
        <v>2702</v>
      </c>
      <c r="K161" s="122" t="s">
        <v>2757</v>
      </c>
    </row>
    <row r="162" spans="1:15" ht="20.100000000000001" customHeight="1">
      <c r="A162" s="118">
        <v>157</v>
      </c>
      <c r="B162" s="13">
        <v>4619</v>
      </c>
      <c r="C162" s="9" t="s">
        <v>2765</v>
      </c>
      <c r="D162" s="9" t="s">
        <v>2766</v>
      </c>
      <c r="E162" s="160" t="s">
        <v>1203</v>
      </c>
      <c r="F162" s="12"/>
      <c r="G162" s="12"/>
      <c r="H162" s="12"/>
      <c r="I162" s="12"/>
      <c r="J162" s="165" t="s">
        <v>2767</v>
      </c>
      <c r="K162" s="122" t="s">
        <v>2757</v>
      </c>
    </row>
    <row r="163" spans="1:15" ht="20.100000000000001" customHeight="1">
      <c r="A163" s="104">
        <v>158</v>
      </c>
      <c r="B163" s="13">
        <v>4059</v>
      </c>
      <c r="C163" s="9" t="s">
        <v>1853</v>
      </c>
      <c r="D163" s="9" t="s">
        <v>2768</v>
      </c>
      <c r="E163" s="104" t="s">
        <v>2555</v>
      </c>
      <c r="F163" s="12"/>
      <c r="G163" s="122"/>
      <c r="H163" s="122"/>
      <c r="I163" s="122"/>
      <c r="J163" s="166" t="s">
        <v>2769</v>
      </c>
      <c r="K163" s="122" t="s">
        <v>2757</v>
      </c>
    </row>
    <row r="164" spans="1:15" ht="20.100000000000001" customHeight="1">
      <c r="A164" s="118">
        <v>159</v>
      </c>
      <c r="B164" s="13">
        <v>4666</v>
      </c>
      <c r="C164" s="9" t="s">
        <v>2770</v>
      </c>
      <c r="D164" s="9" t="s">
        <v>2771</v>
      </c>
      <c r="E164" s="160" t="s">
        <v>2772</v>
      </c>
      <c r="F164" s="12"/>
      <c r="G164" s="12"/>
      <c r="H164" s="12"/>
      <c r="I164" s="12"/>
      <c r="J164" s="166" t="s">
        <v>2773</v>
      </c>
      <c r="K164" s="122" t="s">
        <v>2757</v>
      </c>
    </row>
    <row r="165" spans="1:15" ht="20.100000000000001" customHeight="1">
      <c r="A165" s="104">
        <v>160</v>
      </c>
      <c r="B165" s="13">
        <v>4504</v>
      </c>
      <c r="C165" s="9" t="s">
        <v>1275</v>
      </c>
      <c r="D165" s="9" t="s">
        <v>2774</v>
      </c>
      <c r="E165" s="160" t="s">
        <v>2457</v>
      </c>
      <c r="F165" s="12"/>
      <c r="G165" s="12"/>
      <c r="H165" s="12"/>
      <c r="I165" s="12"/>
      <c r="J165" s="64" t="s">
        <v>2763</v>
      </c>
      <c r="K165" s="122" t="s">
        <v>2757</v>
      </c>
    </row>
    <row r="166" spans="1:15" ht="20.100000000000001" customHeight="1">
      <c r="A166" s="118">
        <v>161</v>
      </c>
      <c r="B166" s="13">
        <v>4863</v>
      </c>
      <c r="C166" s="9" t="s">
        <v>2558</v>
      </c>
      <c r="D166" s="9" t="s">
        <v>2775</v>
      </c>
      <c r="E166" s="104"/>
      <c r="F166" s="12"/>
      <c r="G166" s="122"/>
      <c r="H166" s="122"/>
      <c r="I166" s="122"/>
      <c r="J166" s="155" t="s">
        <v>2377</v>
      </c>
      <c r="K166" s="146" t="s">
        <v>2776</v>
      </c>
    </row>
    <row r="167" spans="1:15" ht="20.100000000000001" customHeight="1">
      <c r="A167" s="104">
        <v>162</v>
      </c>
      <c r="B167" s="13">
        <v>4891</v>
      </c>
      <c r="C167" s="9" t="s">
        <v>2777</v>
      </c>
      <c r="D167" s="9" t="s">
        <v>2376</v>
      </c>
      <c r="E167" s="90" t="s">
        <v>2460</v>
      </c>
      <c r="F167" s="89"/>
      <c r="G167" s="146"/>
      <c r="H167" s="146"/>
      <c r="I167" s="146"/>
      <c r="J167" s="104"/>
      <c r="K167" s="146" t="s">
        <v>2776</v>
      </c>
    </row>
    <row r="168" spans="1:15" ht="20.100000000000001" customHeight="1">
      <c r="A168" s="118">
        <v>163</v>
      </c>
      <c r="B168" s="13">
        <v>4660</v>
      </c>
      <c r="C168" s="9" t="s">
        <v>2778</v>
      </c>
      <c r="D168" s="9" t="s">
        <v>2518</v>
      </c>
      <c r="E168" s="90" t="s">
        <v>2502</v>
      </c>
      <c r="F168" s="89"/>
      <c r="G168" s="146"/>
      <c r="H168" s="146"/>
      <c r="I168" s="146"/>
      <c r="J168" s="154" t="s">
        <v>2519</v>
      </c>
      <c r="K168" s="146" t="s">
        <v>2776</v>
      </c>
    </row>
    <row r="169" spans="1:15" ht="20.100000000000001" customHeight="1">
      <c r="A169" s="104">
        <v>164</v>
      </c>
      <c r="B169" s="13">
        <v>4102</v>
      </c>
      <c r="C169" s="9" t="s">
        <v>382</v>
      </c>
      <c r="D169" s="9" t="s">
        <v>184</v>
      </c>
      <c r="E169" s="90" t="s">
        <v>2555</v>
      </c>
      <c r="F169" s="89"/>
      <c r="G169" s="146"/>
      <c r="H169" s="146"/>
      <c r="I169" s="146"/>
      <c r="J169" s="155" t="s">
        <v>2779</v>
      </c>
      <c r="K169" s="146" t="s">
        <v>2780</v>
      </c>
    </row>
    <row r="170" spans="1:15" ht="20.100000000000001" customHeight="1">
      <c r="A170" s="118">
        <v>165</v>
      </c>
      <c r="B170" s="13">
        <v>2095</v>
      </c>
      <c r="C170" s="9" t="s">
        <v>2781</v>
      </c>
      <c r="D170" s="9" t="s">
        <v>2782</v>
      </c>
      <c r="E170" s="160" t="s">
        <v>2783</v>
      </c>
      <c r="F170" s="12"/>
      <c r="G170" s="12"/>
      <c r="H170" s="12"/>
      <c r="I170" s="12"/>
      <c r="J170" s="161" t="s">
        <v>2784</v>
      </c>
      <c r="K170" s="146" t="s">
        <v>2780</v>
      </c>
    </row>
    <row r="171" spans="1:15" ht="20.100000000000001" customHeight="1">
      <c r="A171" s="104">
        <v>166</v>
      </c>
      <c r="B171" s="13">
        <v>4656</v>
      </c>
      <c r="C171" s="9" t="s">
        <v>2785</v>
      </c>
      <c r="D171" s="9" t="s">
        <v>1566</v>
      </c>
      <c r="E171" s="104" t="s">
        <v>2641</v>
      </c>
      <c r="F171" s="12"/>
      <c r="G171" s="122"/>
      <c r="H171" s="122"/>
      <c r="I171" s="122"/>
      <c r="J171" s="162" t="s">
        <v>2786</v>
      </c>
      <c r="K171" s="146" t="s">
        <v>2780</v>
      </c>
    </row>
    <row r="172" spans="1:15" ht="20.100000000000001" customHeight="1">
      <c r="A172" s="118">
        <v>167</v>
      </c>
      <c r="B172" s="13">
        <v>4657</v>
      </c>
      <c r="C172" s="9" t="s">
        <v>550</v>
      </c>
      <c r="D172" s="9" t="s">
        <v>1566</v>
      </c>
      <c r="E172" s="104" t="s">
        <v>1782</v>
      </c>
      <c r="F172" s="12"/>
      <c r="G172" s="122"/>
      <c r="H172" s="122"/>
      <c r="I172" s="122"/>
      <c r="J172" s="162" t="s">
        <v>2786</v>
      </c>
      <c r="K172" s="146" t="s">
        <v>2780</v>
      </c>
    </row>
    <row r="173" spans="1:15" ht="20.100000000000001" customHeight="1">
      <c r="A173" s="104">
        <v>168</v>
      </c>
      <c r="B173" s="13">
        <v>4092</v>
      </c>
      <c r="C173" s="9" t="s">
        <v>1253</v>
      </c>
      <c r="D173" s="9" t="s">
        <v>2787</v>
      </c>
      <c r="E173" s="104" t="s">
        <v>2526</v>
      </c>
      <c r="F173" s="12"/>
      <c r="G173" s="122"/>
      <c r="H173" s="122"/>
      <c r="I173" s="122"/>
      <c r="J173" s="155" t="s">
        <v>2788</v>
      </c>
      <c r="K173" s="146" t="s">
        <v>2789</v>
      </c>
      <c r="O173">
        <f>SUM(O150:O172)</f>
        <v>0</v>
      </c>
    </row>
    <row r="174" spans="1:15" ht="20.100000000000001" customHeight="1">
      <c r="A174" s="118">
        <v>169</v>
      </c>
      <c r="B174" s="13">
        <v>4797</v>
      </c>
      <c r="C174" s="9" t="s">
        <v>2559</v>
      </c>
      <c r="D174" s="9" t="s">
        <v>2478</v>
      </c>
      <c r="E174" s="160" t="s">
        <v>2457</v>
      </c>
      <c r="F174" s="12" t="s">
        <v>2752</v>
      </c>
      <c r="G174" s="12">
        <v>0</v>
      </c>
      <c r="H174" s="12">
        <v>0</v>
      </c>
      <c r="I174" s="12">
        <v>0</v>
      </c>
      <c r="J174" s="64" t="s">
        <v>2790</v>
      </c>
      <c r="K174" s="89" t="s">
        <v>2789</v>
      </c>
    </row>
    <row r="175" spans="1:15" ht="20.100000000000001" customHeight="1">
      <c r="A175" s="104">
        <v>170</v>
      </c>
      <c r="B175" s="13">
        <v>4793</v>
      </c>
      <c r="C175" s="9" t="s">
        <v>2791</v>
      </c>
      <c r="D175" s="9" t="s">
        <v>2478</v>
      </c>
      <c r="E175" s="160" t="s">
        <v>964</v>
      </c>
      <c r="F175" s="12"/>
      <c r="G175" s="12"/>
      <c r="H175" s="12"/>
      <c r="I175" s="12"/>
      <c r="J175" s="64" t="s">
        <v>2790</v>
      </c>
      <c r="K175" s="146" t="s">
        <v>2789</v>
      </c>
    </row>
    <row r="176" spans="1:15" ht="20.100000000000001" customHeight="1">
      <c r="A176" s="118">
        <v>171</v>
      </c>
      <c r="B176" s="13">
        <v>4796</v>
      </c>
      <c r="C176" s="9" t="s">
        <v>2792</v>
      </c>
      <c r="D176" s="9" t="s">
        <v>2793</v>
      </c>
      <c r="E176" s="104" t="s">
        <v>2543</v>
      </c>
      <c r="F176" s="12"/>
      <c r="G176" s="122"/>
      <c r="H176" s="122"/>
      <c r="I176" s="122"/>
      <c r="J176" s="64" t="s">
        <v>2790</v>
      </c>
      <c r="K176" s="146" t="s">
        <v>2789</v>
      </c>
    </row>
    <row r="177" spans="1:11" ht="20.100000000000001" customHeight="1">
      <c r="A177" s="104">
        <v>172</v>
      </c>
      <c r="B177" s="93">
        <v>4106</v>
      </c>
      <c r="C177" s="9" t="s">
        <v>2794</v>
      </c>
      <c r="D177" s="9" t="s">
        <v>184</v>
      </c>
      <c r="E177" s="104" t="s">
        <v>2636</v>
      </c>
      <c r="F177" s="12"/>
      <c r="G177" s="122"/>
      <c r="H177" s="122"/>
      <c r="I177" s="122"/>
      <c r="J177" s="156" t="s">
        <v>2779</v>
      </c>
      <c r="K177" s="146" t="s">
        <v>2795</v>
      </c>
    </row>
    <row r="178" spans="1:11" ht="20.100000000000001" customHeight="1">
      <c r="A178" s="118">
        <v>173</v>
      </c>
      <c r="B178" s="13">
        <v>4625</v>
      </c>
      <c r="C178" s="9" t="s">
        <v>2409</v>
      </c>
      <c r="D178" s="9" t="s">
        <v>2796</v>
      </c>
      <c r="E178" s="104" t="s">
        <v>1782</v>
      </c>
      <c r="F178" s="12"/>
      <c r="G178" s="122"/>
      <c r="H178" s="122"/>
      <c r="I178" s="122"/>
      <c r="J178" s="105" t="s">
        <v>2410</v>
      </c>
      <c r="K178" s="122"/>
    </row>
    <row r="179" spans="1:11" ht="20.100000000000001" customHeight="1">
      <c r="A179" s="104">
        <v>174</v>
      </c>
      <c r="B179" s="13">
        <v>4798</v>
      </c>
      <c r="C179" s="10" t="s">
        <v>2797</v>
      </c>
      <c r="D179" s="10" t="s">
        <v>2454</v>
      </c>
      <c r="E179" s="104" t="s">
        <v>2663</v>
      </c>
      <c r="F179" s="12">
        <v>0</v>
      </c>
      <c r="G179" s="122">
        <v>0</v>
      </c>
      <c r="H179" s="122">
        <v>0</v>
      </c>
      <c r="I179" s="122">
        <v>0</v>
      </c>
      <c r="J179" s="155" t="s">
        <v>2798</v>
      </c>
      <c r="K179" s="122"/>
    </row>
    <row r="180" spans="1:11" ht="20.100000000000001" customHeight="1">
      <c r="A180" s="118">
        <v>175</v>
      </c>
      <c r="B180" s="13">
        <v>4799</v>
      </c>
      <c r="C180" s="9" t="s">
        <v>2464</v>
      </c>
      <c r="D180" s="9" t="s">
        <v>387</v>
      </c>
      <c r="E180" s="104" t="s">
        <v>878</v>
      </c>
      <c r="F180" s="12">
        <v>1800</v>
      </c>
      <c r="G180" s="122">
        <v>0</v>
      </c>
      <c r="H180" s="122">
        <v>0</v>
      </c>
      <c r="I180" s="122">
        <v>0</v>
      </c>
      <c r="J180" s="155" t="s">
        <v>2466</v>
      </c>
      <c r="K180" s="122"/>
    </row>
    <row r="181" spans="1:11" ht="20.100000000000001" customHeight="1">
      <c r="A181" s="104">
        <v>176</v>
      </c>
      <c r="B181" s="13">
        <v>4834</v>
      </c>
      <c r="C181" s="9" t="s">
        <v>2799</v>
      </c>
      <c r="D181" s="9" t="s">
        <v>1278</v>
      </c>
      <c r="E181" s="104" t="s">
        <v>878</v>
      </c>
      <c r="F181" s="12">
        <v>1800</v>
      </c>
      <c r="G181" s="122">
        <v>0</v>
      </c>
      <c r="H181" s="122">
        <v>0</v>
      </c>
      <c r="I181" s="122">
        <v>0</v>
      </c>
      <c r="J181" s="155"/>
      <c r="K181" s="122"/>
    </row>
    <row r="182" spans="1:11" ht="20.100000000000001" customHeight="1">
      <c r="A182" s="118">
        <v>177</v>
      </c>
      <c r="B182" s="13">
        <v>4794</v>
      </c>
      <c r="C182" s="9" t="s">
        <v>2800</v>
      </c>
      <c r="D182" s="9" t="s">
        <v>2801</v>
      </c>
      <c r="E182" s="104" t="s">
        <v>2490</v>
      </c>
      <c r="F182" s="12"/>
      <c r="G182" s="122"/>
      <c r="H182" s="122"/>
      <c r="I182" s="122"/>
      <c r="J182" s="155" t="s">
        <v>388</v>
      </c>
      <c r="K182" s="122"/>
    </row>
    <row r="183" spans="1:11" ht="20.100000000000001" customHeight="1">
      <c r="A183" s="104">
        <v>178</v>
      </c>
      <c r="B183" s="13">
        <v>1771</v>
      </c>
      <c r="C183" s="9" t="s">
        <v>2802</v>
      </c>
      <c r="D183" s="9" t="s">
        <v>2803</v>
      </c>
      <c r="E183" s="104" t="s">
        <v>2555</v>
      </c>
      <c r="F183" s="12"/>
      <c r="G183" s="122"/>
      <c r="H183" s="122"/>
      <c r="I183" s="122"/>
      <c r="J183" s="161" t="s">
        <v>2804</v>
      </c>
      <c r="K183" s="122"/>
    </row>
    <row r="184" spans="1:11" ht="20.100000000000001" customHeight="1">
      <c r="A184" s="118">
        <v>179</v>
      </c>
      <c r="B184" s="13">
        <v>4665</v>
      </c>
      <c r="C184" s="9" t="s">
        <v>2805</v>
      </c>
      <c r="D184" s="9" t="s">
        <v>2771</v>
      </c>
      <c r="E184" s="104" t="s">
        <v>2543</v>
      </c>
      <c r="F184" s="12"/>
      <c r="G184" s="122"/>
      <c r="H184" s="122"/>
      <c r="I184" s="122"/>
      <c r="J184" s="156" t="s">
        <v>2773</v>
      </c>
      <c r="K184" s="122"/>
    </row>
    <row r="185" spans="1:11" ht="20.100000000000001" customHeight="1">
      <c r="A185" s="104">
        <v>180</v>
      </c>
      <c r="B185" s="123">
        <v>4308</v>
      </c>
      <c r="C185" s="124" t="s">
        <v>2806</v>
      </c>
      <c r="D185" s="124" t="s">
        <v>2807</v>
      </c>
      <c r="E185" s="104" t="s">
        <v>2808</v>
      </c>
      <c r="F185" s="12"/>
      <c r="G185" s="122"/>
      <c r="H185" s="122"/>
      <c r="I185" s="122"/>
      <c r="J185" s="125" t="s">
        <v>2809</v>
      </c>
      <c r="K185" s="122"/>
    </row>
    <row r="186" spans="1:11" ht="20.100000000000001" customHeight="1">
      <c r="A186" s="118">
        <v>181</v>
      </c>
      <c r="B186" s="13">
        <v>4830</v>
      </c>
      <c r="C186" s="9" t="s">
        <v>2810</v>
      </c>
      <c r="D186" s="9" t="s">
        <v>2811</v>
      </c>
      <c r="E186" s="104" t="s">
        <v>2526</v>
      </c>
      <c r="F186" s="12"/>
      <c r="G186" s="122"/>
      <c r="H186" s="122"/>
      <c r="I186" s="122"/>
      <c r="J186" s="155" t="s">
        <v>2812</v>
      </c>
      <c r="K186" s="122"/>
    </row>
    <row r="187" spans="1:11" ht="20.100000000000001" customHeight="1">
      <c r="A187" s="104">
        <v>182</v>
      </c>
      <c r="B187" s="13">
        <v>4820</v>
      </c>
      <c r="C187" s="9" t="s">
        <v>2813</v>
      </c>
      <c r="D187" s="9" t="s">
        <v>696</v>
      </c>
      <c r="E187" s="104" t="s">
        <v>2814</v>
      </c>
      <c r="F187" s="12"/>
      <c r="G187" s="122"/>
      <c r="H187" s="122"/>
      <c r="I187" s="122"/>
      <c r="J187" s="105" t="s">
        <v>2815</v>
      </c>
      <c r="K187" s="122"/>
    </row>
    <row r="188" spans="1:11" ht="20.100000000000001" customHeight="1">
      <c r="A188" s="118">
        <v>183</v>
      </c>
      <c r="B188" s="13">
        <v>4475</v>
      </c>
      <c r="C188" s="9" t="s">
        <v>2816</v>
      </c>
      <c r="D188" s="9" t="s">
        <v>263</v>
      </c>
      <c r="E188" s="104" t="s">
        <v>2756</v>
      </c>
      <c r="F188" s="12"/>
      <c r="G188" s="122"/>
      <c r="H188" s="122"/>
      <c r="I188" s="122"/>
      <c r="J188" s="105" t="s">
        <v>264</v>
      </c>
      <c r="K188" s="122"/>
    </row>
    <row r="189" spans="1:11" ht="20.100000000000001" customHeight="1">
      <c r="A189" s="104">
        <v>184</v>
      </c>
      <c r="B189" s="13">
        <v>4795</v>
      </c>
      <c r="C189" s="9" t="s">
        <v>2817</v>
      </c>
      <c r="D189" s="9" t="s">
        <v>387</v>
      </c>
      <c r="E189" s="104" t="s">
        <v>2818</v>
      </c>
      <c r="F189" s="12"/>
      <c r="G189" s="122"/>
      <c r="H189" s="122"/>
      <c r="I189" s="122"/>
      <c r="J189" s="105" t="s">
        <v>2798</v>
      </c>
      <c r="K189" s="122"/>
    </row>
    <row r="190" spans="1:11" ht="20.100000000000001" customHeight="1">
      <c r="A190" s="118">
        <v>185</v>
      </c>
      <c r="B190" s="13">
        <v>4761</v>
      </c>
      <c r="C190" s="9" t="s">
        <v>640</v>
      </c>
      <c r="D190" s="9" t="s">
        <v>2751</v>
      </c>
      <c r="E190" s="104" t="s">
        <v>2819</v>
      </c>
      <c r="F190" s="12" t="s">
        <v>2752</v>
      </c>
      <c r="G190" s="122">
        <v>0</v>
      </c>
      <c r="H190" s="122">
        <v>0</v>
      </c>
      <c r="I190" s="122">
        <v>0</v>
      </c>
      <c r="J190" s="104"/>
      <c r="K190" s="122"/>
    </row>
    <row r="191" spans="1:11" ht="20.100000000000001" customHeight="1">
      <c r="A191" s="104">
        <v>186</v>
      </c>
      <c r="B191" s="13">
        <v>4760</v>
      </c>
      <c r="C191" s="9" t="s">
        <v>377</v>
      </c>
      <c r="D191" s="9" t="s">
        <v>2751</v>
      </c>
      <c r="E191" s="104" t="s">
        <v>2472</v>
      </c>
      <c r="F191" s="12"/>
      <c r="G191" s="122"/>
      <c r="H191" s="122"/>
      <c r="I191" s="122"/>
      <c r="J191" s="104"/>
      <c r="K191" s="122"/>
    </row>
    <row r="192" spans="1:11" ht="20.100000000000001" customHeight="1">
      <c r="A192" s="118">
        <v>187</v>
      </c>
      <c r="B192" s="13">
        <v>4858</v>
      </c>
      <c r="C192" s="9" t="s">
        <v>2820</v>
      </c>
      <c r="D192" s="9" t="s">
        <v>2821</v>
      </c>
      <c r="E192" s="104" t="s">
        <v>878</v>
      </c>
      <c r="F192" s="12">
        <v>1800</v>
      </c>
      <c r="G192" s="122">
        <v>0</v>
      </c>
      <c r="H192" s="122">
        <v>0</v>
      </c>
      <c r="I192" s="122">
        <v>0</v>
      </c>
      <c r="J192" s="104"/>
      <c r="K192" s="122"/>
    </row>
    <row r="193" spans="1:15" ht="20.100000000000001" customHeight="1">
      <c r="A193" s="104">
        <v>188</v>
      </c>
      <c r="B193" s="13">
        <v>4174</v>
      </c>
      <c r="C193" s="9" t="s">
        <v>1335</v>
      </c>
      <c r="D193" s="9" t="s">
        <v>2822</v>
      </c>
      <c r="E193" s="104" t="s">
        <v>2543</v>
      </c>
      <c r="F193" s="12"/>
      <c r="G193" s="122"/>
      <c r="H193" s="122"/>
      <c r="I193" s="122"/>
      <c r="J193" s="166" t="s">
        <v>2823</v>
      </c>
      <c r="K193" s="122"/>
    </row>
    <row r="194" spans="1:15" ht="20.100000000000001" customHeight="1">
      <c r="A194" s="118">
        <v>189</v>
      </c>
      <c r="B194" s="13">
        <v>4172</v>
      </c>
      <c r="C194" s="9" t="s">
        <v>689</v>
      </c>
      <c r="D194" s="9" t="s">
        <v>2822</v>
      </c>
      <c r="E194" s="104" t="s">
        <v>1127</v>
      </c>
      <c r="F194" s="12">
        <v>1800</v>
      </c>
      <c r="G194" s="122">
        <v>0</v>
      </c>
      <c r="H194" s="122">
        <v>0</v>
      </c>
      <c r="I194" s="122">
        <v>0</v>
      </c>
      <c r="J194" s="155" t="s">
        <v>1204</v>
      </c>
      <c r="K194" s="122"/>
    </row>
    <row r="195" spans="1:15" ht="20.100000000000001" customHeight="1">
      <c r="A195" s="104">
        <v>190</v>
      </c>
      <c r="B195" s="13">
        <v>2031</v>
      </c>
      <c r="C195" s="9" t="s">
        <v>2824</v>
      </c>
      <c r="D195" s="9" t="s">
        <v>2825</v>
      </c>
      <c r="E195" s="104" t="s">
        <v>1127</v>
      </c>
      <c r="F195" s="12">
        <v>1800</v>
      </c>
      <c r="G195" s="122">
        <v>0</v>
      </c>
      <c r="H195" s="122">
        <v>0</v>
      </c>
      <c r="I195" s="122">
        <v>0</v>
      </c>
      <c r="J195" s="156" t="s">
        <v>2826</v>
      </c>
      <c r="K195" s="122"/>
    </row>
    <row r="196" spans="1:15" ht="20.100000000000001" customHeight="1">
      <c r="A196" s="118">
        <v>191</v>
      </c>
      <c r="B196" s="13">
        <v>4892</v>
      </c>
      <c r="C196" s="9" t="s">
        <v>2827</v>
      </c>
      <c r="D196" s="9" t="s">
        <v>2376</v>
      </c>
      <c r="E196" s="90" t="s">
        <v>1327</v>
      </c>
      <c r="F196" s="89">
        <v>900</v>
      </c>
      <c r="G196" s="146">
        <v>0</v>
      </c>
      <c r="H196" s="146">
        <v>0</v>
      </c>
      <c r="I196" s="146">
        <v>0</v>
      </c>
      <c r="J196" s="105" t="s">
        <v>2377</v>
      </c>
      <c r="K196" s="122"/>
    </row>
    <row r="197" spans="1:15" ht="20.100000000000001" customHeight="1">
      <c r="A197" s="104">
        <v>192</v>
      </c>
      <c r="B197" s="75">
        <v>4721</v>
      </c>
      <c r="C197" s="63" t="s">
        <v>2828</v>
      </c>
      <c r="D197" s="63" t="s">
        <v>2829</v>
      </c>
      <c r="E197" s="167" t="s">
        <v>2830</v>
      </c>
      <c r="F197" s="93" t="s">
        <v>506</v>
      </c>
      <c r="G197" s="168"/>
      <c r="H197" s="168"/>
      <c r="I197" s="168"/>
      <c r="J197" s="159" t="s">
        <v>2831</v>
      </c>
      <c r="K197" s="122"/>
    </row>
    <row r="198" spans="1:15" ht="20.100000000000001" customHeight="1">
      <c r="A198" s="118">
        <v>193</v>
      </c>
      <c r="B198" s="13">
        <v>4563</v>
      </c>
      <c r="C198" s="9" t="s">
        <v>410</v>
      </c>
      <c r="D198" s="9" t="s">
        <v>382</v>
      </c>
      <c r="E198" s="9" t="s">
        <v>432</v>
      </c>
      <c r="F198" s="13" t="s">
        <v>2752</v>
      </c>
      <c r="G198" s="13">
        <v>0</v>
      </c>
      <c r="H198" s="13">
        <v>0</v>
      </c>
      <c r="I198" s="13">
        <v>0</v>
      </c>
      <c r="J198" s="90" t="s">
        <v>2832</v>
      </c>
      <c r="K198" s="146" t="s">
        <v>2833</v>
      </c>
    </row>
    <row r="199" spans="1:15" ht="20.100000000000001" customHeight="1">
      <c r="A199" s="104">
        <v>194</v>
      </c>
      <c r="B199" s="13">
        <v>4562</v>
      </c>
      <c r="C199" s="9" t="s">
        <v>2834</v>
      </c>
      <c r="D199" s="9" t="s">
        <v>382</v>
      </c>
      <c r="E199" s="90" t="s">
        <v>2472</v>
      </c>
      <c r="F199" s="89" t="s">
        <v>2752</v>
      </c>
      <c r="G199" s="146">
        <v>0</v>
      </c>
      <c r="H199" s="146">
        <v>0</v>
      </c>
      <c r="I199" s="146">
        <v>0</v>
      </c>
      <c r="J199" s="90" t="s">
        <v>2832</v>
      </c>
      <c r="K199" s="146" t="s">
        <v>2833</v>
      </c>
      <c r="O199">
        <f>SUM(O176:O198)</f>
        <v>0</v>
      </c>
    </row>
    <row r="200" spans="1:15" ht="20.100000000000001" customHeight="1">
      <c r="A200" s="118">
        <v>195</v>
      </c>
      <c r="B200" s="13">
        <v>4674</v>
      </c>
      <c r="C200" s="9" t="s">
        <v>2835</v>
      </c>
      <c r="D200" s="9" t="s">
        <v>2836</v>
      </c>
      <c r="E200" s="90" t="s">
        <v>2502</v>
      </c>
      <c r="F200" s="89" t="s">
        <v>2752</v>
      </c>
      <c r="G200" s="146">
        <v>0</v>
      </c>
      <c r="H200" s="146">
        <v>0</v>
      </c>
      <c r="I200" s="146">
        <v>0</v>
      </c>
      <c r="J200" s="155" t="s">
        <v>2837</v>
      </c>
      <c r="K200" s="146" t="s">
        <v>2833</v>
      </c>
    </row>
    <row r="201" spans="1:15" ht="20.100000000000001" customHeight="1">
      <c r="A201" s="104">
        <v>196</v>
      </c>
      <c r="B201" s="13">
        <v>4808</v>
      </c>
      <c r="C201" s="9" t="s">
        <v>1744</v>
      </c>
      <c r="D201" s="9" t="s">
        <v>2838</v>
      </c>
      <c r="E201" s="90" t="s">
        <v>2839</v>
      </c>
      <c r="F201" s="89" t="s">
        <v>2752</v>
      </c>
      <c r="G201" s="146">
        <v>0</v>
      </c>
      <c r="H201" s="146">
        <v>0</v>
      </c>
      <c r="I201" s="146">
        <v>0</v>
      </c>
      <c r="J201" s="105" t="s">
        <v>2840</v>
      </c>
      <c r="K201" s="146" t="s">
        <v>2833</v>
      </c>
    </row>
    <row r="202" spans="1:15" ht="20.100000000000001" customHeight="1">
      <c r="A202" s="118">
        <v>197</v>
      </c>
      <c r="B202" s="13">
        <v>4899</v>
      </c>
      <c r="C202" s="9" t="s">
        <v>2841</v>
      </c>
      <c r="D202" s="9" t="s">
        <v>2842</v>
      </c>
      <c r="E202" s="90" t="s">
        <v>2502</v>
      </c>
      <c r="F202" s="89">
        <v>1500</v>
      </c>
      <c r="G202" s="146">
        <v>1500</v>
      </c>
      <c r="H202" s="146">
        <v>0</v>
      </c>
      <c r="I202" s="146">
        <v>1500</v>
      </c>
      <c r="J202" s="105"/>
      <c r="K202" s="146"/>
    </row>
    <row r="203" spans="1:15" ht="20.100000000000001" customHeight="1">
      <c r="A203" s="104">
        <v>198</v>
      </c>
      <c r="B203" s="13">
        <v>4748</v>
      </c>
      <c r="C203" s="9" t="s">
        <v>2843</v>
      </c>
      <c r="D203" s="9" t="s">
        <v>2844</v>
      </c>
      <c r="E203" s="90"/>
      <c r="F203" s="89"/>
      <c r="G203" s="146"/>
      <c r="H203" s="146"/>
      <c r="I203" s="146"/>
      <c r="J203" s="156" t="s">
        <v>2845</v>
      </c>
      <c r="K203" s="146" t="s">
        <v>2833</v>
      </c>
    </row>
    <row r="204" spans="1:15" ht="20.100000000000001" customHeight="1">
      <c r="A204" s="118">
        <v>199</v>
      </c>
      <c r="B204" s="93">
        <v>4479</v>
      </c>
      <c r="C204" s="9" t="s">
        <v>2846</v>
      </c>
      <c r="D204" s="9" t="s">
        <v>2847</v>
      </c>
      <c r="E204" s="90"/>
      <c r="F204" s="89"/>
      <c r="G204" s="146"/>
      <c r="H204" s="146"/>
      <c r="I204" s="146"/>
      <c r="J204" s="105" t="s">
        <v>2848</v>
      </c>
      <c r="K204" s="146" t="s">
        <v>2833</v>
      </c>
    </row>
    <row r="205" spans="1:15" ht="20.100000000000001" customHeight="1">
      <c r="A205" s="104">
        <v>200</v>
      </c>
      <c r="B205" s="142">
        <v>725</v>
      </c>
      <c r="C205" s="9" t="s">
        <v>2849</v>
      </c>
      <c r="D205" s="9" t="s">
        <v>2850</v>
      </c>
      <c r="E205" s="90" t="s">
        <v>2251</v>
      </c>
      <c r="F205" s="89"/>
      <c r="G205" s="146"/>
      <c r="H205" s="146"/>
      <c r="I205" s="146"/>
      <c r="J205" s="154" t="s">
        <v>2851</v>
      </c>
      <c r="K205" s="146" t="s">
        <v>2833</v>
      </c>
    </row>
    <row r="206" spans="1:15" ht="20.100000000000001" customHeight="1">
      <c r="A206" s="118">
        <v>201</v>
      </c>
      <c r="B206" s="146">
        <v>4850</v>
      </c>
      <c r="C206" s="90" t="s">
        <v>2852</v>
      </c>
      <c r="D206" s="90" t="s">
        <v>2853</v>
      </c>
      <c r="E206" s="90" t="s">
        <v>2854</v>
      </c>
      <c r="F206" s="89">
        <v>1000</v>
      </c>
      <c r="G206" s="146">
        <v>2000</v>
      </c>
      <c r="H206" s="146">
        <v>0</v>
      </c>
      <c r="I206" s="146">
        <v>2000</v>
      </c>
      <c r="J206" s="90"/>
      <c r="K206" s="146" t="s">
        <v>2833</v>
      </c>
    </row>
    <row r="207" spans="1:15" ht="20.100000000000001" customHeight="1">
      <c r="A207" s="104">
        <v>202</v>
      </c>
      <c r="B207" s="146">
        <v>4746</v>
      </c>
      <c r="C207" s="90" t="s">
        <v>2855</v>
      </c>
      <c r="D207" s="90" t="s">
        <v>2856</v>
      </c>
      <c r="E207" s="90" t="s">
        <v>2472</v>
      </c>
      <c r="F207" s="89"/>
      <c r="G207" s="146"/>
      <c r="H207" s="146"/>
      <c r="I207" s="146"/>
      <c r="J207" s="90"/>
      <c r="K207" s="146" t="s">
        <v>2833</v>
      </c>
    </row>
    <row r="208" spans="1:15" ht="20.100000000000001" customHeight="1">
      <c r="A208" s="118">
        <v>203</v>
      </c>
      <c r="B208" s="146">
        <v>4747</v>
      </c>
      <c r="C208" s="90" t="s">
        <v>2857</v>
      </c>
      <c r="D208" s="90" t="s">
        <v>369</v>
      </c>
      <c r="E208" s="90" t="s">
        <v>2490</v>
      </c>
      <c r="F208" s="89">
        <v>1800</v>
      </c>
      <c r="G208" s="146">
        <v>0</v>
      </c>
      <c r="H208" s="146">
        <v>0</v>
      </c>
      <c r="I208" s="146">
        <v>0</v>
      </c>
      <c r="J208" s="90"/>
      <c r="K208" s="146" t="s">
        <v>2833</v>
      </c>
    </row>
    <row r="209" spans="1:11" ht="20.100000000000001" customHeight="1">
      <c r="A209" s="104">
        <v>204</v>
      </c>
      <c r="B209" s="146">
        <v>4574</v>
      </c>
      <c r="C209" s="90" t="s">
        <v>2858</v>
      </c>
      <c r="D209" s="90" t="s">
        <v>662</v>
      </c>
      <c r="E209" s="90" t="s">
        <v>2490</v>
      </c>
      <c r="F209" s="89">
        <v>1800</v>
      </c>
      <c r="G209" s="146">
        <v>1800</v>
      </c>
      <c r="H209" s="146">
        <v>0</v>
      </c>
      <c r="I209" s="146">
        <v>1800</v>
      </c>
      <c r="J209" s="90"/>
      <c r="K209" s="146" t="s">
        <v>2833</v>
      </c>
    </row>
    <row r="210" spans="1:11" ht="20.100000000000001" customHeight="1">
      <c r="A210" s="118">
        <v>205</v>
      </c>
      <c r="B210" s="146">
        <v>4474</v>
      </c>
      <c r="C210" s="90" t="s">
        <v>2859</v>
      </c>
      <c r="D210" s="90" t="s">
        <v>2847</v>
      </c>
      <c r="E210" s="90" t="s">
        <v>1203</v>
      </c>
      <c r="F210" s="89">
        <v>1800</v>
      </c>
      <c r="G210" s="146">
        <v>1800</v>
      </c>
      <c r="H210" s="146">
        <v>0</v>
      </c>
      <c r="I210" s="146">
        <v>1800</v>
      </c>
      <c r="J210" s="90"/>
      <c r="K210" s="146" t="s">
        <v>2833</v>
      </c>
    </row>
    <row r="211" spans="1:11" ht="20.100000000000001" customHeight="1">
      <c r="A211" s="104">
        <v>206</v>
      </c>
      <c r="B211" s="146">
        <v>4573</v>
      </c>
      <c r="C211" s="90" t="s">
        <v>2860</v>
      </c>
      <c r="D211" s="90" t="s">
        <v>662</v>
      </c>
      <c r="E211" s="90" t="s">
        <v>2756</v>
      </c>
      <c r="F211" s="89">
        <v>1800</v>
      </c>
      <c r="G211" s="146">
        <v>1800</v>
      </c>
      <c r="H211" s="146">
        <v>0</v>
      </c>
      <c r="I211" s="146">
        <v>1800</v>
      </c>
      <c r="J211" s="90"/>
      <c r="K211" s="146" t="s">
        <v>2833</v>
      </c>
    </row>
    <row r="212" spans="1:11" ht="20.100000000000001" customHeight="1">
      <c r="A212" s="118">
        <v>207</v>
      </c>
      <c r="B212" s="146">
        <v>4901</v>
      </c>
      <c r="C212" s="90" t="s">
        <v>2861</v>
      </c>
      <c r="D212" s="90" t="s">
        <v>2842</v>
      </c>
      <c r="E212" s="90" t="s">
        <v>1203</v>
      </c>
      <c r="F212" s="89">
        <v>1800</v>
      </c>
      <c r="G212" s="146">
        <v>0</v>
      </c>
      <c r="H212" s="146">
        <v>0</v>
      </c>
      <c r="I212" s="146">
        <v>0</v>
      </c>
      <c r="J212" s="90"/>
      <c r="K212" s="146"/>
    </row>
    <row r="213" spans="1:11" ht="20.100000000000001" customHeight="1">
      <c r="A213" s="104">
        <v>208</v>
      </c>
      <c r="B213" s="146">
        <v>4880</v>
      </c>
      <c r="C213" s="90" t="s">
        <v>2862</v>
      </c>
      <c r="D213" s="90" t="s">
        <v>2653</v>
      </c>
      <c r="E213" s="90" t="s">
        <v>2756</v>
      </c>
      <c r="F213" s="89">
        <v>1800</v>
      </c>
      <c r="G213" s="146">
        <v>1800</v>
      </c>
      <c r="H213" s="146">
        <v>0</v>
      </c>
      <c r="I213" s="146">
        <v>1800</v>
      </c>
      <c r="J213" s="90"/>
      <c r="K213" s="146" t="s">
        <v>2833</v>
      </c>
    </row>
    <row r="214" spans="1:11" ht="20.100000000000001" customHeight="1">
      <c r="A214" s="118">
        <v>209</v>
      </c>
      <c r="B214" s="146">
        <v>4688</v>
      </c>
      <c r="C214" s="90" t="s">
        <v>2863</v>
      </c>
      <c r="D214" s="90" t="s">
        <v>2864</v>
      </c>
      <c r="E214" s="90" t="s">
        <v>2814</v>
      </c>
      <c r="F214" s="89"/>
      <c r="G214" s="146"/>
      <c r="H214" s="146"/>
      <c r="I214" s="146"/>
      <c r="J214" s="90"/>
      <c r="K214" s="146" t="s">
        <v>2833</v>
      </c>
    </row>
    <row r="215" spans="1:11" ht="20.100000000000001" customHeight="1">
      <c r="A215" s="104">
        <v>210</v>
      </c>
      <c r="B215" s="146">
        <v>4907</v>
      </c>
      <c r="C215" s="90" t="s">
        <v>2865</v>
      </c>
      <c r="D215" s="90" t="s">
        <v>2866</v>
      </c>
      <c r="E215" s="90" t="s">
        <v>2814</v>
      </c>
      <c r="F215" s="89"/>
      <c r="G215" s="146"/>
      <c r="H215" s="146"/>
      <c r="I215" s="146"/>
      <c r="J215" s="90"/>
      <c r="K215" s="146" t="s">
        <v>2833</v>
      </c>
    </row>
    <row r="216" spans="1:11" ht="20.100000000000001" customHeight="1">
      <c r="A216" s="118">
        <v>211</v>
      </c>
      <c r="B216" s="93">
        <v>4478</v>
      </c>
      <c r="C216" s="9" t="s">
        <v>2867</v>
      </c>
      <c r="D216" s="9" t="s">
        <v>172</v>
      </c>
      <c r="E216" s="90" t="s">
        <v>2772</v>
      </c>
      <c r="F216" s="89"/>
      <c r="G216" s="146"/>
      <c r="H216" s="146"/>
      <c r="I216" s="146"/>
      <c r="J216" s="105" t="s">
        <v>2868</v>
      </c>
      <c r="K216" s="146" t="s">
        <v>2833</v>
      </c>
    </row>
    <row r="217" spans="1:11" ht="20.100000000000001" customHeight="1">
      <c r="A217" s="104">
        <v>212</v>
      </c>
      <c r="B217" s="146">
        <v>548</v>
      </c>
      <c r="C217" s="90" t="s">
        <v>2869</v>
      </c>
      <c r="D217" s="90" t="s">
        <v>774</v>
      </c>
      <c r="E217" s="90" t="s">
        <v>2870</v>
      </c>
      <c r="F217" s="89"/>
      <c r="G217" s="146"/>
      <c r="H217" s="146"/>
      <c r="I217" s="146"/>
      <c r="J217" s="90"/>
      <c r="K217" s="146" t="s">
        <v>2833</v>
      </c>
    </row>
    <row r="218" spans="1:11" ht="20.100000000000001" customHeight="1">
      <c r="A218" s="118">
        <v>213</v>
      </c>
      <c r="B218" s="146">
        <v>549</v>
      </c>
      <c r="C218" s="90" t="s">
        <v>2871</v>
      </c>
      <c r="D218" s="90" t="s">
        <v>774</v>
      </c>
      <c r="E218" s="90" t="s">
        <v>2870</v>
      </c>
      <c r="F218" s="89"/>
      <c r="G218" s="146"/>
      <c r="H218" s="146"/>
      <c r="I218" s="146"/>
      <c r="J218" s="90"/>
      <c r="K218" s="146" t="s">
        <v>2833</v>
      </c>
    </row>
    <row r="219" spans="1:11" ht="20.100000000000001" customHeight="1">
      <c r="A219" s="104">
        <v>214</v>
      </c>
      <c r="B219" s="13">
        <v>563</v>
      </c>
      <c r="C219" s="9" t="s">
        <v>2872</v>
      </c>
      <c r="D219" s="9" t="s">
        <v>443</v>
      </c>
      <c r="E219" s="90" t="s">
        <v>2870</v>
      </c>
      <c r="F219" s="89"/>
      <c r="G219" s="146"/>
      <c r="H219" s="146"/>
      <c r="I219" s="146"/>
      <c r="J219" s="105" t="s">
        <v>2873</v>
      </c>
      <c r="K219" s="146" t="s">
        <v>2874</v>
      </c>
    </row>
    <row r="220" spans="1:11" ht="20.100000000000001" customHeight="1">
      <c r="A220" s="118">
        <v>215</v>
      </c>
      <c r="B220" s="13">
        <v>4961</v>
      </c>
      <c r="C220" s="9" t="s">
        <v>2875</v>
      </c>
      <c r="D220" s="9" t="s">
        <v>2876</v>
      </c>
      <c r="E220" s="90" t="s">
        <v>2756</v>
      </c>
      <c r="F220" s="89"/>
      <c r="G220" s="146"/>
      <c r="H220" s="146"/>
      <c r="I220" s="146"/>
      <c r="J220" s="155" t="s">
        <v>2877</v>
      </c>
      <c r="K220" s="146" t="s">
        <v>2878</v>
      </c>
    </row>
    <row r="221" spans="1:11" ht="20.100000000000001" customHeight="1">
      <c r="A221" s="104">
        <v>216</v>
      </c>
      <c r="B221" s="93">
        <v>544</v>
      </c>
      <c r="C221" s="9" t="s">
        <v>2879</v>
      </c>
      <c r="D221" s="9" t="s">
        <v>2880</v>
      </c>
      <c r="E221" s="9" t="s">
        <v>2881</v>
      </c>
      <c r="F221" s="13"/>
      <c r="G221" s="13"/>
      <c r="H221" s="13"/>
      <c r="I221" s="13"/>
      <c r="J221" s="156" t="s">
        <v>2882</v>
      </c>
      <c r="K221" s="146" t="s">
        <v>2883</v>
      </c>
    </row>
    <row r="222" spans="1:11" ht="20.100000000000001" customHeight="1">
      <c r="A222" s="118">
        <v>217</v>
      </c>
      <c r="B222" s="13">
        <v>1934</v>
      </c>
      <c r="C222" s="9" t="s">
        <v>2884</v>
      </c>
      <c r="D222" s="9" t="s">
        <v>2880</v>
      </c>
      <c r="E222" s="169" t="s">
        <v>2885</v>
      </c>
      <c r="F222" s="8">
        <v>1800</v>
      </c>
      <c r="G222" s="30">
        <v>0</v>
      </c>
      <c r="H222" s="30">
        <v>0</v>
      </c>
      <c r="I222" s="60">
        <v>0</v>
      </c>
      <c r="J222" s="156" t="s">
        <v>2882</v>
      </c>
      <c r="K222" s="146" t="s">
        <v>2883</v>
      </c>
    </row>
    <row r="223" spans="1:11" ht="20.100000000000001" customHeight="1">
      <c r="A223" s="104">
        <v>218</v>
      </c>
      <c r="B223" s="142">
        <v>744</v>
      </c>
      <c r="C223" s="9" t="s">
        <v>2886</v>
      </c>
      <c r="D223" s="9" t="s">
        <v>2887</v>
      </c>
      <c r="E223" s="118" t="s">
        <v>2888</v>
      </c>
      <c r="F223" s="170"/>
      <c r="G223" s="171"/>
      <c r="H223" s="171"/>
      <c r="I223" s="122"/>
      <c r="J223" s="155" t="s">
        <v>2889</v>
      </c>
      <c r="K223" s="128" t="s">
        <v>2890</v>
      </c>
    </row>
    <row r="224" spans="1:11" ht="20.100000000000001" customHeight="1">
      <c r="A224" s="118">
        <v>219</v>
      </c>
      <c r="B224" s="142">
        <v>748</v>
      </c>
      <c r="C224" s="9" t="s">
        <v>2891</v>
      </c>
      <c r="D224" s="9" t="s">
        <v>2892</v>
      </c>
      <c r="E224" s="104" t="s">
        <v>2888</v>
      </c>
      <c r="F224" s="12"/>
      <c r="G224" s="122"/>
      <c r="H224" s="122"/>
      <c r="I224" s="122"/>
      <c r="J224" s="155" t="s">
        <v>2893</v>
      </c>
      <c r="K224" s="128" t="s">
        <v>2890</v>
      </c>
    </row>
    <row r="225" spans="1:15" ht="20.100000000000001" customHeight="1">
      <c r="A225" s="104">
        <v>220</v>
      </c>
      <c r="B225" s="13">
        <v>4668</v>
      </c>
      <c r="C225" s="9" t="s">
        <v>2894</v>
      </c>
      <c r="D225" s="9" t="s">
        <v>2887</v>
      </c>
      <c r="E225" s="104" t="s">
        <v>2814</v>
      </c>
      <c r="F225" s="12"/>
      <c r="G225" s="122"/>
      <c r="H225" s="122"/>
      <c r="I225" s="122"/>
      <c r="J225" s="105" t="s">
        <v>2889</v>
      </c>
      <c r="K225" s="128" t="s">
        <v>2890</v>
      </c>
    </row>
    <row r="226" spans="1:15" ht="20.100000000000001" customHeight="1">
      <c r="A226" s="118">
        <v>221</v>
      </c>
      <c r="B226" s="13">
        <v>4667</v>
      </c>
      <c r="C226" s="9" t="s">
        <v>2895</v>
      </c>
      <c r="D226" s="9" t="s">
        <v>2887</v>
      </c>
      <c r="E226" s="104" t="s">
        <v>2818</v>
      </c>
      <c r="F226" s="12" t="s">
        <v>2752</v>
      </c>
      <c r="G226" s="122">
        <v>0</v>
      </c>
      <c r="H226" s="122">
        <v>0</v>
      </c>
      <c r="I226" s="122">
        <v>0</v>
      </c>
      <c r="J226" s="105" t="s">
        <v>2896</v>
      </c>
      <c r="K226" s="128" t="s">
        <v>2890</v>
      </c>
    </row>
    <row r="227" spans="1:15" ht="20.100000000000001" customHeight="1">
      <c r="A227" s="104">
        <v>222</v>
      </c>
      <c r="B227" s="93">
        <v>2048</v>
      </c>
      <c r="C227" s="9" t="s">
        <v>2897</v>
      </c>
      <c r="D227" s="9" t="s">
        <v>2898</v>
      </c>
      <c r="E227" s="104" t="s">
        <v>2899</v>
      </c>
      <c r="F227" s="12"/>
      <c r="G227" s="122"/>
      <c r="H227" s="122"/>
      <c r="I227" s="122"/>
      <c r="J227" s="156" t="s">
        <v>2900</v>
      </c>
      <c r="K227" s="128" t="s">
        <v>2890</v>
      </c>
    </row>
    <row r="228" spans="1:15" ht="20.100000000000001" customHeight="1">
      <c r="A228" s="118">
        <v>223</v>
      </c>
      <c r="B228" s="13">
        <v>5012</v>
      </c>
      <c r="C228" s="9" t="s">
        <v>2901</v>
      </c>
      <c r="D228" s="9" t="s">
        <v>2902</v>
      </c>
      <c r="E228" s="104" t="s">
        <v>2641</v>
      </c>
      <c r="F228" s="12"/>
      <c r="G228" s="122"/>
      <c r="H228" s="122"/>
      <c r="I228" s="122"/>
      <c r="J228" s="104"/>
      <c r="K228" s="128" t="s">
        <v>2890</v>
      </c>
    </row>
    <row r="229" spans="1:15" ht="20.25" customHeight="1">
      <c r="A229" s="104">
        <v>224</v>
      </c>
      <c r="B229" s="60">
        <v>4867</v>
      </c>
      <c r="C229" s="172" t="s">
        <v>2903</v>
      </c>
      <c r="D229" s="63" t="s">
        <v>2904</v>
      </c>
      <c r="E229" s="173" t="s">
        <v>2905</v>
      </c>
      <c r="F229" s="12">
        <v>1800</v>
      </c>
      <c r="G229" s="158">
        <v>3600</v>
      </c>
      <c r="H229" s="158">
        <v>0</v>
      </c>
      <c r="I229" s="158">
        <v>3600</v>
      </c>
      <c r="J229" s="174" t="s">
        <v>2906</v>
      </c>
      <c r="K229" s="158" t="s">
        <v>2907</v>
      </c>
      <c r="O229">
        <f>SUM(O203:O227)</f>
        <v>0</v>
      </c>
    </row>
    <row r="230" spans="1:15" ht="20.100000000000001" customHeight="1">
      <c r="A230" s="118">
        <v>225</v>
      </c>
      <c r="B230" s="13">
        <v>4952</v>
      </c>
      <c r="C230" s="9" t="s">
        <v>2908</v>
      </c>
      <c r="D230" s="82" t="s">
        <v>2909</v>
      </c>
      <c r="E230" s="104" t="s">
        <v>2457</v>
      </c>
      <c r="F230" s="12">
        <v>1800</v>
      </c>
      <c r="G230" s="122">
        <v>0</v>
      </c>
      <c r="H230" s="122">
        <v>0</v>
      </c>
      <c r="I230" s="122">
        <v>0</v>
      </c>
      <c r="J230" s="155" t="s">
        <v>2910</v>
      </c>
      <c r="K230" s="122" t="s">
        <v>2911</v>
      </c>
    </row>
    <row r="231" spans="1:15" ht="20.100000000000001" customHeight="1">
      <c r="A231" s="104">
        <v>226</v>
      </c>
      <c r="B231" s="128">
        <v>4955</v>
      </c>
      <c r="C231" s="31" t="s">
        <v>2912</v>
      </c>
      <c r="D231" s="9" t="s">
        <v>2909</v>
      </c>
      <c r="E231" s="104" t="s">
        <v>2905</v>
      </c>
      <c r="F231" s="12" t="s">
        <v>2752</v>
      </c>
      <c r="G231" s="122">
        <v>0</v>
      </c>
      <c r="H231" s="122">
        <v>0</v>
      </c>
      <c r="I231" s="122">
        <v>0</v>
      </c>
      <c r="J231" s="155" t="s">
        <v>2913</v>
      </c>
      <c r="K231" s="122" t="s">
        <v>2911</v>
      </c>
    </row>
    <row r="232" spans="1:15" ht="20.100000000000001" customHeight="1">
      <c r="A232" s="118">
        <v>227</v>
      </c>
      <c r="B232" s="13">
        <v>4951</v>
      </c>
      <c r="C232" s="9" t="s">
        <v>737</v>
      </c>
      <c r="D232" s="175" t="s">
        <v>2909</v>
      </c>
      <c r="E232" s="104" t="s">
        <v>2490</v>
      </c>
      <c r="F232" s="12">
        <v>1800</v>
      </c>
      <c r="G232" s="122">
        <v>1800</v>
      </c>
      <c r="H232" s="122">
        <v>0</v>
      </c>
      <c r="I232" s="122">
        <v>1800</v>
      </c>
      <c r="J232" s="155" t="s">
        <v>2910</v>
      </c>
      <c r="K232" s="122" t="s">
        <v>2911</v>
      </c>
    </row>
    <row r="233" spans="1:15" ht="20.100000000000001" customHeight="1">
      <c r="A233" s="104">
        <v>228</v>
      </c>
      <c r="B233" s="128">
        <v>4953</v>
      </c>
      <c r="C233" s="31" t="s">
        <v>2864</v>
      </c>
      <c r="D233" s="9" t="s">
        <v>2909</v>
      </c>
      <c r="E233" s="104" t="s">
        <v>2905</v>
      </c>
      <c r="F233" s="12">
        <v>1800</v>
      </c>
      <c r="G233" s="122">
        <v>1800</v>
      </c>
      <c r="H233" s="122">
        <v>3600</v>
      </c>
      <c r="I233" s="122">
        <v>0</v>
      </c>
      <c r="J233" s="155" t="s">
        <v>2913</v>
      </c>
      <c r="K233" s="122" t="s">
        <v>2911</v>
      </c>
    </row>
    <row r="234" spans="1:15" ht="20.100000000000001" customHeight="1">
      <c r="A234" s="118">
        <v>229</v>
      </c>
      <c r="B234" s="13">
        <v>4555</v>
      </c>
      <c r="C234" s="87" t="s">
        <v>508</v>
      </c>
      <c r="D234" s="87" t="s">
        <v>2036</v>
      </c>
      <c r="E234" s="104" t="s">
        <v>1127</v>
      </c>
      <c r="F234" s="12">
        <v>1800</v>
      </c>
      <c r="G234" s="122">
        <v>1800</v>
      </c>
      <c r="H234" s="122">
        <v>0</v>
      </c>
      <c r="I234" s="122">
        <v>1800</v>
      </c>
      <c r="J234" s="176" t="s">
        <v>2914</v>
      </c>
      <c r="K234" s="122" t="s">
        <v>2911</v>
      </c>
    </row>
    <row r="235" spans="1:15" ht="20.100000000000001" customHeight="1">
      <c r="A235" s="104">
        <v>230</v>
      </c>
      <c r="B235" s="13">
        <v>4927</v>
      </c>
      <c r="C235" s="9" t="s">
        <v>2559</v>
      </c>
      <c r="D235" s="9" t="s">
        <v>2915</v>
      </c>
      <c r="E235" s="104" t="s">
        <v>878</v>
      </c>
      <c r="F235" s="12">
        <v>1800</v>
      </c>
      <c r="G235" s="122">
        <v>0</v>
      </c>
      <c r="H235" s="122">
        <v>0</v>
      </c>
      <c r="I235" s="122">
        <v>0</v>
      </c>
      <c r="J235" s="64" t="s">
        <v>1284</v>
      </c>
      <c r="K235" s="122" t="s">
        <v>2916</v>
      </c>
    </row>
    <row r="236" spans="1:15" ht="20.100000000000001" customHeight="1">
      <c r="A236" s="118">
        <v>231</v>
      </c>
      <c r="B236" s="13">
        <v>3038</v>
      </c>
      <c r="C236" s="9" t="s">
        <v>2917</v>
      </c>
      <c r="D236" s="9" t="s">
        <v>2918</v>
      </c>
      <c r="E236" s="104" t="s">
        <v>2919</v>
      </c>
      <c r="F236" s="12">
        <v>1800</v>
      </c>
      <c r="G236" s="122">
        <v>0</v>
      </c>
      <c r="H236" s="122">
        <v>0</v>
      </c>
      <c r="I236" s="122">
        <v>0</v>
      </c>
      <c r="J236" s="176" t="s">
        <v>2920</v>
      </c>
      <c r="K236" s="122" t="s">
        <v>2921</v>
      </c>
    </row>
    <row r="237" spans="1:15" ht="20.100000000000001" customHeight="1">
      <c r="A237" s="104">
        <v>232</v>
      </c>
      <c r="B237" s="13">
        <v>4221</v>
      </c>
      <c r="C237" s="9" t="s">
        <v>2922</v>
      </c>
      <c r="D237" s="9" t="s">
        <v>2923</v>
      </c>
      <c r="E237" s="104" t="s">
        <v>2472</v>
      </c>
      <c r="F237" s="12">
        <v>1800</v>
      </c>
      <c r="G237" s="122">
        <v>1800</v>
      </c>
      <c r="H237" s="122">
        <v>0</v>
      </c>
      <c r="I237" s="122">
        <v>1800</v>
      </c>
      <c r="J237" s="176"/>
      <c r="K237" s="122"/>
    </row>
    <row r="238" spans="1:15" ht="20.100000000000001" customHeight="1">
      <c r="A238" s="118">
        <v>233</v>
      </c>
      <c r="B238" s="13">
        <v>4242</v>
      </c>
      <c r="C238" s="9" t="s">
        <v>2291</v>
      </c>
      <c r="D238" s="9" t="s">
        <v>2924</v>
      </c>
      <c r="E238" s="104" t="s">
        <v>2472</v>
      </c>
      <c r="F238" s="12">
        <v>1800</v>
      </c>
      <c r="G238" s="122">
        <v>0</v>
      </c>
      <c r="H238" s="122">
        <v>0</v>
      </c>
      <c r="I238" s="122">
        <v>0</v>
      </c>
      <c r="J238" s="176" t="s">
        <v>2925</v>
      </c>
      <c r="K238" s="122" t="s">
        <v>2921</v>
      </c>
    </row>
    <row r="239" spans="1:15" ht="20.100000000000001" customHeight="1">
      <c r="A239" s="104">
        <v>234</v>
      </c>
      <c r="B239" s="13">
        <v>4807</v>
      </c>
      <c r="C239" s="64" t="s">
        <v>2926</v>
      </c>
      <c r="D239" s="9" t="s">
        <v>2918</v>
      </c>
      <c r="E239" s="104" t="s">
        <v>2927</v>
      </c>
      <c r="F239" s="12">
        <v>1800</v>
      </c>
      <c r="G239" s="122">
        <v>0</v>
      </c>
      <c r="H239" s="122">
        <v>0</v>
      </c>
      <c r="I239" s="122">
        <v>0</v>
      </c>
      <c r="J239" s="64" t="s">
        <v>2928</v>
      </c>
      <c r="K239" s="122" t="s">
        <v>2921</v>
      </c>
    </row>
    <row r="240" spans="1:15" ht="20.100000000000001" customHeight="1">
      <c r="A240" s="118">
        <v>235</v>
      </c>
      <c r="B240" s="13">
        <v>4765</v>
      </c>
      <c r="C240" s="9" t="s">
        <v>2929</v>
      </c>
      <c r="D240" s="9" t="s">
        <v>2930</v>
      </c>
      <c r="E240" s="104" t="s">
        <v>2472</v>
      </c>
      <c r="F240" s="12">
        <v>1550</v>
      </c>
      <c r="G240" s="122">
        <v>1550</v>
      </c>
      <c r="H240" s="122">
        <v>0</v>
      </c>
      <c r="I240" s="122">
        <v>1550</v>
      </c>
      <c r="J240" s="177" t="s">
        <v>2931</v>
      </c>
      <c r="K240" s="122" t="s">
        <v>2932</v>
      </c>
    </row>
    <row r="241" spans="1:11" ht="20.100000000000001" customHeight="1">
      <c r="A241" s="104">
        <v>236</v>
      </c>
      <c r="B241" s="13">
        <v>4848</v>
      </c>
      <c r="C241" s="9" t="s">
        <v>2933</v>
      </c>
      <c r="D241" s="9" t="s">
        <v>2853</v>
      </c>
      <c r="E241" s="104" t="s">
        <v>2472</v>
      </c>
      <c r="F241" s="12">
        <v>1800</v>
      </c>
      <c r="G241" s="122">
        <v>1800</v>
      </c>
      <c r="H241" s="122">
        <v>0</v>
      </c>
      <c r="I241" s="122">
        <v>1800</v>
      </c>
      <c r="J241" s="177" t="s">
        <v>2934</v>
      </c>
      <c r="K241" s="122" t="s">
        <v>2932</v>
      </c>
    </row>
    <row r="242" spans="1:11" ht="20.100000000000001" customHeight="1">
      <c r="A242" s="118">
        <v>237</v>
      </c>
      <c r="B242" s="63" t="s">
        <v>2935</v>
      </c>
      <c r="C242" s="9" t="s">
        <v>2770</v>
      </c>
      <c r="D242" s="9" t="s">
        <v>2936</v>
      </c>
      <c r="E242" s="104" t="s">
        <v>2711</v>
      </c>
      <c r="F242" s="12">
        <v>0</v>
      </c>
      <c r="G242" s="122">
        <v>0</v>
      </c>
      <c r="H242" s="122">
        <v>0</v>
      </c>
      <c r="I242" s="122">
        <v>0</v>
      </c>
      <c r="J242" s="162" t="s">
        <v>2937</v>
      </c>
      <c r="K242" s="122" t="s">
        <v>2938</v>
      </c>
    </row>
    <row r="243" spans="1:11" ht="20.100000000000001" customHeight="1">
      <c r="A243" s="104">
        <v>238</v>
      </c>
      <c r="B243" s="93">
        <v>506</v>
      </c>
      <c r="C243" s="9" t="s">
        <v>2939</v>
      </c>
      <c r="D243" s="9" t="s">
        <v>178</v>
      </c>
      <c r="E243" s="104" t="s">
        <v>2711</v>
      </c>
      <c r="F243" s="12">
        <v>1650</v>
      </c>
      <c r="G243" s="122">
        <v>3300</v>
      </c>
      <c r="H243" s="122">
        <v>3500</v>
      </c>
      <c r="I243" s="122">
        <v>6800</v>
      </c>
      <c r="J243" s="154" t="s">
        <v>2940</v>
      </c>
      <c r="K243" s="122" t="s">
        <v>2938</v>
      </c>
    </row>
    <row r="244" spans="1:11" ht="20.100000000000001" customHeight="1">
      <c r="A244" s="118">
        <v>239</v>
      </c>
      <c r="B244" s="142">
        <v>702</v>
      </c>
      <c r="C244" s="9" t="s">
        <v>2941</v>
      </c>
      <c r="D244" s="9" t="s">
        <v>2942</v>
      </c>
      <c r="E244" s="104" t="s">
        <v>2251</v>
      </c>
      <c r="F244" s="12">
        <v>2100</v>
      </c>
      <c r="G244" s="122">
        <v>2100</v>
      </c>
      <c r="H244" s="122">
        <v>0</v>
      </c>
      <c r="I244" s="122">
        <v>2100</v>
      </c>
      <c r="J244" s="154" t="s">
        <v>2943</v>
      </c>
      <c r="K244" s="122" t="s">
        <v>2938</v>
      </c>
    </row>
    <row r="245" spans="1:11" ht="20.100000000000001" customHeight="1">
      <c r="A245" s="104">
        <v>240</v>
      </c>
      <c r="B245" s="13">
        <v>4432</v>
      </c>
      <c r="C245" s="9" t="s">
        <v>2944</v>
      </c>
      <c r="D245" s="9" t="s">
        <v>2945</v>
      </c>
      <c r="E245" s="104" t="s">
        <v>2460</v>
      </c>
      <c r="F245" s="12">
        <v>1800</v>
      </c>
      <c r="G245" s="122">
        <v>3600</v>
      </c>
      <c r="H245" s="122">
        <v>0</v>
      </c>
      <c r="I245" s="122">
        <v>3600</v>
      </c>
      <c r="J245" s="177" t="s">
        <v>2946</v>
      </c>
      <c r="K245" s="122" t="s">
        <v>2947</v>
      </c>
    </row>
    <row r="246" spans="1:11" ht="20.100000000000001" customHeight="1">
      <c r="A246" s="118">
        <v>241</v>
      </c>
      <c r="B246" s="13">
        <v>4769</v>
      </c>
      <c r="C246" s="9" t="s">
        <v>1210</v>
      </c>
      <c r="D246" s="9" t="s">
        <v>2930</v>
      </c>
      <c r="E246" s="104" t="s">
        <v>1203</v>
      </c>
      <c r="F246" s="12">
        <v>1800</v>
      </c>
      <c r="G246" s="122">
        <v>3600</v>
      </c>
      <c r="H246" s="122">
        <v>0</v>
      </c>
      <c r="I246" s="122">
        <v>3600</v>
      </c>
      <c r="J246" s="176" t="s">
        <v>2931</v>
      </c>
      <c r="K246" s="122" t="s">
        <v>2947</v>
      </c>
    </row>
    <row r="247" spans="1:11" ht="20.100000000000001" customHeight="1">
      <c r="A247" s="104">
        <v>242</v>
      </c>
      <c r="B247" s="13">
        <v>4771</v>
      </c>
      <c r="C247" s="9" t="s">
        <v>427</v>
      </c>
      <c r="D247" s="9" t="s">
        <v>2930</v>
      </c>
      <c r="E247" s="104" t="s">
        <v>2555</v>
      </c>
      <c r="F247" s="12">
        <v>1800</v>
      </c>
      <c r="G247" s="122">
        <v>3600</v>
      </c>
      <c r="H247" s="122">
        <v>0</v>
      </c>
      <c r="I247" s="122">
        <v>3600</v>
      </c>
      <c r="J247" s="156" t="s">
        <v>2931</v>
      </c>
      <c r="K247" s="122" t="s">
        <v>2947</v>
      </c>
    </row>
    <row r="248" spans="1:11" ht="20.100000000000001" customHeight="1">
      <c r="A248" s="118">
        <v>243</v>
      </c>
      <c r="B248" s="13">
        <v>4811</v>
      </c>
      <c r="C248" s="9" t="s">
        <v>2948</v>
      </c>
      <c r="D248" s="9" t="s">
        <v>2949</v>
      </c>
      <c r="E248" s="104" t="s">
        <v>2555</v>
      </c>
      <c r="F248" s="12">
        <v>2000</v>
      </c>
      <c r="G248" s="122">
        <v>3700</v>
      </c>
      <c r="H248" s="122">
        <v>2000</v>
      </c>
      <c r="I248" s="122">
        <v>5700</v>
      </c>
      <c r="J248" s="156" t="s">
        <v>2950</v>
      </c>
      <c r="K248" s="122" t="s">
        <v>2947</v>
      </c>
    </row>
    <row r="249" spans="1:11" ht="20.100000000000001" customHeight="1">
      <c r="A249" s="104">
        <v>244</v>
      </c>
      <c r="B249" s="93">
        <v>4501</v>
      </c>
      <c r="C249" s="9" t="s">
        <v>2951</v>
      </c>
      <c r="D249" s="9" t="s">
        <v>2952</v>
      </c>
      <c r="E249" s="9" t="s">
        <v>2953</v>
      </c>
      <c r="F249" s="13">
        <v>2100</v>
      </c>
      <c r="G249" s="13">
        <v>4100</v>
      </c>
      <c r="H249" s="13">
        <v>0</v>
      </c>
      <c r="I249" s="13">
        <v>4100</v>
      </c>
      <c r="J249" s="105" t="s">
        <v>2954</v>
      </c>
      <c r="K249" s="122" t="s">
        <v>2947</v>
      </c>
    </row>
    <row r="250" spans="1:11" ht="20.100000000000001" customHeight="1">
      <c r="A250" s="118">
        <v>245</v>
      </c>
      <c r="B250" s="12">
        <v>572</v>
      </c>
      <c r="C250" s="104" t="s">
        <v>2955</v>
      </c>
      <c r="D250" s="104" t="s">
        <v>753</v>
      </c>
      <c r="E250" s="104" t="s">
        <v>2870</v>
      </c>
      <c r="F250" s="12">
        <v>2200</v>
      </c>
      <c r="G250" s="122">
        <v>2200</v>
      </c>
      <c r="H250" s="122">
        <v>0</v>
      </c>
      <c r="I250" s="122">
        <v>2200</v>
      </c>
      <c r="J250" s="154" t="s">
        <v>2956</v>
      </c>
      <c r="K250" s="122" t="s">
        <v>2947</v>
      </c>
    </row>
    <row r="251" spans="1:11" ht="20.100000000000001" customHeight="1">
      <c r="A251" s="104">
        <v>246</v>
      </c>
      <c r="B251" s="122">
        <v>4885</v>
      </c>
      <c r="C251" s="104" t="s">
        <v>496</v>
      </c>
      <c r="D251" s="104" t="s">
        <v>2957</v>
      </c>
      <c r="E251" s="104" t="s">
        <v>2953</v>
      </c>
      <c r="F251" s="12">
        <v>2100</v>
      </c>
      <c r="G251" s="122">
        <v>2100</v>
      </c>
      <c r="H251" s="122">
        <v>0</v>
      </c>
      <c r="I251" s="122">
        <v>2100</v>
      </c>
      <c r="J251" s="162" t="s">
        <v>2937</v>
      </c>
      <c r="K251" s="122" t="s">
        <v>2947</v>
      </c>
    </row>
    <row r="252" spans="1:11" ht="20.100000000000001" customHeight="1">
      <c r="A252" s="118">
        <v>247</v>
      </c>
      <c r="B252" s="13">
        <v>4529</v>
      </c>
      <c r="C252" s="9" t="s">
        <v>2958</v>
      </c>
      <c r="D252" s="9" t="s">
        <v>2959</v>
      </c>
      <c r="E252" s="9" t="s">
        <v>2960</v>
      </c>
      <c r="F252" s="13">
        <v>2000</v>
      </c>
      <c r="G252" s="13">
        <v>3900</v>
      </c>
      <c r="H252" s="13">
        <v>0</v>
      </c>
      <c r="I252" s="13">
        <v>3900</v>
      </c>
      <c r="J252" s="105" t="s">
        <v>2961</v>
      </c>
      <c r="K252" s="122" t="s">
        <v>2947</v>
      </c>
    </row>
    <row r="253" spans="1:11" ht="20.100000000000001" customHeight="1">
      <c r="A253" s="104">
        <v>248</v>
      </c>
      <c r="B253" s="13">
        <v>4932</v>
      </c>
      <c r="C253" s="9" t="s">
        <v>2962</v>
      </c>
      <c r="D253" s="9" t="s">
        <v>2963</v>
      </c>
      <c r="E253" s="104" t="s">
        <v>2555</v>
      </c>
      <c r="F253" s="12">
        <v>2000</v>
      </c>
      <c r="G253" s="122">
        <v>0</v>
      </c>
      <c r="H253" s="122">
        <v>2000</v>
      </c>
      <c r="I253" s="122">
        <v>2000</v>
      </c>
      <c r="J253" s="156" t="s">
        <v>2964</v>
      </c>
      <c r="K253" s="122" t="s">
        <v>2947</v>
      </c>
    </row>
    <row r="254" spans="1:11" ht="20.100000000000001" customHeight="1">
      <c r="A254" s="118">
        <v>249</v>
      </c>
      <c r="B254" s="142">
        <v>689</v>
      </c>
      <c r="C254" s="9" t="s">
        <v>2965</v>
      </c>
      <c r="D254" s="9" t="s">
        <v>2966</v>
      </c>
      <c r="E254" s="104" t="s">
        <v>2251</v>
      </c>
      <c r="F254" s="12">
        <v>2200</v>
      </c>
      <c r="G254" s="122">
        <v>2200</v>
      </c>
      <c r="H254" s="122"/>
      <c r="I254" s="122">
        <v>2200</v>
      </c>
      <c r="J254" s="154" t="s">
        <v>2967</v>
      </c>
      <c r="K254" s="122" t="s">
        <v>2947</v>
      </c>
    </row>
    <row r="255" spans="1:11" ht="20.100000000000001" customHeight="1">
      <c r="A255" s="104">
        <v>250</v>
      </c>
      <c r="B255" s="104" t="s">
        <v>2968</v>
      </c>
      <c r="C255" s="104" t="s">
        <v>2969</v>
      </c>
      <c r="D255" s="104" t="s">
        <v>1353</v>
      </c>
      <c r="E255" s="104" t="s">
        <v>2711</v>
      </c>
      <c r="F255" s="12">
        <v>100</v>
      </c>
      <c r="G255" s="122">
        <v>1600</v>
      </c>
      <c r="H255" s="122">
        <v>0</v>
      </c>
      <c r="I255" s="122">
        <v>1600</v>
      </c>
      <c r="J255" s="104" t="s">
        <v>2970</v>
      </c>
      <c r="K255" s="122" t="s">
        <v>2947</v>
      </c>
    </row>
    <row r="256" spans="1:11" ht="20.100000000000001" customHeight="1">
      <c r="A256" s="118">
        <v>251</v>
      </c>
      <c r="B256" s="13">
        <v>4992</v>
      </c>
      <c r="C256" s="9" t="s">
        <v>175</v>
      </c>
      <c r="D256" s="9" t="s">
        <v>2971</v>
      </c>
      <c r="E256" s="104" t="s">
        <v>2555</v>
      </c>
      <c r="F256" s="12">
        <v>2000</v>
      </c>
      <c r="G256" s="122">
        <v>2000</v>
      </c>
      <c r="H256" s="122">
        <v>0</v>
      </c>
      <c r="I256" s="122">
        <v>2000</v>
      </c>
      <c r="J256" s="156" t="s">
        <v>2964</v>
      </c>
      <c r="K256" s="122" t="s">
        <v>2972</v>
      </c>
    </row>
    <row r="257" spans="1:15" ht="20.100000000000001" customHeight="1">
      <c r="A257" s="104">
        <v>252</v>
      </c>
      <c r="B257" s="13">
        <v>4528</v>
      </c>
      <c r="C257" s="9" t="s">
        <v>2973</v>
      </c>
      <c r="D257" s="9" t="s">
        <v>2959</v>
      </c>
      <c r="E257" s="9" t="s">
        <v>1127</v>
      </c>
      <c r="F257" s="12">
        <v>1900</v>
      </c>
      <c r="G257" s="122">
        <v>4400</v>
      </c>
      <c r="H257" s="122">
        <v>2000</v>
      </c>
      <c r="I257" s="122">
        <v>6400</v>
      </c>
      <c r="J257" s="176" t="s">
        <v>2974</v>
      </c>
      <c r="K257" s="122" t="s">
        <v>2947</v>
      </c>
    </row>
    <row r="258" spans="1:15" ht="20.100000000000001" customHeight="1">
      <c r="A258" s="118">
        <v>253</v>
      </c>
      <c r="B258" s="8">
        <v>5013</v>
      </c>
      <c r="C258" s="10" t="s">
        <v>2975</v>
      </c>
      <c r="D258" s="10" t="s">
        <v>2976</v>
      </c>
      <c r="E258" s="10" t="s">
        <v>2953</v>
      </c>
      <c r="F258" s="8">
        <v>2100</v>
      </c>
      <c r="G258" s="8">
        <v>2100</v>
      </c>
      <c r="H258" s="8">
        <v>0</v>
      </c>
      <c r="I258" s="8">
        <v>2100</v>
      </c>
      <c r="J258" s="178" t="s">
        <v>2977</v>
      </c>
      <c r="K258" s="122" t="s">
        <v>2947</v>
      </c>
    </row>
    <row r="259" spans="1:15" ht="20.100000000000001" customHeight="1">
      <c r="A259" s="104">
        <v>254</v>
      </c>
      <c r="B259" s="13">
        <v>5051</v>
      </c>
      <c r="C259" s="9" t="s">
        <v>2978</v>
      </c>
      <c r="D259" s="9" t="s">
        <v>2979</v>
      </c>
      <c r="E259" s="9" t="s">
        <v>2953</v>
      </c>
      <c r="F259" s="13">
        <v>2100</v>
      </c>
      <c r="G259" s="13">
        <v>2100</v>
      </c>
      <c r="H259" s="13">
        <v>0</v>
      </c>
      <c r="I259" s="13">
        <v>2100</v>
      </c>
      <c r="J259" s="162" t="s">
        <v>2980</v>
      </c>
      <c r="K259" s="122" t="s">
        <v>2947</v>
      </c>
      <c r="O259">
        <f>SUM(O232:O257)</f>
        <v>0</v>
      </c>
    </row>
    <row r="260" spans="1:15" ht="20.100000000000001" customHeight="1">
      <c r="A260" s="118">
        <v>255</v>
      </c>
      <c r="B260" s="13">
        <v>4994</v>
      </c>
      <c r="C260" s="9" t="s">
        <v>2981</v>
      </c>
      <c r="D260" s="9" t="s">
        <v>2982</v>
      </c>
      <c r="E260" s="9" t="s">
        <v>2953</v>
      </c>
      <c r="F260" s="13">
        <v>2100</v>
      </c>
      <c r="G260" s="13">
        <v>0</v>
      </c>
      <c r="H260" s="13">
        <v>0</v>
      </c>
      <c r="I260" s="13">
        <v>2100</v>
      </c>
      <c r="J260" s="166" t="s">
        <v>2983</v>
      </c>
      <c r="K260" s="122" t="s">
        <v>2947</v>
      </c>
    </row>
    <row r="261" spans="1:15" ht="20.100000000000001" customHeight="1">
      <c r="A261" s="104">
        <v>256</v>
      </c>
      <c r="B261" s="13">
        <v>5004</v>
      </c>
      <c r="C261" s="9" t="s">
        <v>2984</v>
      </c>
      <c r="D261" s="9" t="s">
        <v>2985</v>
      </c>
      <c r="E261" s="9" t="s">
        <v>2555</v>
      </c>
      <c r="F261" s="13">
        <v>2000</v>
      </c>
      <c r="G261" s="13">
        <v>0</v>
      </c>
      <c r="H261" s="13">
        <v>0</v>
      </c>
      <c r="I261" s="13">
        <v>2000</v>
      </c>
      <c r="J261" s="161" t="s">
        <v>2986</v>
      </c>
      <c r="K261" s="122" t="s">
        <v>2947</v>
      </c>
    </row>
    <row r="262" spans="1:15" ht="20.100000000000001" customHeight="1">
      <c r="A262" s="118">
        <v>257</v>
      </c>
      <c r="B262" s="13">
        <v>4764</v>
      </c>
      <c r="C262" s="64" t="s">
        <v>2987</v>
      </c>
      <c r="D262" s="9" t="s">
        <v>2930</v>
      </c>
      <c r="E262" s="104" t="s">
        <v>2927</v>
      </c>
      <c r="F262" s="12">
        <v>0</v>
      </c>
      <c r="G262" s="122">
        <v>0</v>
      </c>
      <c r="H262" s="122">
        <v>1000</v>
      </c>
      <c r="I262" s="122">
        <v>1000</v>
      </c>
      <c r="J262" s="64" t="s">
        <v>2931</v>
      </c>
      <c r="K262" s="122" t="s">
        <v>2988</v>
      </c>
    </row>
    <row r="263" spans="1:15" ht="20.100000000000001" customHeight="1">
      <c r="A263" s="104">
        <v>258</v>
      </c>
      <c r="B263" s="93">
        <v>4332</v>
      </c>
      <c r="C263" s="9" t="s">
        <v>2989</v>
      </c>
      <c r="D263" s="9" t="s">
        <v>2990</v>
      </c>
      <c r="E263" s="9" t="s">
        <v>2953</v>
      </c>
      <c r="F263" s="13">
        <v>2100</v>
      </c>
      <c r="G263" s="13">
        <v>0</v>
      </c>
      <c r="H263" s="13">
        <v>0</v>
      </c>
      <c r="I263" s="13">
        <v>0</v>
      </c>
      <c r="J263" s="105" t="s">
        <v>2991</v>
      </c>
      <c r="K263" s="122" t="s">
        <v>2988</v>
      </c>
    </row>
    <row r="264" spans="1:15" ht="20.100000000000001" customHeight="1">
      <c r="A264" s="118">
        <v>259</v>
      </c>
      <c r="B264" s="13">
        <v>4130</v>
      </c>
      <c r="C264" s="9" t="s">
        <v>2992</v>
      </c>
      <c r="D264" s="9" t="s">
        <v>2993</v>
      </c>
      <c r="E264" s="9" t="s">
        <v>2472</v>
      </c>
      <c r="F264" s="13">
        <v>1900</v>
      </c>
      <c r="G264" s="13">
        <v>0</v>
      </c>
      <c r="H264" s="13">
        <v>0</v>
      </c>
      <c r="I264" s="13">
        <v>1900</v>
      </c>
      <c r="J264" s="177" t="s">
        <v>2994</v>
      </c>
      <c r="K264" s="122" t="s">
        <v>2988</v>
      </c>
    </row>
    <row r="265" spans="1:15" ht="20.100000000000001" customHeight="1">
      <c r="A265" s="104">
        <v>260</v>
      </c>
      <c r="B265" s="13">
        <v>5071</v>
      </c>
      <c r="C265" s="9" t="s">
        <v>2995</v>
      </c>
      <c r="D265" s="9" t="s">
        <v>2996</v>
      </c>
      <c r="E265" s="9" t="s">
        <v>2960</v>
      </c>
      <c r="F265" s="13">
        <v>2000</v>
      </c>
      <c r="G265" s="13">
        <v>0</v>
      </c>
      <c r="H265" s="13">
        <v>0</v>
      </c>
      <c r="I265" s="13">
        <v>0</v>
      </c>
      <c r="J265" s="105" t="s">
        <v>2997</v>
      </c>
      <c r="K265" s="122" t="s">
        <v>2998</v>
      </c>
    </row>
    <row r="266" spans="1:15" ht="20.100000000000001" customHeight="1">
      <c r="A266" s="118">
        <v>261</v>
      </c>
      <c r="B266" s="13">
        <v>5072</v>
      </c>
      <c r="C266" s="9" t="s">
        <v>2999</v>
      </c>
      <c r="D266" s="9" t="s">
        <v>2996</v>
      </c>
      <c r="E266" s="9" t="s">
        <v>2960</v>
      </c>
      <c r="F266" s="13">
        <v>2000</v>
      </c>
      <c r="G266" s="13">
        <v>0</v>
      </c>
      <c r="H266" s="13">
        <v>0</v>
      </c>
      <c r="I266" s="13">
        <v>0</v>
      </c>
      <c r="J266" s="105" t="s">
        <v>2997</v>
      </c>
      <c r="K266" s="122" t="s">
        <v>2998</v>
      </c>
    </row>
    <row r="267" spans="1:15" ht="20.100000000000001" customHeight="1">
      <c r="A267" s="104">
        <v>262</v>
      </c>
      <c r="B267" s="13">
        <v>4914</v>
      </c>
      <c r="C267" s="9" t="s">
        <v>3000</v>
      </c>
      <c r="D267" s="9" t="s">
        <v>1754</v>
      </c>
      <c r="E267" s="9" t="s">
        <v>2543</v>
      </c>
      <c r="F267" s="13">
        <v>2000</v>
      </c>
      <c r="G267" s="13">
        <v>0</v>
      </c>
      <c r="H267" s="13">
        <v>1900</v>
      </c>
      <c r="I267" s="13">
        <v>2000</v>
      </c>
      <c r="J267" s="156" t="s">
        <v>3001</v>
      </c>
      <c r="K267" s="122" t="s">
        <v>2998</v>
      </c>
    </row>
    <row r="268" spans="1:15" ht="20.100000000000001" customHeight="1">
      <c r="A268" s="118">
        <v>263</v>
      </c>
      <c r="B268" s="93">
        <v>4345</v>
      </c>
      <c r="C268" s="9" t="s">
        <v>3002</v>
      </c>
      <c r="D268" s="9" t="s">
        <v>2384</v>
      </c>
      <c r="E268" s="9" t="s">
        <v>3003</v>
      </c>
      <c r="F268" s="13">
        <v>2100</v>
      </c>
      <c r="G268" s="13">
        <v>0</v>
      </c>
      <c r="H268" s="13">
        <v>0</v>
      </c>
      <c r="I268" s="13">
        <v>0</v>
      </c>
      <c r="J268" s="105" t="s">
        <v>3004</v>
      </c>
      <c r="K268" s="122" t="s">
        <v>2998</v>
      </c>
    </row>
    <row r="269" spans="1:15" ht="20.100000000000001" customHeight="1">
      <c r="A269" s="104">
        <v>264</v>
      </c>
      <c r="B269" s="13">
        <v>4990</v>
      </c>
      <c r="C269" s="9" t="s">
        <v>3005</v>
      </c>
      <c r="D269" s="57" t="s">
        <v>2971</v>
      </c>
      <c r="E269" s="9" t="s">
        <v>2457</v>
      </c>
      <c r="F269" s="13">
        <v>1000</v>
      </c>
      <c r="G269" s="13">
        <v>0</v>
      </c>
      <c r="H269" s="13">
        <v>0</v>
      </c>
      <c r="I269" s="13">
        <v>1000</v>
      </c>
      <c r="J269" s="177" t="s">
        <v>3006</v>
      </c>
      <c r="K269" s="122" t="s">
        <v>3007</v>
      </c>
    </row>
    <row r="270" spans="1:15" ht="20.100000000000001" customHeight="1">
      <c r="A270" s="118">
        <v>265</v>
      </c>
      <c r="B270" s="179">
        <v>5037</v>
      </c>
      <c r="C270" s="10" t="s">
        <v>1275</v>
      </c>
      <c r="D270" s="10" t="s">
        <v>3008</v>
      </c>
      <c r="E270" s="10" t="s">
        <v>3003</v>
      </c>
      <c r="F270" s="8">
        <v>1600</v>
      </c>
      <c r="G270" s="180"/>
      <c r="H270" s="180"/>
      <c r="I270" s="8">
        <v>1600</v>
      </c>
      <c r="J270" s="181" t="s">
        <v>3009</v>
      </c>
      <c r="K270" s="182" t="s">
        <v>3010</v>
      </c>
    </row>
    <row r="271" spans="1:15" ht="15.75">
      <c r="A271" s="104">
        <v>266</v>
      </c>
      <c r="B271" s="142">
        <v>743</v>
      </c>
      <c r="C271" s="9" t="s">
        <v>3011</v>
      </c>
      <c r="D271" s="9" t="s">
        <v>1057</v>
      </c>
      <c r="E271" s="9" t="s">
        <v>2888</v>
      </c>
      <c r="F271" s="12">
        <v>0</v>
      </c>
      <c r="G271" s="104">
        <v>0</v>
      </c>
      <c r="H271" s="104">
        <v>0</v>
      </c>
      <c r="I271" s="104">
        <v>0</v>
      </c>
      <c r="J271" s="177" t="s">
        <v>3012</v>
      </c>
      <c r="K271" s="122" t="s">
        <v>3013</v>
      </c>
    </row>
    <row r="272" spans="1:15" ht="15.75">
      <c r="A272" s="118">
        <v>267</v>
      </c>
      <c r="B272" s="13">
        <v>4636</v>
      </c>
      <c r="C272" s="9" t="s">
        <v>2409</v>
      </c>
      <c r="D272" s="9" t="s">
        <v>1057</v>
      </c>
      <c r="E272" s="9" t="s">
        <v>2960</v>
      </c>
      <c r="F272" s="12"/>
      <c r="G272" s="104">
        <v>2000</v>
      </c>
      <c r="H272" s="104"/>
      <c r="I272" s="104">
        <v>2000</v>
      </c>
      <c r="J272" s="105" t="s">
        <v>3012</v>
      </c>
      <c r="K272" s="122" t="s">
        <v>3013</v>
      </c>
    </row>
    <row r="273" spans="1:11" ht="15.75">
      <c r="A273" s="104">
        <v>268</v>
      </c>
      <c r="B273" s="13">
        <v>5070</v>
      </c>
      <c r="C273" s="9" t="s">
        <v>3014</v>
      </c>
      <c r="D273" s="9" t="s">
        <v>3015</v>
      </c>
      <c r="E273" s="9" t="s">
        <v>2953</v>
      </c>
      <c r="F273" s="12"/>
      <c r="G273" s="104"/>
      <c r="H273" s="104">
        <v>1000</v>
      </c>
      <c r="I273" s="104">
        <v>1000</v>
      </c>
      <c r="J273" s="162" t="s">
        <v>3016</v>
      </c>
      <c r="K273" s="122" t="s">
        <v>3013</v>
      </c>
    </row>
    <row r="274" spans="1:11" ht="15.75">
      <c r="A274" s="118">
        <v>269</v>
      </c>
      <c r="B274" s="183">
        <v>5031</v>
      </c>
      <c r="C274" s="41" t="s">
        <v>57</v>
      </c>
      <c r="D274" s="10" t="s">
        <v>3017</v>
      </c>
      <c r="E274" s="155" t="s">
        <v>3018</v>
      </c>
      <c r="F274" s="12">
        <v>1000</v>
      </c>
      <c r="G274" s="104">
        <v>0</v>
      </c>
      <c r="H274" s="104">
        <v>0</v>
      </c>
      <c r="I274" s="104">
        <v>0</v>
      </c>
      <c r="J274" s="184" t="s">
        <v>3019</v>
      </c>
      <c r="K274" s="122" t="s">
        <v>3013</v>
      </c>
    </row>
    <row r="275" spans="1:11" ht="15.75">
      <c r="A275" s="104">
        <v>270</v>
      </c>
      <c r="B275" s="13">
        <v>4849</v>
      </c>
      <c r="C275" s="64" t="s">
        <v>3020</v>
      </c>
      <c r="D275" s="9" t="s">
        <v>2853</v>
      </c>
      <c r="E275" s="9" t="s">
        <v>2430</v>
      </c>
      <c r="F275" s="12">
        <v>1900</v>
      </c>
      <c r="G275" s="104">
        <v>5700</v>
      </c>
      <c r="H275" s="104"/>
      <c r="I275" s="104">
        <v>5700</v>
      </c>
      <c r="J275" s="64" t="s">
        <v>2934</v>
      </c>
      <c r="K275" s="122" t="s">
        <v>3013</v>
      </c>
    </row>
    <row r="276" spans="1:11" ht="30">
      <c r="A276" s="118">
        <v>271</v>
      </c>
      <c r="B276" s="13">
        <v>5007</v>
      </c>
      <c r="C276" s="9" t="s">
        <v>3021</v>
      </c>
      <c r="D276" s="9" t="s">
        <v>3022</v>
      </c>
      <c r="E276" s="9" t="s">
        <v>2953</v>
      </c>
      <c r="F276" s="12">
        <v>2100</v>
      </c>
      <c r="G276" s="104">
        <v>2100</v>
      </c>
      <c r="H276" s="104"/>
      <c r="I276" s="104">
        <v>2100</v>
      </c>
      <c r="J276" s="166" t="s">
        <v>3023</v>
      </c>
      <c r="K276" s="122" t="s">
        <v>3024</v>
      </c>
    </row>
    <row r="277" spans="1:11" ht="15.75">
      <c r="A277" s="104">
        <v>272</v>
      </c>
      <c r="B277" s="13">
        <v>4780</v>
      </c>
      <c r="C277" s="9" t="s">
        <v>3025</v>
      </c>
      <c r="D277" s="9" t="s">
        <v>92</v>
      </c>
      <c r="E277" s="9" t="s">
        <v>2960</v>
      </c>
      <c r="F277" s="12">
        <v>2000</v>
      </c>
      <c r="G277" s="104">
        <v>2000</v>
      </c>
      <c r="H277" s="104"/>
      <c r="I277" s="104">
        <v>2000</v>
      </c>
      <c r="J277" s="105" t="s">
        <v>3026</v>
      </c>
      <c r="K277" s="122" t="s">
        <v>3027</v>
      </c>
    </row>
    <row r="278" spans="1:11" ht="15.75">
      <c r="A278" s="118">
        <v>273</v>
      </c>
      <c r="B278" s="179" t="s">
        <v>2968</v>
      </c>
      <c r="C278" s="9" t="s">
        <v>3028</v>
      </c>
      <c r="D278" s="9" t="s">
        <v>3029</v>
      </c>
      <c r="E278" s="9" t="s">
        <v>2711</v>
      </c>
      <c r="F278" s="12">
        <v>2200</v>
      </c>
      <c r="G278" s="104">
        <v>2200</v>
      </c>
      <c r="H278" s="104"/>
      <c r="I278" s="104">
        <v>2200</v>
      </c>
      <c r="J278" s="104"/>
      <c r="K278" s="122" t="s">
        <v>3027</v>
      </c>
    </row>
    <row r="279" spans="1:11" ht="15.75">
      <c r="A279" s="104">
        <v>274</v>
      </c>
      <c r="B279" s="13">
        <v>4991</v>
      </c>
      <c r="C279" s="9" t="s">
        <v>565</v>
      </c>
      <c r="D279" s="9" t="s">
        <v>3030</v>
      </c>
      <c r="E279" s="9" t="s">
        <v>2704</v>
      </c>
      <c r="F279" s="12">
        <v>1900</v>
      </c>
      <c r="G279" s="104">
        <v>9400</v>
      </c>
      <c r="H279" s="104"/>
      <c r="I279" s="104">
        <v>9400</v>
      </c>
      <c r="J279" s="64" t="s">
        <v>3006</v>
      </c>
      <c r="K279" s="122" t="s">
        <v>3031</v>
      </c>
    </row>
    <row r="280" spans="1:11" ht="15.75">
      <c r="A280" s="118">
        <v>275</v>
      </c>
      <c r="B280" s="13">
        <v>4502</v>
      </c>
      <c r="C280" s="9" t="s">
        <v>3032</v>
      </c>
      <c r="D280" s="9" t="s">
        <v>3033</v>
      </c>
      <c r="E280" s="9" t="s">
        <v>3034</v>
      </c>
      <c r="F280" s="12">
        <v>1900</v>
      </c>
      <c r="G280" s="104"/>
      <c r="H280" s="104"/>
      <c r="I280" s="104">
        <v>1900</v>
      </c>
      <c r="J280" s="155" t="s">
        <v>1444</v>
      </c>
      <c r="K280" s="122" t="s">
        <v>3031</v>
      </c>
    </row>
    <row r="281" spans="1:11" ht="15.75">
      <c r="A281" s="104">
        <v>276</v>
      </c>
      <c r="B281" s="13">
        <v>4635</v>
      </c>
      <c r="C281" s="9" t="s">
        <v>3035</v>
      </c>
      <c r="D281" s="9" t="s">
        <v>1057</v>
      </c>
      <c r="E281" s="9" t="s">
        <v>720</v>
      </c>
      <c r="F281" s="12">
        <v>1900</v>
      </c>
      <c r="G281" s="104">
        <v>4800</v>
      </c>
      <c r="H281" s="104"/>
      <c r="I281" s="104">
        <v>4800</v>
      </c>
      <c r="J281" s="176" t="s">
        <v>3036</v>
      </c>
      <c r="K281" s="122" t="s">
        <v>3031</v>
      </c>
    </row>
    <row r="282" spans="1:11" ht="15.75">
      <c r="A282" s="118">
        <v>277</v>
      </c>
      <c r="B282" s="13">
        <v>4634</v>
      </c>
      <c r="C282" s="9" t="s">
        <v>3037</v>
      </c>
      <c r="D282" s="9" t="s">
        <v>1057</v>
      </c>
      <c r="E282" s="9" t="s">
        <v>1203</v>
      </c>
      <c r="F282" s="12">
        <v>1900</v>
      </c>
      <c r="G282" s="104">
        <v>4800</v>
      </c>
      <c r="H282" s="104"/>
      <c r="I282" s="104">
        <v>4800</v>
      </c>
      <c r="J282" s="176" t="s">
        <v>2448</v>
      </c>
      <c r="K282" s="122" t="s">
        <v>3031</v>
      </c>
    </row>
    <row r="283" spans="1:11" ht="15.75">
      <c r="A283" s="104">
        <v>278</v>
      </c>
      <c r="B283" s="13">
        <v>4956</v>
      </c>
      <c r="C283" s="64" t="s">
        <v>3038</v>
      </c>
      <c r="D283" s="9" t="s">
        <v>3039</v>
      </c>
      <c r="E283" s="9" t="s">
        <v>2430</v>
      </c>
      <c r="F283" s="12">
        <v>1900</v>
      </c>
      <c r="G283" s="104">
        <v>1900</v>
      </c>
      <c r="H283" s="104"/>
      <c r="I283" s="104">
        <v>1900</v>
      </c>
      <c r="J283" s="64" t="s">
        <v>3040</v>
      </c>
      <c r="K283" s="122" t="s">
        <v>3041</v>
      </c>
    </row>
    <row r="284" spans="1:11" s="193" customFormat="1" ht="18.75">
      <c r="A284" s="118">
        <v>279</v>
      </c>
      <c r="B284" s="185">
        <v>5030</v>
      </c>
      <c r="C284" s="186" t="s">
        <v>3042</v>
      </c>
      <c r="D284" s="187" t="s">
        <v>3043</v>
      </c>
      <c r="E284" s="188" t="s">
        <v>3018</v>
      </c>
      <c r="F284" s="189">
        <v>1900</v>
      </c>
      <c r="G284" s="190">
        <v>5700</v>
      </c>
      <c r="H284" s="191"/>
      <c r="I284" s="190">
        <v>5700</v>
      </c>
      <c r="J284" s="188" t="s">
        <v>3044</v>
      </c>
      <c r="K284" s="192" t="s">
        <v>3045</v>
      </c>
    </row>
    <row r="285" spans="1:11" s="193" customFormat="1" ht="18.75">
      <c r="A285" s="104">
        <v>280</v>
      </c>
      <c r="B285" s="194">
        <v>4790</v>
      </c>
      <c r="C285" s="187" t="s">
        <v>3046</v>
      </c>
      <c r="D285" s="187" t="s">
        <v>3047</v>
      </c>
      <c r="E285" s="187" t="s">
        <v>3003</v>
      </c>
      <c r="F285" s="189">
        <v>2100</v>
      </c>
      <c r="G285" s="190">
        <v>2100</v>
      </c>
      <c r="H285" s="190"/>
      <c r="I285" s="190">
        <v>2100</v>
      </c>
      <c r="J285" s="195" t="s">
        <v>3048</v>
      </c>
      <c r="K285" s="192" t="s">
        <v>3049</v>
      </c>
    </row>
    <row r="286" spans="1:11" s="193" customFormat="1" ht="18.75">
      <c r="A286" s="118">
        <v>281</v>
      </c>
      <c r="B286" s="196">
        <v>4677</v>
      </c>
      <c r="C286" s="187" t="s">
        <v>3050</v>
      </c>
      <c r="D286" s="187" t="s">
        <v>3051</v>
      </c>
      <c r="E286" s="190" t="s">
        <v>3052</v>
      </c>
      <c r="F286" s="189">
        <v>1900</v>
      </c>
      <c r="G286" s="190">
        <v>0</v>
      </c>
      <c r="H286" s="190">
        <v>0</v>
      </c>
      <c r="I286" s="190">
        <v>0</v>
      </c>
      <c r="J286" s="197" t="s">
        <v>2691</v>
      </c>
      <c r="K286" s="192" t="s">
        <v>3053</v>
      </c>
    </row>
    <row r="287" spans="1:11" s="193" customFormat="1" ht="18.75">
      <c r="A287" s="104">
        <v>282</v>
      </c>
      <c r="B287" s="198">
        <v>5056</v>
      </c>
      <c r="C287" s="199" t="s">
        <v>3054</v>
      </c>
      <c r="D287" s="187" t="s">
        <v>3051</v>
      </c>
      <c r="E287" s="190" t="s">
        <v>3055</v>
      </c>
      <c r="F287" s="189">
        <v>1900</v>
      </c>
      <c r="G287" s="190">
        <v>0</v>
      </c>
      <c r="H287" s="190">
        <v>0</v>
      </c>
      <c r="I287" s="190">
        <v>0</v>
      </c>
      <c r="J287" s="197" t="s">
        <v>2691</v>
      </c>
      <c r="K287" s="192" t="s">
        <v>3053</v>
      </c>
    </row>
    <row r="288" spans="1:11" s="193" customFormat="1" ht="18.75">
      <c r="A288" s="118">
        <v>283</v>
      </c>
      <c r="B288" s="196">
        <v>1924</v>
      </c>
      <c r="C288" s="187" t="s">
        <v>3056</v>
      </c>
      <c r="D288" s="187" t="s">
        <v>2793</v>
      </c>
      <c r="E288" s="187" t="s">
        <v>1689</v>
      </c>
      <c r="F288" s="189">
        <v>2000</v>
      </c>
      <c r="G288" s="190">
        <v>2000</v>
      </c>
      <c r="H288" s="190"/>
      <c r="I288" s="190">
        <v>2000</v>
      </c>
      <c r="J288" s="200" t="s">
        <v>3057</v>
      </c>
      <c r="K288" s="192" t="s">
        <v>3058</v>
      </c>
    </row>
    <row r="289" spans="1:15" s="193" customFormat="1" ht="18.75">
      <c r="A289" s="104">
        <v>284</v>
      </c>
      <c r="B289" s="196">
        <v>2060</v>
      </c>
      <c r="C289" s="187" t="s">
        <v>3059</v>
      </c>
      <c r="D289" s="187" t="s">
        <v>816</v>
      </c>
      <c r="E289" s="187" t="s">
        <v>3060</v>
      </c>
      <c r="F289" s="189">
        <v>2000</v>
      </c>
      <c r="G289" s="190">
        <v>2000</v>
      </c>
      <c r="H289" s="190"/>
      <c r="I289" s="190">
        <v>2000</v>
      </c>
      <c r="J289" s="201" t="s">
        <v>3057</v>
      </c>
      <c r="K289" s="192" t="s">
        <v>3058</v>
      </c>
    </row>
    <row r="290" spans="1:15" s="193" customFormat="1" ht="18.75">
      <c r="A290" s="118">
        <v>285</v>
      </c>
      <c r="B290" s="196">
        <v>4443</v>
      </c>
      <c r="C290" s="187" t="s">
        <v>3061</v>
      </c>
      <c r="D290" s="187" t="s">
        <v>3062</v>
      </c>
      <c r="E290" s="187" t="s">
        <v>3063</v>
      </c>
      <c r="F290" s="189">
        <v>1600</v>
      </c>
      <c r="G290" s="190">
        <v>1600</v>
      </c>
      <c r="H290" s="190"/>
      <c r="I290" s="190">
        <v>1600</v>
      </c>
      <c r="J290" s="197" t="s">
        <v>3064</v>
      </c>
      <c r="K290" s="192" t="s">
        <v>3065</v>
      </c>
    </row>
    <row r="291" spans="1:15" s="193" customFormat="1" ht="37.5">
      <c r="A291" s="104">
        <v>286</v>
      </c>
      <c r="B291" s="196">
        <v>1807</v>
      </c>
      <c r="C291" s="187" t="s">
        <v>3066</v>
      </c>
      <c r="D291" s="187" t="s">
        <v>3067</v>
      </c>
      <c r="E291" s="187" t="s">
        <v>2543</v>
      </c>
      <c r="F291" s="189">
        <v>2000</v>
      </c>
      <c r="G291" s="190">
        <v>2000</v>
      </c>
      <c r="H291" s="190"/>
      <c r="I291" s="190">
        <v>2000</v>
      </c>
      <c r="J291" s="200" t="s">
        <v>3068</v>
      </c>
      <c r="K291" s="192" t="s">
        <v>3065</v>
      </c>
    </row>
    <row r="292" spans="1:15" s="193" customFormat="1" ht="37.5">
      <c r="A292" s="118">
        <v>287</v>
      </c>
      <c r="B292" s="196">
        <v>4228</v>
      </c>
      <c r="C292" s="187" t="s">
        <v>3069</v>
      </c>
      <c r="D292" s="187" t="s">
        <v>505</v>
      </c>
      <c r="E292" s="187" t="s">
        <v>2543</v>
      </c>
      <c r="F292" s="189">
        <v>2000</v>
      </c>
      <c r="G292" s="190">
        <v>2000</v>
      </c>
      <c r="H292" s="190"/>
      <c r="I292" s="190">
        <v>2000</v>
      </c>
      <c r="J292" s="202" t="s">
        <v>3070</v>
      </c>
      <c r="K292" s="192" t="s">
        <v>3065</v>
      </c>
    </row>
    <row r="293" spans="1:15" s="193" customFormat="1" ht="18.75">
      <c r="A293" s="104">
        <v>288</v>
      </c>
      <c r="B293" s="196">
        <v>4226</v>
      </c>
      <c r="C293" s="187" t="s">
        <v>197</v>
      </c>
      <c r="D293" s="187" t="s">
        <v>505</v>
      </c>
      <c r="E293" s="187" t="s">
        <v>2526</v>
      </c>
      <c r="F293" s="189">
        <v>1900</v>
      </c>
      <c r="G293" s="190">
        <v>1900</v>
      </c>
      <c r="H293" s="190"/>
      <c r="I293" s="190">
        <v>1900</v>
      </c>
      <c r="J293" s="203" t="s">
        <v>3071</v>
      </c>
      <c r="K293" s="192" t="s">
        <v>3065</v>
      </c>
      <c r="O293" s="193">
        <f>SUM(O262:O292)</f>
        <v>0</v>
      </c>
    </row>
    <row r="294" spans="1:15" s="193" customFormat="1" ht="18.75">
      <c r="A294" s="118">
        <v>289</v>
      </c>
      <c r="B294" s="196">
        <v>2027</v>
      </c>
      <c r="C294" s="187" t="s">
        <v>410</v>
      </c>
      <c r="D294" s="187" t="s">
        <v>279</v>
      </c>
      <c r="E294" s="190" t="s">
        <v>1327</v>
      </c>
      <c r="F294" s="189">
        <v>1900</v>
      </c>
      <c r="G294" s="190">
        <v>1900</v>
      </c>
      <c r="H294" s="190"/>
      <c r="I294" s="190">
        <v>1900</v>
      </c>
      <c r="J294" s="197" t="s">
        <v>1204</v>
      </c>
      <c r="K294" s="192" t="s">
        <v>3065</v>
      </c>
    </row>
    <row r="295" spans="1:15" s="193" customFormat="1" ht="21.75" customHeight="1">
      <c r="A295" s="104">
        <v>290</v>
      </c>
      <c r="B295" s="204">
        <v>6115</v>
      </c>
      <c r="C295" s="205" t="s">
        <v>3072</v>
      </c>
      <c r="D295" s="204" t="s">
        <v>3073</v>
      </c>
      <c r="E295" s="204" t="s">
        <v>2695</v>
      </c>
      <c r="F295" s="206"/>
      <c r="G295" s="207"/>
      <c r="H295" s="207"/>
      <c r="I295" s="207"/>
      <c r="J295" s="208" t="s">
        <v>840</v>
      </c>
      <c r="K295" s="206" t="s">
        <v>3074</v>
      </c>
    </row>
    <row r="296" spans="1:15" s="193" customFormat="1" ht="18.75">
      <c r="A296" s="118">
        <v>291</v>
      </c>
      <c r="B296" s="196">
        <v>1488</v>
      </c>
      <c r="C296" s="187" t="s">
        <v>3075</v>
      </c>
      <c r="D296" s="187" t="s">
        <v>2677</v>
      </c>
      <c r="E296" s="187" t="s">
        <v>1940</v>
      </c>
      <c r="F296" s="189">
        <v>2100</v>
      </c>
      <c r="G296" s="190">
        <v>2100</v>
      </c>
      <c r="H296" s="190"/>
      <c r="I296" s="190">
        <v>2100</v>
      </c>
      <c r="J296" s="201" t="s">
        <v>3076</v>
      </c>
      <c r="K296" s="192" t="s">
        <v>3074</v>
      </c>
    </row>
    <row r="297" spans="1:15" s="193" customFormat="1" ht="18.75">
      <c r="A297" s="104">
        <v>292</v>
      </c>
      <c r="B297" s="196">
        <v>4305</v>
      </c>
      <c r="C297" s="187" t="s">
        <v>3077</v>
      </c>
      <c r="D297" s="187" t="s">
        <v>2807</v>
      </c>
      <c r="E297" s="187" t="s">
        <v>1940</v>
      </c>
      <c r="F297" s="189">
        <v>2100</v>
      </c>
      <c r="G297" s="190">
        <v>2100</v>
      </c>
      <c r="H297" s="190"/>
      <c r="I297" s="190">
        <v>2100</v>
      </c>
      <c r="J297" s="195" t="s">
        <v>3078</v>
      </c>
      <c r="K297" s="192" t="s">
        <v>3074</v>
      </c>
    </row>
    <row r="298" spans="1:15" s="193" customFormat="1" ht="39" customHeight="1">
      <c r="A298" s="118">
        <v>293</v>
      </c>
      <c r="B298" s="198">
        <v>4321</v>
      </c>
      <c r="C298" s="209" t="s">
        <v>3079</v>
      </c>
      <c r="D298" s="209" t="s">
        <v>3080</v>
      </c>
      <c r="E298" s="209" t="s">
        <v>1940</v>
      </c>
      <c r="F298" s="206">
        <v>2100</v>
      </c>
      <c r="G298" s="207">
        <v>2100</v>
      </c>
      <c r="H298" s="207">
        <v>2100</v>
      </c>
      <c r="I298" s="207"/>
      <c r="J298" s="210" t="s">
        <v>3081</v>
      </c>
      <c r="K298" s="206" t="s">
        <v>3074</v>
      </c>
    </row>
    <row r="299" spans="1:15" s="193" customFormat="1" ht="18.75">
      <c r="A299" s="104">
        <v>294</v>
      </c>
      <c r="B299" s="196">
        <v>4757</v>
      </c>
      <c r="C299" s="187" t="s">
        <v>3082</v>
      </c>
      <c r="D299" s="187" t="s">
        <v>3083</v>
      </c>
      <c r="E299" s="187" t="s">
        <v>1940</v>
      </c>
      <c r="F299" s="189">
        <v>2100</v>
      </c>
      <c r="G299" s="190">
        <v>2100</v>
      </c>
      <c r="H299" s="190">
        <v>2100</v>
      </c>
      <c r="I299" s="190"/>
      <c r="J299" s="195" t="s">
        <v>3084</v>
      </c>
      <c r="K299" s="192" t="s">
        <v>3074</v>
      </c>
    </row>
    <row r="300" spans="1:15" s="193" customFormat="1" ht="18.75">
      <c r="A300" s="118">
        <v>295</v>
      </c>
      <c r="B300" s="196">
        <v>4839</v>
      </c>
      <c r="C300" s="211" t="s">
        <v>3085</v>
      </c>
      <c r="D300" s="187" t="s">
        <v>3086</v>
      </c>
      <c r="E300" s="212" t="s">
        <v>3087</v>
      </c>
      <c r="F300" s="189">
        <v>1900</v>
      </c>
      <c r="G300" s="190">
        <v>1900</v>
      </c>
      <c r="H300" s="190">
        <v>0</v>
      </c>
      <c r="I300" s="190">
        <v>1900</v>
      </c>
      <c r="J300" s="213" t="s">
        <v>3088</v>
      </c>
      <c r="K300" s="192" t="s">
        <v>3089</v>
      </c>
    </row>
    <row r="301" spans="1:15" s="193" customFormat="1" ht="18.75">
      <c r="A301" s="104">
        <v>296</v>
      </c>
      <c r="B301" s="214">
        <v>4609</v>
      </c>
      <c r="C301" s="215" t="s">
        <v>1155</v>
      </c>
      <c r="D301" s="215" t="s">
        <v>1156</v>
      </c>
      <c r="E301" s="216" t="s">
        <v>3063</v>
      </c>
      <c r="F301" s="189">
        <v>1900</v>
      </c>
      <c r="G301" s="190">
        <v>1900</v>
      </c>
      <c r="H301" s="190">
        <v>0</v>
      </c>
      <c r="I301" s="190">
        <v>1900</v>
      </c>
      <c r="J301" s="217" t="s">
        <v>1157</v>
      </c>
      <c r="K301" s="192" t="s">
        <v>3089</v>
      </c>
    </row>
    <row r="302" spans="1:15" s="193" customFormat="1" ht="18.75">
      <c r="A302" s="118">
        <v>297</v>
      </c>
      <c r="B302" s="196">
        <v>4009</v>
      </c>
      <c r="C302" s="187" t="s">
        <v>3090</v>
      </c>
      <c r="D302" s="187" t="s">
        <v>3091</v>
      </c>
      <c r="E302" s="216" t="s">
        <v>1127</v>
      </c>
      <c r="F302" s="189">
        <v>1900</v>
      </c>
      <c r="G302" s="190">
        <v>0</v>
      </c>
      <c r="H302" s="190">
        <v>0</v>
      </c>
      <c r="I302" s="190">
        <v>0</v>
      </c>
      <c r="J302" s="218" t="s">
        <v>3092</v>
      </c>
      <c r="K302" s="192" t="s">
        <v>3089</v>
      </c>
    </row>
    <row r="303" spans="1:15" s="193" customFormat="1" ht="18.75">
      <c r="A303" s="104">
        <v>298</v>
      </c>
      <c r="B303" s="219">
        <v>6064</v>
      </c>
      <c r="C303" s="220" t="s">
        <v>3093</v>
      </c>
      <c r="D303" s="220" t="s">
        <v>2716</v>
      </c>
      <c r="E303" s="221" t="s">
        <v>1689</v>
      </c>
      <c r="F303" s="189">
        <v>2000</v>
      </c>
      <c r="G303" s="190">
        <v>0</v>
      </c>
      <c r="H303" s="190">
        <v>0</v>
      </c>
      <c r="I303" s="190">
        <v>0</v>
      </c>
      <c r="J303" s="222" t="s">
        <v>3094</v>
      </c>
      <c r="K303" s="192" t="s">
        <v>3089</v>
      </c>
    </row>
    <row r="304" spans="1:15" s="193" customFormat="1" ht="18.75">
      <c r="A304" s="118">
        <v>299</v>
      </c>
      <c r="B304" s="196">
        <v>5042</v>
      </c>
      <c r="C304" s="187" t="s">
        <v>3095</v>
      </c>
      <c r="D304" s="187" t="s">
        <v>3096</v>
      </c>
      <c r="E304" s="216" t="s">
        <v>1127</v>
      </c>
      <c r="F304" s="189">
        <v>1900</v>
      </c>
      <c r="G304" s="190">
        <v>0</v>
      </c>
      <c r="H304" s="190">
        <v>0</v>
      </c>
      <c r="I304" s="190">
        <v>0</v>
      </c>
      <c r="J304" s="212" t="s">
        <v>3097</v>
      </c>
      <c r="K304" s="192" t="s">
        <v>3089</v>
      </c>
    </row>
    <row r="305" spans="1:11" s="193" customFormat="1" ht="18.75">
      <c r="A305" s="104">
        <v>300</v>
      </c>
      <c r="B305" s="196">
        <v>4556</v>
      </c>
      <c r="C305" s="187" t="s">
        <v>640</v>
      </c>
      <c r="D305" s="187" t="s">
        <v>2136</v>
      </c>
      <c r="E305" s="216" t="s">
        <v>1689</v>
      </c>
      <c r="F305" s="189">
        <v>2000</v>
      </c>
      <c r="G305" s="190">
        <v>2000</v>
      </c>
      <c r="H305" s="190">
        <v>0</v>
      </c>
      <c r="I305" s="190">
        <v>2000</v>
      </c>
      <c r="J305" s="217" t="s">
        <v>3098</v>
      </c>
      <c r="K305" s="192" t="s">
        <v>3099</v>
      </c>
    </row>
    <row r="306" spans="1:11" s="193" customFormat="1" ht="18.75">
      <c r="A306" s="118">
        <v>301</v>
      </c>
      <c r="B306" s="196">
        <v>4902</v>
      </c>
      <c r="C306" s="187" t="s">
        <v>3100</v>
      </c>
      <c r="D306" s="187" t="s">
        <v>70</v>
      </c>
      <c r="E306" s="216" t="s">
        <v>1689</v>
      </c>
      <c r="F306" s="189">
        <v>2000</v>
      </c>
      <c r="G306" s="190">
        <v>8000</v>
      </c>
      <c r="H306" s="190">
        <v>1000</v>
      </c>
      <c r="I306" s="190">
        <v>9000</v>
      </c>
      <c r="J306" s="212" t="s">
        <v>3101</v>
      </c>
      <c r="K306" s="192" t="s">
        <v>3099</v>
      </c>
    </row>
    <row r="307" spans="1:11" s="193" customFormat="1" ht="18.75">
      <c r="A307" s="104">
        <v>302</v>
      </c>
      <c r="B307" s="214">
        <v>5066</v>
      </c>
      <c r="C307" s="215" t="s">
        <v>3102</v>
      </c>
      <c r="D307" s="215" t="s">
        <v>178</v>
      </c>
      <c r="E307" s="216" t="s">
        <v>1689</v>
      </c>
      <c r="F307" s="189">
        <v>2000</v>
      </c>
      <c r="G307" s="190">
        <v>8000</v>
      </c>
      <c r="H307" s="190"/>
      <c r="I307" s="190">
        <v>8000</v>
      </c>
      <c r="J307" s="223" t="s">
        <v>3103</v>
      </c>
      <c r="K307" s="192" t="s">
        <v>3099</v>
      </c>
    </row>
    <row r="308" spans="1:11" s="193" customFormat="1" ht="36.75">
      <c r="A308" s="118">
        <v>303</v>
      </c>
      <c r="B308" s="196">
        <v>4671</v>
      </c>
      <c r="C308" s="187" t="s">
        <v>382</v>
      </c>
      <c r="D308" s="187" t="s">
        <v>732</v>
      </c>
      <c r="E308" s="216" t="s">
        <v>1782</v>
      </c>
      <c r="F308" s="189">
        <v>2000</v>
      </c>
      <c r="G308" s="190">
        <v>4000</v>
      </c>
      <c r="H308" s="190">
        <v>0</v>
      </c>
      <c r="I308" s="190">
        <v>4000</v>
      </c>
      <c r="J308" s="213" t="s">
        <v>2105</v>
      </c>
      <c r="K308" s="224" t="s">
        <v>3099</v>
      </c>
    </row>
    <row r="309" spans="1:11" s="193" customFormat="1" ht="18.75">
      <c r="A309" s="104">
        <v>304</v>
      </c>
      <c r="B309" s="196">
        <v>4716</v>
      </c>
      <c r="C309" s="187" t="s">
        <v>3104</v>
      </c>
      <c r="D309" s="187" t="s">
        <v>178</v>
      </c>
      <c r="E309" s="216" t="s">
        <v>1782</v>
      </c>
      <c r="F309" s="189">
        <v>1800</v>
      </c>
      <c r="G309" s="190">
        <v>3600</v>
      </c>
      <c r="H309" s="190">
        <v>0</v>
      </c>
      <c r="I309" s="190">
        <v>0</v>
      </c>
      <c r="J309" s="213" t="s">
        <v>3105</v>
      </c>
      <c r="K309" s="192" t="s">
        <v>3099</v>
      </c>
    </row>
    <row r="310" spans="1:11" s="193" customFormat="1" ht="18.75">
      <c r="A310" s="118">
        <v>305</v>
      </c>
      <c r="B310" s="196">
        <v>4904</v>
      </c>
      <c r="C310" s="187" t="s">
        <v>3106</v>
      </c>
      <c r="D310" s="187" t="s">
        <v>178</v>
      </c>
      <c r="E310" s="216" t="s">
        <v>1782</v>
      </c>
      <c r="F310" s="225">
        <v>2000</v>
      </c>
      <c r="G310" s="226">
        <v>4000</v>
      </c>
      <c r="H310" s="226">
        <v>0</v>
      </c>
      <c r="I310" s="226">
        <v>4000</v>
      </c>
      <c r="J310" s="213" t="s">
        <v>3105</v>
      </c>
      <c r="K310" s="192" t="s">
        <v>3099</v>
      </c>
    </row>
    <row r="311" spans="1:11" s="193" customFormat="1" ht="18.75">
      <c r="A311" s="104">
        <v>306</v>
      </c>
      <c r="B311" s="196">
        <v>4175</v>
      </c>
      <c r="C311" s="187" t="s">
        <v>3107</v>
      </c>
      <c r="D311" s="187" t="s">
        <v>1620</v>
      </c>
      <c r="E311" s="216" t="s">
        <v>3108</v>
      </c>
      <c r="F311" s="189">
        <v>0</v>
      </c>
      <c r="G311" s="190">
        <v>0</v>
      </c>
      <c r="H311" s="190">
        <v>0</v>
      </c>
      <c r="I311" s="190">
        <v>0</v>
      </c>
      <c r="J311" s="218" t="s">
        <v>3109</v>
      </c>
      <c r="K311" s="192" t="s">
        <v>3099</v>
      </c>
    </row>
    <row r="312" spans="1:11" s="193" customFormat="1" ht="24" customHeight="1">
      <c r="A312" s="118">
        <v>307</v>
      </c>
      <c r="B312" s="198">
        <v>4695</v>
      </c>
      <c r="C312" s="209" t="s">
        <v>3110</v>
      </c>
      <c r="D312" s="209" t="s">
        <v>3111</v>
      </c>
      <c r="E312" s="227" t="s">
        <v>2543</v>
      </c>
      <c r="F312" s="228">
        <v>1100</v>
      </c>
      <c r="G312" s="229">
        <v>4400</v>
      </c>
      <c r="H312" s="229">
        <v>0</v>
      </c>
      <c r="I312" s="229">
        <v>4400</v>
      </c>
      <c r="J312" s="230" t="s">
        <v>3112</v>
      </c>
      <c r="K312" s="206" t="s">
        <v>3113</v>
      </c>
    </row>
    <row r="313" spans="1:11" s="193" customFormat="1" ht="18.75">
      <c r="A313" s="104">
        <v>308</v>
      </c>
      <c r="B313" s="196">
        <v>1860</v>
      </c>
      <c r="C313" s="187" t="s">
        <v>3114</v>
      </c>
      <c r="D313" s="187" t="s">
        <v>2676</v>
      </c>
      <c r="E313" s="216" t="s">
        <v>2543</v>
      </c>
      <c r="F313" s="225">
        <v>2000</v>
      </c>
      <c r="G313" s="226">
        <v>2000</v>
      </c>
      <c r="H313" s="226">
        <v>0</v>
      </c>
      <c r="I313" s="226">
        <v>2000</v>
      </c>
      <c r="J313" s="212" t="s">
        <v>3115</v>
      </c>
      <c r="K313" s="192" t="s">
        <v>3113</v>
      </c>
    </row>
    <row r="314" spans="1:11" s="193" customFormat="1" ht="18.75">
      <c r="A314" s="118">
        <v>309</v>
      </c>
      <c r="B314" s="196">
        <v>1861</v>
      </c>
      <c r="C314" s="187" t="s">
        <v>3116</v>
      </c>
      <c r="D314" s="187" t="s">
        <v>1040</v>
      </c>
      <c r="E314" s="216" t="s">
        <v>2543</v>
      </c>
      <c r="F314" s="225">
        <v>2000</v>
      </c>
      <c r="G314" s="226">
        <v>2000</v>
      </c>
      <c r="H314" s="226">
        <v>0</v>
      </c>
      <c r="I314" s="226">
        <v>2000</v>
      </c>
      <c r="J314" s="212" t="s">
        <v>3117</v>
      </c>
      <c r="K314" s="192" t="s">
        <v>3113</v>
      </c>
    </row>
    <row r="315" spans="1:11" s="193" customFormat="1" ht="18.75">
      <c r="A315" s="104">
        <v>310</v>
      </c>
      <c r="B315" s="196">
        <v>1997</v>
      </c>
      <c r="C315" s="187" t="s">
        <v>3118</v>
      </c>
      <c r="D315" s="187" t="s">
        <v>3119</v>
      </c>
      <c r="E315" s="216" t="s">
        <v>2543</v>
      </c>
      <c r="F315" s="225">
        <v>1100</v>
      </c>
      <c r="G315" s="226">
        <v>1100</v>
      </c>
      <c r="H315" s="226">
        <v>0</v>
      </c>
      <c r="I315" s="226">
        <v>1100</v>
      </c>
      <c r="J315" s="213" t="s">
        <v>3120</v>
      </c>
      <c r="K315" s="192" t="s">
        <v>3113</v>
      </c>
    </row>
    <row r="316" spans="1:11" s="193" customFormat="1" ht="18.75">
      <c r="A316" s="118">
        <v>311</v>
      </c>
      <c r="B316" s="196">
        <v>4653</v>
      </c>
      <c r="C316" s="187" t="s">
        <v>3121</v>
      </c>
      <c r="D316" s="187" t="s">
        <v>181</v>
      </c>
      <c r="E316" s="216" t="s">
        <v>2543</v>
      </c>
      <c r="F316" s="225">
        <v>1700</v>
      </c>
      <c r="G316" s="226">
        <v>1700</v>
      </c>
      <c r="H316" s="226">
        <v>0</v>
      </c>
      <c r="I316" s="226">
        <v>1700</v>
      </c>
      <c r="J316" s="94" t="s">
        <v>1328</v>
      </c>
      <c r="K316" s="192" t="s">
        <v>3113</v>
      </c>
    </row>
    <row r="317" spans="1:11" s="193" customFormat="1" ht="18.75">
      <c r="A317" s="104">
        <v>312</v>
      </c>
      <c r="B317" s="196">
        <v>4810</v>
      </c>
      <c r="C317" s="187" t="s">
        <v>2508</v>
      </c>
      <c r="D317" s="187" t="s">
        <v>2509</v>
      </c>
      <c r="E317" s="216" t="s">
        <v>2543</v>
      </c>
      <c r="F317" s="225">
        <v>2000</v>
      </c>
      <c r="G317" s="226">
        <v>2000</v>
      </c>
      <c r="H317" s="226">
        <v>0</v>
      </c>
      <c r="I317" s="226">
        <v>2000</v>
      </c>
      <c r="J317" s="94" t="s">
        <v>3122</v>
      </c>
      <c r="K317" s="192" t="s">
        <v>3113</v>
      </c>
    </row>
    <row r="318" spans="1:11" s="193" customFormat="1" ht="18.75">
      <c r="A318" s="118">
        <v>313</v>
      </c>
      <c r="B318" s="196">
        <v>5006</v>
      </c>
      <c r="C318" s="187" t="s">
        <v>2671</v>
      </c>
      <c r="D318" s="187" t="s">
        <v>464</v>
      </c>
      <c r="E318" s="216" t="s">
        <v>2543</v>
      </c>
      <c r="F318" s="225">
        <v>1900</v>
      </c>
      <c r="G318" s="226">
        <v>3800</v>
      </c>
      <c r="H318" s="226">
        <v>0</v>
      </c>
      <c r="I318" s="226">
        <v>3800</v>
      </c>
      <c r="J318" s="94" t="s">
        <v>3123</v>
      </c>
      <c r="K318" s="192" t="s">
        <v>3113</v>
      </c>
    </row>
    <row r="319" spans="1:11" s="193" customFormat="1" ht="18.75">
      <c r="A319" s="104">
        <v>314</v>
      </c>
      <c r="B319" s="196">
        <v>5036</v>
      </c>
      <c r="C319" s="187" t="s">
        <v>640</v>
      </c>
      <c r="D319" s="187" t="s">
        <v>3124</v>
      </c>
      <c r="E319" s="216" t="s">
        <v>2543</v>
      </c>
      <c r="F319" s="225">
        <v>1700</v>
      </c>
      <c r="G319" s="226">
        <v>1700</v>
      </c>
      <c r="H319" s="226">
        <v>0</v>
      </c>
      <c r="I319" s="226">
        <v>1700</v>
      </c>
      <c r="J319" s="218" t="s">
        <v>3125</v>
      </c>
      <c r="K319" s="192" t="s">
        <v>3113</v>
      </c>
    </row>
    <row r="320" spans="1:11" s="193" customFormat="1" ht="18.75">
      <c r="A320" s="118">
        <v>315</v>
      </c>
      <c r="B320" s="196">
        <v>4652</v>
      </c>
      <c r="C320" s="187" t="s">
        <v>581</v>
      </c>
      <c r="D320" s="187" t="s">
        <v>181</v>
      </c>
      <c r="E320" s="216" t="s">
        <v>3126</v>
      </c>
      <c r="F320" s="196">
        <v>2000</v>
      </c>
      <c r="G320" s="190">
        <v>0</v>
      </c>
      <c r="H320" s="190">
        <v>0</v>
      </c>
      <c r="I320" s="190">
        <v>0</v>
      </c>
      <c r="J320" s="218" t="s">
        <v>1440</v>
      </c>
      <c r="K320" s="192" t="s">
        <v>3127</v>
      </c>
    </row>
    <row r="321" spans="1:15" s="193" customFormat="1" ht="18.75">
      <c r="A321" s="104">
        <v>316</v>
      </c>
      <c r="B321" s="196">
        <v>4897</v>
      </c>
      <c r="C321" s="187" t="s">
        <v>3128</v>
      </c>
      <c r="D321" s="187" t="s">
        <v>70</v>
      </c>
      <c r="E321" s="231" t="s">
        <v>3087</v>
      </c>
      <c r="F321" s="189">
        <v>19000</v>
      </c>
      <c r="G321" s="190">
        <v>7600</v>
      </c>
      <c r="H321" s="190">
        <v>5000</v>
      </c>
      <c r="I321" s="190">
        <v>12600</v>
      </c>
      <c r="J321" s="213" t="s">
        <v>3129</v>
      </c>
      <c r="K321" s="192" t="s">
        <v>3130</v>
      </c>
    </row>
    <row r="322" spans="1:15" s="193" customFormat="1" ht="18.75">
      <c r="A322" s="118">
        <v>317</v>
      </c>
      <c r="B322" s="196">
        <v>4921</v>
      </c>
      <c r="C322" s="187" t="s">
        <v>3131</v>
      </c>
      <c r="D322" s="187" t="s">
        <v>3132</v>
      </c>
      <c r="E322" s="231" t="s">
        <v>3087</v>
      </c>
      <c r="F322" s="189">
        <v>1750</v>
      </c>
      <c r="G322" s="190">
        <v>3500</v>
      </c>
      <c r="H322" s="190">
        <v>3000</v>
      </c>
      <c r="I322" s="190">
        <v>6500</v>
      </c>
      <c r="J322" s="212" t="s">
        <v>3133</v>
      </c>
      <c r="K322" s="192" t="s">
        <v>3130</v>
      </c>
    </row>
    <row r="323" spans="1:15" s="193" customFormat="1" ht="18.75">
      <c r="A323" s="104">
        <v>318</v>
      </c>
      <c r="B323" s="196">
        <v>4661</v>
      </c>
      <c r="C323" s="187" t="s">
        <v>3134</v>
      </c>
      <c r="D323" s="187" t="s">
        <v>3135</v>
      </c>
      <c r="E323" s="216" t="s">
        <v>3136</v>
      </c>
      <c r="F323" s="189">
        <v>1900</v>
      </c>
      <c r="G323" s="190">
        <v>3800</v>
      </c>
      <c r="H323" s="190">
        <v>3000</v>
      </c>
      <c r="I323" s="190">
        <v>6800</v>
      </c>
      <c r="J323" s="232" t="s">
        <v>3137</v>
      </c>
      <c r="K323" s="192" t="s">
        <v>3130</v>
      </c>
    </row>
    <row r="324" spans="1:15" s="193" customFormat="1" ht="18.75">
      <c r="A324" s="118">
        <v>319</v>
      </c>
      <c r="B324" s="196">
        <v>4744</v>
      </c>
      <c r="C324" s="211" t="s">
        <v>3138</v>
      </c>
      <c r="D324" s="187" t="s">
        <v>3139</v>
      </c>
      <c r="E324" s="233" t="s">
        <v>432</v>
      </c>
      <c r="F324" s="189">
        <v>1900</v>
      </c>
      <c r="G324" s="190">
        <v>3800</v>
      </c>
      <c r="H324" s="190">
        <v>3000</v>
      </c>
      <c r="I324" s="190">
        <v>6800</v>
      </c>
      <c r="J324" s="213" t="s">
        <v>3140</v>
      </c>
      <c r="K324" s="192" t="s">
        <v>3130</v>
      </c>
    </row>
    <row r="325" spans="1:15" s="193" customFormat="1" ht="18.75">
      <c r="A325" s="104">
        <v>320</v>
      </c>
      <c r="B325" s="196">
        <v>4910</v>
      </c>
      <c r="C325" s="211" t="s">
        <v>990</v>
      </c>
      <c r="D325" s="187" t="s">
        <v>3141</v>
      </c>
      <c r="E325" s="233" t="s">
        <v>432</v>
      </c>
      <c r="F325" s="189">
        <v>1900</v>
      </c>
      <c r="G325" s="190">
        <v>3800</v>
      </c>
      <c r="H325" s="190">
        <v>3000</v>
      </c>
      <c r="I325" s="190">
        <v>6800</v>
      </c>
      <c r="J325" s="213" t="s">
        <v>3140</v>
      </c>
      <c r="K325" s="192" t="s">
        <v>3130</v>
      </c>
    </row>
    <row r="326" spans="1:15" s="193" customFormat="1" ht="18.75">
      <c r="A326" s="118">
        <v>321</v>
      </c>
      <c r="B326" s="196">
        <v>4911</v>
      </c>
      <c r="C326" s="211" t="s">
        <v>3142</v>
      </c>
      <c r="D326" s="187" t="s">
        <v>3141</v>
      </c>
      <c r="E326" s="233" t="s">
        <v>432</v>
      </c>
      <c r="F326" s="189">
        <v>1000</v>
      </c>
      <c r="G326" s="190">
        <v>2000</v>
      </c>
      <c r="H326" s="190">
        <v>3000</v>
      </c>
      <c r="I326" s="190">
        <v>5000</v>
      </c>
      <c r="J326" s="213" t="s">
        <v>3143</v>
      </c>
      <c r="K326" s="192" t="s">
        <v>3130</v>
      </c>
    </row>
    <row r="327" spans="1:15" s="193" customFormat="1" ht="18.75">
      <c r="A327" s="104">
        <v>322</v>
      </c>
      <c r="B327" s="196">
        <v>5067</v>
      </c>
      <c r="C327" s="211" t="s">
        <v>3144</v>
      </c>
      <c r="D327" s="187" t="s">
        <v>3145</v>
      </c>
      <c r="E327" s="233" t="s">
        <v>432</v>
      </c>
      <c r="F327" s="189">
        <v>500</v>
      </c>
      <c r="G327" s="190">
        <v>2000</v>
      </c>
      <c r="H327" s="190">
        <v>3000</v>
      </c>
      <c r="I327" s="190">
        <v>5000</v>
      </c>
      <c r="J327" s="213" t="s">
        <v>3146</v>
      </c>
      <c r="K327" s="192" t="s">
        <v>3130</v>
      </c>
      <c r="O327" s="193">
        <f>SUM(O296:O325)</f>
        <v>0</v>
      </c>
    </row>
    <row r="328" spans="1:15" s="193" customFormat="1" ht="18.75">
      <c r="A328" s="118">
        <v>323</v>
      </c>
      <c r="B328" s="196">
        <v>1875</v>
      </c>
      <c r="C328" s="187" t="s">
        <v>640</v>
      </c>
      <c r="D328" s="187" t="s">
        <v>3147</v>
      </c>
      <c r="E328" s="216" t="s">
        <v>3108</v>
      </c>
      <c r="F328" s="189">
        <v>2100</v>
      </c>
      <c r="G328" s="190">
        <v>4200</v>
      </c>
      <c r="H328" s="190">
        <v>3000</v>
      </c>
      <c r="I328" s="190">
        <v>7200</v>
      </c>
      <c r="J328" s="217" t="s">
        <v>3148</v>
      </c>
      <c r="K328" s="192" t="s">
        <v>3130</v>
      </c>
    </row>
    <row r="329" spans="1:15" s="193" customFormat="1" ht="18.75">
      <c r="A329" s="104">
        <v>324</v>
      </c>
      <c r="B329" s="196">
        <v>4476</v>
      </c>
      <c r="C329" s="187" t="s">
        <v>3149</v>
      </c>
      <c r="D329" s="187" t="s">
        <v>263</v>
      </c>
      <c r="E329" s="216" t="s">
        <v>3108</v>
      </c>
      <c r="F329" s="189">
        <v>2100</v>
      </c>
      <c r="G329" s="190">
        <v>4200</v>
      </c>
      <c r="H329" s="190">
        <v>3000</v>
      </c>
      <c r="I329" s="190">
        <v>7200</v>
      </c>
      <c r="J329" s="218" t="s">
        <v>264</v>
      </c>
      <c r="K329" s="192" t="s">
        <v>3130</v>
      </c>
    </row>
    <row r="330" spans="1:15" s="193" customFormat="1" ht="18.75">
      <c r="A330" s="118">
        <v>325</v>
      </c>
      <c r="B330" s="196">
        <v>4654</v>
      </c>
      <c r="C330" s="187" t="s">
        <v>3150</v>
      </c>
      <c r="D330" s="187" t="s">
        <v>181</v>
      </c>
      <c r="E330" s="216" t="s">
        <v>3108</v>
      </c>
      <c r="F330" s="189">
        <v>1700</v>
      </c>
      <c r="G330" s="190">
        <v>3400</v>
      </c>
      <c r="H330" s="190">
        <v>3000</v>
      </c>
      <c r="I330" s="190">
        <v>6400</v>
      </c>
      <c r="J330" s="212" t="s">
        <v>1440</v>
      </c>
      <c r="K330" s="192" t="s">
        <v>3130</v>
      </c>
    </row>
    <row r="331" spans="1:15" s="193" customFormat="1" ht="18.75">
      <c r="A331" s="104">
        <v>326</v>
      </c>
      <c r="B331" s="196">
        <v>6013</v>
      </c>
      <c r="C331" s="187" t="s">
        <v>1696</v>
      </c>
      <c r="D331" s="187" t="s">
        <v>3151</v>
      </c>
      <c r="E331" s="216" t="s">
        <v>3108</v>
      </c>
      <c r="F331" s="196">
        <v>2100</v>
      </c>
      <c r="G331" s="190">
        <v>2100</v>
      </c>
      <c r="H331" s="190">
        <v>2100</v>
      </c>
      <c r="I331" s="190">
        <v>2100</v>
      </c>
      <c r="J331" s="212" t="s">
        <v>2308</v>
      </c>
      <c r="K331" s="192" t="s">
        <v>3130</v>
      </c>
    </row>
    <row r="332" spans="1:15" s="193" customFormat="1" ht="18.75">
      <c r="A332" s="118">
        <v>327</v>
      </c>
      <c r="B332" s="196">
        <v>1972</v>
      </c>
      <c r="C332" s="187" t="s">
        <v>3152</v>
      </c>
      <c r="D332" s="187" t="s">
        <v>3153</v>
      </c>
      <c r="E332" s="216" t="s">
        <v>2526</v>
      </c>
      <c r="F332" s="189">
        <v>1900</v>
      </c>
      <c r="G332" s="190">
        <v>3800</v>
      </c>
      <c r="H332" s="190">
        <v>3000</v>
      </c>
      <c r="I332" s="190">
        <v>6800</v>
      </c>
      <c r="J332" s="217" t="s">
        <v>3154</v>
      </c>
      <c r="K332" s="192" t="s">
        <v>3130</v>
      </c>
    </row>
    <row r="333" spans="1:15" s="193" customFormat="1" ht="18.75">
      <c r="A333" s="104">
        <v>328</v>
      </c>
      <c r="B333" s="196">
        <v>4300</v>
      </c>
      <c r="C333" s="187" t="s">
        <v>3155</v>
      </c>
      <c r="D333" s="187" t="s">
        <v>3156</v>
      </c>
      <c r="E333" s="216" t="s">
        <v>2526</v>
      </c>
      <c r="F333" s="189">
        <v>1900</v>
      </c>
      <c r="G333" s="190">
        <v>3800</v>
      </c>
      <c r="H333" s="190">
        <v>3000</v>
      </c>
      <c r="I333" s="190">
        <v>6800</v>
      </c>
      <c r="J333" s="94" t="s">
        <v>2809</v>
      </c>
      <c r="K333" s="192" t="s">
        <v>3130</v>
      </c>
    </row>
    <row r="334" spans="1:15" s="193" customFormat="1" ht="36">
      <c r="A334" s="118">
        <v>329</v>
      </c>
      <c r="B334" s="198">
        <v>4715</v>
      </c>
      <c r="C334" s="209" t="s">
        <v>3157</v>
      </c>
      <c r="D334" s="209" t="s">
        <v>3158</v>
      </c>
      <c r="E334" s="227" t="s">
        <v>2526</v>
      </c>
      <c r="F334" s="206">
        <v>1900</v>
      </c>
      <c r="G334" s="207">
        <v>3800</v>
      </c>
      <c r="H334" s="207">
        <v>3000</v>
      </c>
      <c r="I334" s="207">
        <v>6800</v>
      </c>
      <c r="J334" s="232" t="s">
        <v>3159</v>
      </c>
      <c r="K334" s="206" t="s">
        <v>3130</v>
      </c>
    </row>
    <row r="335" spans="1:15" s="193" customFormat="1" ht="18.75">
      <c r="A335" s="104">
        <v>330</v>
      </c>
      <c r="B335" s="196">
        <v>4900</v>
      </c>
      <c r="C335" s="187" t="s">
        <v>3160</v>
      </c>
      <c r="D335" s="187" t="s">
        <v>2110</v>
      </c>
      <c r="E335" s="216" t="s">
        <v>2526</v>
      </c>
      <c r="F335" s="189">
        <v>1000</v>
      </c>
      <c r="G335" s="190">
        <v>1000</v>
      </c>
      <c r="H335" s="190">
        <v>3000</v>
      </c>
      <c r="I335" s="190">
        <v>4000</v>
      </c>
      <c r="J335" s="94" t="s">
        <v>3161</v>
      </c>
      <c r="K335" s="192" t="s">
        <v>3130</v>
      </c>
    </row>
    <row r="336" spans="1:15" s="193" customFormat="1" ht="18.75">
      <c r="A336" s="118">
        <v>331</v>
      </c>
      <c r="B336" s="196">
        <v>4903</v>
      </c>
      <c r="C336" s="187" t="s">
        <v>3162</v>
      </c>
      <c r="D336" s="187" t="s">
        <v>70</v>
      </c>
      <c r="E336" s="216" t="s">
        <v>2526</v>
      </c>
      <c r="F336" s="189">
        <v>1900</v>
      </c>
      <c r="G336" s="190">
        <v>7600</v>
      </c>
      <c r="H336" s="190">
        <v>4000</v>
      </c>
      <c r="I336" s="190">
        <v>11600</v>
      </c>
      <c r="J336" s="218" t="s">
        <v>3101</v>
      </c>
      <c r="K336" s="192" t="s">
        <v>3130</v>
      </c>
    </row>
    <row r="337" spans="1:11" s="193" customFormat="1" ht="18.75">
      <c r="A337" s="104">
        <v>332</v>
      </c>
      <c r="B337" s="196">
        <v>3058</v>
      </c>
      <c r="C337" s="187" t="s">
        <v>1700</v>
      </c>
      <c r="D337" s="187" t="s">
        <v>1701</v>
      </c>
      <c r="E337" s="216" t="s">
        <v>1327</v>
      </c>
      <c r="F337" s="189">
        <v>1900</v>
      </c>
      <c r="G337" s="190">
        <v>3800</v>
      </c>
      <c r="H337" s="190">
        <v>3000</v>
      </c>
      <c r="I337" s="190">
        <v>3000</v>
      </c>
      <c r="J337" s="94" t="s">
        <v>1702</v>
      </c>
      <c r="K337" s="192" t="s">
        <v>3130</v>
      </c>
    </row>
    <row r="338" spans="1:11" s="193" customFormat="1" ht="18.75">
      <c r="A338" s="118">
        <v>333</v>
      </c>
      <c r="B338" s="196">
        <v>4770</v>
      </c>
      <c r="C338" s="187" t="s">
        <v>3163</v>
      </c>
      <c r="D338" s="187" t="s">
        <v>3164</v>
      </c>
      <c r="E338" s="216" t="s">
        <v>1327</v>
      </c>
      <c r="F338" s="189">
        <v>1100</v>
      </c>
      <c r="G338" s="190">
        <v>2200</v>
      </c>
      <c r="H338" s="190">
        <v>3000</v>
      </c>
      <c r="I338" s="190">
        <v>5200</v>
      </c>
      <c r="J338" s="94" t="s">
        <v>3165</v>
      </c>
      <c r="K338" s="192" t="s">
        <v>3130</v>
      </c>
    </row>
    <row r="339" spans="1:11" s="193" customFormat="1" ht="18.75">
      <c r="A339" s="104">
        <v>334</v>
      </c>
      <c r="B339" s="196">
        <v>4781</v>
      </c>
      <c r="C339" s="187" t="s">
        <v>3166</v>
      </c>
      <c r="D339" s="187" t="s">
        <v>92</v>
      </c>
      <c r="E339" s="216" t="s">
        <v>1327</v>
      </c>
      <c r="F339" s="189">
        <v>1900</v>
      </c>
      <c r="G339" s="190">
        <v>3800</v>
      </c>
      <c r="H339" s="190">
        <v>5000</v>
      </c>
      <c r="I339" s="190">
        <v>11800</v>
      </c>
      <c r="J339" s="94" t="s">
        <v>3167</v>
      </c>
      <c r="K339" s="192" t="s">
        <v>3130</v>
      </c>
    </row>
    <row r="340" spans="1:11" s="193" customFormat="1" ht="36">
      <c r="A340" s="118">
        <v>335</v>
      </c>
      <c r="B340" s="198">
        <v>4827</v>
      </c>
      <c r="C340" s="209" t="s">
        <v>3168</v>
      </c>
      <c r="D340" s="209" t="s">
        <v>3169</v>
      </c>
      <c r="E340" s="227" t="s">
        <v>1327</v>
      </c>
      <c r="F340" s="206">
        <v>1900</v>
      </c>
      <c r="G340" s="207">
        <v>0</v>
      </c>
      <c r="H340" s="207">
        <v>3000</v>
      </c>
      <c r="I340" s="207">
        <v>3000</v>
      </c>
      <c r="J340" s="232" t="s">
        <v>3170</v>
      </c>
      <c r="K340" s="206" t="s">
        <v>3130</v>
      </c>
    </row>
    <row r="341" spans="1:11" s="193" customFormat="1" ht="18.75">
      <c r="A341" s="104">
        <v>336</v>
      </c>
      <c r="B341" s="196">
        <v>5043</v>
      </c>
      <c r="C341" s="187" t="s">
        <v>3171</v>
      </c>
      <c r="D341" s="187" t="s">
        <v>3096</v>
      </c>
      <c r="E341" s="216" t="s">
        <v>1327</v>
      </c>
      <c r="F341" s="189">
        <v>1900</v>
      </c>
      <c r="G341" s="190">
        <v>3800</v>
      </c>
      <c r="H341" s="190">
        <v>3000</v>
      </c>
      <c r="I341" s="190">
        <v>6800</v>
      </c>
      <c r="J341" s="94" t="s">
        <v>3097</v>
      </c>
      <c r="K341" s="192" t="s">
        <v>3130</v>
      </c>
    </row>
    <row r="342" spans="1:11" s="193" customFormat="1" ht="18.75">
      <c r="A342" s="118">
        <v>337</v>
      </c>
      <c r="B342" s="196">
        <v>5069</v>
      </c>
      <c r="C342" s="187" t="s">
        <v>3172</v>
      </c>
      <c r="D342" s="187" t="s">
        <v>3145</v>
      </c>
      <c r="E342" s="216" t="s">
        <v>3173</v>
      </c>
      <c r="F342" s="189">
        <v>1900</v>
      </c>
      <c r="G342" s="190">
        <v>5700</v>
      </c>
      <c r="H342" s="190">
        <v>3000</v>
      </c>
      <c r="I342" s="190">
        <v>8700</v>
      </c>
      <c r="J342" s="234" t="s">
        <v>3174</v>
      </c>
      <c r="K342" s="192" t="s">
        <v>3130</v>
      </c>
    </row>
    <row r="343" spans="1:11" s="193" customFormat="1" ht="18.75">
      <c r="A343" s="104">
        <v>338</v>
      </c>
      <c r="B343" s="196">
        <v>2013</v>
      </c>
      <c r="C343" s="187" t="s">
        <v>3175</v>
      </c>
      <c r="D343" s="187" t="s">
        <v>2189</v>
      </c>
      <c r="E343" s="216" t="s">
        <v>3060</v>
      </c>
      <c r="F343" s="196">
        <v>2000</v>
      </c>
      <c r="G343" s="196">
        <v>4000</v>
      </c>
      <c r="H343" s="196">
        <v>3000</v>
      </c>
      <c r="I343" s="235">
        <f t="shared" ref="I343:I356" si="0">SUM(G343:H343)</f>
        <v>7000</v>
      </c>
      <c r="J343" s="213" t="s">
        <v>3176</v>
      </c>
      <c r="K343" s="192" t="s">
        <v>3177</v>
      </c>
    </row>
    <row r="344" spans="1:11" s="193" customFormat="1" ht="18.75">
      <c r="A344" s="118">
        <v>339</v>
      </c>
      <c r="B344" s="196">
        <v>4091</v>
      </c>
      <c r="C344" s="187" t="s">
        <v>3178</v>
      </c>
      <c r="D344" s="187" t="s">
        <v>3179</v>
      </c>
      <c r="E344" s="216" t="s">
        <v>3060</v>
      </c>
      <c r="F344" s="196">
        <v>2000</v>
      </c>
      <c r="G344" s="196">
        <v>4000</v>
      </c>
      <c r="H344" s="196">
        <v>3000</v>
      </c>
      <c r="I344" s="235">
        <f t="shared" si="0"/>
        <v>7000</v>
      </c>
      <c r="J344" s="212" t="s">
        <v>3180</v>
      </c>
      <c r="K344" s="192" t="s">
        <v>3177</v>
      </c>
    </row>
    <row r="345" spans="1:11" s="193" customFormat="1" ht="18.75">
      <c r="A345" s="104">
        <v>340</v>
      </c>
      <c r="B345" s="196">
        <v>4614</v>
      </c>
      <c r="C345" s="187" t="s">
        <v>3181</v>
      </c>
      <c r="D345" s="187" t="s">
        <v>732</v>
      </c>
      <c r="E345" s="216" t="s">
        <v>3060</v>
      </c>
      <c r="F345" s="196">
        <v>2000</v>
      </c>
      <c r="G345" s="196">
        <v>4000</v>
      </c>
      <c r="H345" s="196">
        <v>3000</v>
      </c>
      <c r="I345" s="235">
        <f t="shared" si="0"/>
        <v>7000</v>
      </c>
      <c r="J345" s="212" t="s">
        <v>3182</v>
      </c>
      <c r="K345" s="192" t="s">
        <v>3177</v>
      </c>
    </row>
    <row r="346" spans="1:11" s="193" customFormat="1" ht="18.75">
      <c r="A346" s="118">
        <v>341</v>
      </c>
      <c r="B346" s="196">
        <v>4620</v>
      </c>
      <c r="C346" s="187" t="s">
        <v>3183</v>
      </c>
      <c r="D346" s="187" t="s">
        <v>3184</v>
      </c>
      <c r="E346" s="216" t="s">
        <v>3060</v>
      </c>
      <c r="F346" s="196">
        <v>2000</v>
      </c>
      <c r="G346" s="196">
        <v>4000</v>
      </c>
      <c r="H346" s="196">
        <v>3000</v>
      </c>
      <c r="I346" s="235">
        <f t="shared" si="0"/>
        <v>7000</v>
      </c>
      <c r="J346" s="212" t="s">
        <v>3185</v>
      </c>
      <c r="K346" s="192" t="s">
        <v>3177</v>
      </c>
    </row>
    <row r="347" spans="1:11" s="193" customFormat="1" ht="18.75">
      <c r="A347" s="104">
        <v>342</v>
      </c>
      <c r="B347" s="13">
        <v>579</v>
      </c>
      <c r="C347" s="9" t="s">
        <v>3186</v>
      </c>
      <c r="D347" s="9" t="s">
        <v>3187</v>
      </c>
      <c r="E347" s="85" t="s">
        <v>3126</v>
      </c>
      <c r="F347" s="13">
        <v>2000</v>
      </c>
      <c r="G347" s="13">
        <v>2000</v>
      </c>
      <c r="H347" s="13">
        <v>0</v>
      </c>
      <c r="I347" s="32">
        <f t="shared" si="0"/>
        <v>2000</v>
      </c>
      <c r="J347" s="91" t="s">
        <v>3188</v>
      </c>
      <c r="K347" s="192" t="s">
        <v>3177</v>
      </c>
    </row>
    <row r="348" spans="1:11" s="193" customFormat="1" ht="18.75">
      <c r="A348" s="118">
        <v>343</v>
      </c>
      <c r="B348" s="13">
        <v>4916</v>
      </c>
      <c r="C348" s="9" t="s">
        <v>41</v>
      </c>
      <c r="D348" s="9" t="s">
        <v>1055</v>
      </c>
      <c r="E348" s="85" t="s">
        <v>3126</v>
      </c>
      <c r="F348" s="13">
        <v>2200</v>
      </c>
      <c r="G348" s="13">
        <v>2200</v>
      </c>
      <c r="H348" s="13">
        <v>3000</v>
      </c>
      <c r="I348" s="32">
        <f t="shared" si="0"/>
        <v>5200</v>
      </c>
      <c r="J348" s="91" t="s">
        <v>3189</v>
      </c>
      <c r="K348" s="192" t="s">
        <v>3177</v>
      </c>
    </row>
    <row r="349" spans="1:11" s="193" customFormat="1" ht="18.75">
      <c r="A349" s="104">
        <v>344</v>
      </c>
      <c r="B349" s="196">
        <v>6017</v>
      </c>
      <c r="C349" s="187" t="s">
        <v>3190</v>
      </c>
      <c r="D349" s="187" t="s">
        <v>3191</v>
      </c>
      <c r="E349" s="216" t="s">
        <v>2543</v>
      </c>
      <c r="F349" s="196">
        <v>2000</v>
      </c>
      <c r="G349" s="196">
        <v>2000</v>
      </c>
      <c r="H349" s="196">
        <v>0</v>
      </c>
      <c r="I349" s="235">
        <f t="shared" si="0"/>
        <v>2000</v>
      </c>
      <c r="J349" s="94" t="s">
        <v>3192</v>
      </c>
      <c r="K349" s="192" t="s">
        <v>3177</v>
      </c>
    </row>
    <row r="350" spans="1:11" s="193" customFormat="1" ht="36">
      <c r="A350" s="118">
        <v>345</v>
      </c>
      <c r="B350" s="198">
        <v>4828</v>
      </c>
      <c r="C350" s="209" t="s">
        <v>3193</v>
      </c>
      <c r="D350" s="209" t="s">
        <v>3194</v>
      </c>
      <c r="E350" s="227" t="s">
        <v>3108</v>
      </c>
      <c r="F350" s="198">
        <v>1000</v>
      </c>
      <c r="G350" s="198">
        <v>2000</v>
      </c>
      <c r="H350" s="198">
        <v>3000</v>
      </c>
      <c r="I350" s="236">
        <f t="shared" si="0"/>
        <v>5000</v>
      </c>
      <c r="J350" s="237" t="s">
        <v>3170</v>
      </c>
      <c r="K350" s="206" t="s">
        <v>3177</v>
      </c>
    </row>
    <row r="351" spans="1:11" s="193" customFormat="1" ht="24.95" customHeight="1">
      <c r="A351" s="104">
        <v>346</v>
      </c>
      <c r="B351" s="196">
        <v>4763</v>
      </c>
      <c r="C351" s="187" t="s">
        <v>146</v>
      </c>
      <c r="D351" s="187" t="s">
        <v>3195</v>
      </c>
      <c r="E351" s="216" t="s">
        <v>3126</v>
      </c>
      <c r="F351" s="196">
        <v>1100</v>
      </c>
      <c r="G351" s="196">
        <v>1100</v>
      </c>
      <c r="H351" s="196">
        <v>3000</v>
      </c>
      <c r="I351" s="235">
        <f t="shared" si="0"/>
        <v>4100</v>
      </c>
      <c r="J351" s="230" t="s">
        <v>3196</v>
      </c>
      <c r="K351" s="192" t="s">
        <v>3177</v>
      </c>
    </row>
    <row r="352" spans="1:11" s="193" customFormat="1" ht="24.95" customHeight="1">
      <c r="A352" s="118">
        <v>347</v>
      </c>
      <c r="B352" s="196">
        <v>4976</v>
      </c>
      <c r="C352" s="187" t="s">
        <v>94</v>
      </c>
      <c r="D352" s="187" t="s">
        <v>3197</v>
      </c>
      <c r="E352" s="216" t="s">
        <v>3126</v>
      </c>
      <c r="F352" s="196">
        <v>2200</v>
      </c>
      <c r="G352" s="196">
        <v>4400</v>
      </c>
      <c r="H352" s="196">
        <v>3000</v>
      </c>
      <c r="I352" s="235">
        <f t="shared" si="0"/>
        <v>7400</v>
      </c>
      <c r="J352" s="238" t="s">
        <v>3198</v>
      </c>
      <c r="K352" s="192" t="s">
        <v>3177</v>
      </c>
    </row>
    <row r="353" spans="1:12" s="193" customFormat="1" ht="18.75">
      <c r="A353" s="104">
        <v>348</v>
      </c>
      <c r="B353" s="239">
        <v>5091</v>
      </c>
      <c r="C353" s="240" t="s">
        <v>734</v>
      </c>
      <c r="D353" s="215" t="s">
        <v>3199</v>
      </c>
      <c r="E353" s="231" t="s">
        <v>3200</v>
      </c>
      <c r="F353" s="241">
        <v>1500</v>
      </c>
      <c r="G353" s="242">
        <v>7500</v>
      </c>
      <c r="H353" s="235">
        <v>3000</v>
      </c>
      <c r="I353" s="235">
        <f t="shared" si="0"/>
        <v>10500</v>
      </c>
      <c r="J353" s="223" t="s">
        <v>3201</v>
      </c>
      <c r="K353" s="192" t="s">
        <v>3177</v>
      </c>
    </row>
    <row r="354" spans="1:12" s="193" customFormat="1" ht="18.75">
      <c r="A354" s="118">
        <v>349</v>
      </c>
      <c r="B354" s="239">
        <v>5092</v>
      </c>
      <c r="C354" s="240" t="s">
        <v>3202</v>
      </c>
      <c r="D354" s="215" t="s">
        <v>3199</v>
      </c>
      <c r="E354" s="231" t="s">
        <v>3200</v>
      </c>
      <c r="F354" s="241">
        <v>1500</v>
      </c>
      <c r="G354" s="241">
        <v>7500</v>
      </c>
      <c r="H354" s="235">
        <v>3000</v>
      </c>
      <c r="I354" s="235">
        <f t="shared" si="0"/>
        <v>10500</v>
      </c>
      <c r="J354" s="223" t="s">
        <v>3201</v>
      </c>
      <c r="K354" s="192" t="s">
        <v>3177</v>
      </c>
      <c r="L354" s="243"/>
    </row>
    <row r="355" spans="1:12" s="193" customFormat="1" ht="18.75">
      <c r="A355" s="104">
        <v>350</v>
      </c>
      <c r="B355" s="185">
        <v>5014</v>
      </c>
      <c r="C355" s="186" t="s">
        <v>3203</v>
      </c>
      <c r="D355" s="187" t="s">
        <v>3204</v>
      </c>
      <c r="E355" s="231" t="s">
        <v>3200</v>
      </c>
      <c r="F355" s="235">
        <v>1900</v>
      </c>
      <c r="G355" s="235">
        <v>3800</v>
      </c>
      <c r="H355" s="235">
        <v>3000</v>
      </c>
      <c r="I355" s="235">
        <f t="shared" si="0"/>
        <v>6800</v>
      </c>
      <c r="J355" s="212" t="s">
        <v>3205</v>
      </c>
      <c r="K355" s="192" t="s">
        <v>3177</v>
      </c>
    </row>
    <row r="356" spans="1:12" ht="18.75">
      <c r="A356" s="118">
        <v>351</v>
      </c>
      <c r="B356" s="185">
        <v>5015</v>
      </c>
      <c r="C356" s="186" t="s">
        <v>3206</v>
      </c>
      <c r="D356" s="187" t="s">
        <v>3204</v>
      </c>
      <c r="E356" s="231" t="s">
        <v>3200</v>
      </c>
      <c r="F356" s="235">
        <v>1000</v>
      </c>
      <c r="G356" s="235">
        <v>2000</v>
      </c>
      <c r="H356" s="235">
        <v>3000</v>
      </c>
      <c r="I356" s="235">
        <f t="shared" si="0"/>
        <v>5000</v>
      </c>
      <c r="J356" s="212" t="s">
        <v>3207</v>
      </c>
      <c r="K356" s="192" t="s">
        <v>3177</v>
      </c>
      <c r="L356" s="193"/>
    </row>
    <row r="357" spans="1:12" ht="18.75">
      <c r="A357" s="104">
        <v>352</v>
      </c>
      <c r="B357" s="13">
        <v>4918</v>
      </c>
      <c r="C357" s="47" t="s">
        <v>3208</v>
      </c>
      <c r="D357" s="9" t="s">
        <v>1652</v>
      </c>
      <c r="E357" s="244" t="s">
        <v>3209</v>
      </c>
      <c r="F357" s="225">
        <v>0</v>
      </c>
      <c r="G357" s="226"/>
      <c r="H357" s="226">
        <v>3000</v>
      </c>
      <c r="I357" s="226">
        <v>3000</v>
      </c>
      <c r="J357" s="226"/>
      <c r="K357" s="245" t="s">
        <v>3210</v>
      </c>
      <c r="L357" s="193"/>
    </row>
    <row r="358" spans="1:12" ht="18.75">
      <c r="A358" s="118">
        <v>353</v>
      </c>
      <c r="B358" s="128">
        <v>4896</v>
      </c>
      <c r="C358" s="31" t="s">
        <v>3211</v>
      </c>
      <c r="D358" s="9" t="s">
        <v>70</v>
      </c>
      <c r="E358" s="244" t="s">
        <v>3209</v>
      </c>
      <c r="F358" s="12">
        <v>0</v>
      </c>
      <c r="G358" s="104"/>
      <c r="H358" s="104">
        <v>3000</v>
      </c>
      <c r="I358" s="104">
        <v>3000</v>
      </c>
      <c r="J358" s="23" t="s">
        <v>3101</v>
      </c>
      <c r="K358" s="245" t="s">
        <v>3210</v>
      </c>
    </row>
    <row r="359" spans="1:12" ht="18.75">
      <c r="A359" s="104">
        <v>354</v>
      </c>
      <c r="B359" s="76">
        <v>4779</v>
      </c>
      <c r="C359" s="246" t="s">
        <v>3212</v>
      </c>
      <c r="D359" s="87" t="s">
        <v>92</v>
      </c>
      <c r="E359" s="85" t="s">
        <v>577</v>
      </c>
      <c r="F359" s="12">
        <v>0</v>
      </c>
      <c r="G359" s="104"/>
      <c r="H359" s="78">
        <v>5000</v>
      </c>
      <c r="I359" s="32">
        <f>SUM(C359:H359)</f>
        <v>5000</v>
      </c>
      <c r="J359" s="77" t="s">
        <v>3213</v>
      </c>
      <c r="K359" s="245" t="s">
        <v>3210</v>
      </c>
    </row>
    <row r="360" spans="1:12" ht="18.75">
      <c r="A360" s="118">
        <v>355</v>
      </c>
      <c r="B360" s="13">
        <v>6027</v>
      </c>
      <c r="C360" s="9" t="s">
        <v>3214</v>
      </c>
      <c r="D360" s="9" t="s">
        <v>3191</v>
      </c>
      <c r="E360" s="85" t="s">
        <v>2457</v>
      </c>
      <c r="F360" s="12">
        <v>950</v>
      </c>
      <c r="G360" s="104">
        <v>950</v>
      </c>
      <c r="H360" s="104">
        <v>0</v>
      </c>
      <c r="I360" s="104">
        <v>0</v>
      </c>
      <c r="J360" s="72" t="s">
        <v>3192</v>
      </c>
      <c r="K360" s="245" t="s">
        <v>3210</v>
      </c>
    </row>
    <row r="361" spans="1:12" ht="18.75">
      <c r="A361" s="104">
        <v>356</v>
      </c>
      <c r="B361" s="13">
        <v>5034</v>
      </c>
      <c r="C361" s="9" t="s">
        <v>3215</v>
      </c>
      <c r="D361" s="9" t="s">
        <v>3216</v>
      </c>
      <c r="E361" s="85" t="s">
        <v>2472</v>
      </c>
      <c r="F361" s="12">
        <v>1600</v>
      </c>
      <c r="G361" s="104">
        <v>4800</v>
      </c>
      <c r="H361" s="104">
        <v>3000</v>
      </c>
      <c r="I361" s="104">
        <v>7800</v>
      </c>
      <c r="J361" s="15" t="s">
        <v>3217</v>
      </c>
      <c r="K361" s="245" t="s">
        <v>3210</v>
      </c>
    </row>
    <row r="362" spans="1:12" ht="18.75">
      <c r="A362" s="118">
        <v>357</v>
      </c>
      <c r="B362" s="13">
        <v>4621</v>
      </c>
      <c r="C362" s="9" t="s">
        <v>3218</v>
      </c>
      <c r="D362" s="9" t="s">
        <v>3219</v>
      </c>
      <c r="E362" s="85" t="s">
        <v>3220</v>
      </c>
      <c r="F362" s="12">
        <v>1900</v>
      </c>
      <c r="G362" s="104">
        <v>3800</v>
      </c>
      <c r="H362" s="104">
        <v>3000</v>
      </c>
      <c r="I362" s="104">
        <v>6800</v>
      </c>
      <c r="J362" s="15" t="s">
        <v>3221</v>
      </c>
      <c r="K362" s="245" t="s">
        <v>3210</v>
      </c>
    </row>
    <row r="363" spans="1:12" ht="18.75">
      <c r="A363" s="104">
        <v>358</v>
      </c>
      <c r="B363" s="60">
        <v>6019</v>
      </c>
      <c r="C363" s="9" t="s">
        <v>3222</v>
      </c>
      <c r="D363" s="63" t="s">
        <v>3223</v>
      </c>
      <c r="E363" s="85" t="s">
        <v>3173</v>
      </c>
      <c r="F363" s="12">
        <v>1900</v>
      </c>
      <c r="G363" s="104">
        <v>1900</v>
      </c>
      <c r="H363" s="104">
        <v>0</v>
      </c>
      <c r="I363" s="104">
        <v>1900</v>
      </c>
      <c r="J363" s="51" t="s">
        <v>3192</v>
      </c>
      <c r="K363" s="245" t="s">
        <v>3210</v>
      </c>
    </row>
    <row r="364" spans="1:12" ht="18.75">
      <c r="A364" s="118">
        <v>359</v>
      </c>
      <c r="B364" s="13">
        <v>4434</v>
      </c>
      <c r="C364" s="9" t="s">
        <v>3224</v>
      </c>
      <c r="D364" s="9" t="s">
        <v>3225</v>
      </c>
      <c r="E364" s="85" t="s">
        <v>3226</v>
      </c>
      <c r="F364" s="12">
        <v>1400</v>
      </c>
      <c r="G364" s="104">
        <v>1400</v>
      </c>
      <c r="H364" s="104">
        <v>3000</v>
      </c>
      <c r="I364" s="104">
        <v>4400</v>
      </c>
      <c r="J364" s="72" t="s">
        <v>592</v>
      </c>
      <c r="K364" s="245" t="s">
        <v>3210</v>
      </c>
    </row>
    <row r="365" spans="1:12" ht="18.75">
      <c r="A365" s="104">
        <v>360</v>
      </c>
      <c r="B365" s="13">
        <v>4616</v>
      </c>
      <c r="C365" s="9" t="s">
        <v>3227</v>
      </c>
      <c r="D365" s="9" t="s">
        <v>1872</v>
      </c>
      <c r="E365" s="85" t="s">
        <v>2543</v>
      </c>
      <c r="F365" s="12">
        <v>1900</v>
      </c>
      <c r="G365" s="104">
        <v>0</v>
      </c>
      <c r="H365" s="104">
        <v>0</v>
      </c>
      <c r="I365" s="104">
        <v>0</v>
      </c>
      <c r="J365" s="72" t="s">
        <v>3228</v>
      </c>
      <c r="K365" s="245" t="s">
        <v>3210</v>
      </c>
    </row>
    <row r="366" spans="1:12" ht="15.75">
      <c r="A366" s="118">
        <v>361</v>
      </c>
      <c r="B366" s="13">
        <v>4655</v>
      </c>
      <c r="C366" s="9" t="s">
        <v>556</v>
      </c>
      <c r="D366" s="9" t="s">
        <v>181</v>
      </c>
      <c r="E366" s="85" t="s">
        <v>3220</v>
      </c>
      <c r="F366" s="13">
        <v>0</v>
      </c>
      <c r="G366" s="104">
        <v>0</v>
      </c>
      <c r="H366" s="13">
        <v>3000</v>
      </c>
      <c r="I366" s="32">
        <f>SUM(F366:H366)</f>
        <v>3000</v>
      </c>
      <c r="J366" s="15" t="s">
        <v>2211</v>
      </c>
      <c r="K366" s="247"/>
    </row>
    <row r="367" spans="1:12" ht="15.75">
      <c r="A367" s="104">
        <v>362</v>
      </c>
      <c r="B367" s="13">
        <v>4809</v>
      </c>
      <c r="C367" s="9" t="s">
        <v>3229</v>
      </c>
      <c r="D367" s="9" t="s">
        <v>2509</v>
      </c>
      <c r="E367" s="85" t="s">
        <v>3220</v>
      </c>
      <c r="F367" s="13">
        <v>1900</v>
      </c>
      <c r="G367" s="13">
        <v>3800</v>
      </c>
      <c r="H367" s="13">
        <v>3000</v>
      </c>
      <c r="I367" s="32">
        <f>SUM(G367:H367)</f>
        <v>6800</v>
      </c>
      <c r="J367" s="72" t="s">
        <v>3230</v>
      </c>
      <c r="K367" s="247"/>
    </row>
    <row r="368" spans="1:12" ht="15.75">
      <c r="A368" s="118">
        <v>363</v>
      </c>
      <c r="B368" s="13">
        <v>4898</v>
      </c>
      <c r="C368" s="9" t="s">
        <v>3231</v>
      </c>
      <c r="D368" s="9" t="s">
        <v>70</v>
      </c>
      <c r="E368" s="85" t="s">
        <v>3220</v>
      </c>
      <c r="F368" s="13">
        <v>1000</v>
      </c>
      <c r="G368" s="248">
        <v>5000</v>
      </c>
      <c r="H368" s="13">
        <v>4000</v>
      </c>
      <c r="I368" s="32">
        <f>SUM(G368:H368)</f>
        <v>9000</v>
      </c>
      <c r="J368" s="24" t="s">
        <v>3101</v>
      </c>
      <c r="K368" s="249"/>
    </row>
    <row r="369" spans="1:11" ht="15.75">
      <c r="A369" s="104">
        <v>364</v>
      </c>
      <c r="B369" s="8">
        <v>5068</v>
      </c>
      <c r="C369" s="10" t="s">
        <v>3232</v>
      </c>
      <c r="D369" s="10" t="s">
        <v>3145</v>
      </c>
      <c r="E369" s="85" t="s">
        <v>3220</v>
      </c>
      <c r="F369" s="8">
        <v>1900</v>
      </c>
      <c r="G369" s="8">
        <v>7600</v>
      </c>
      <c r="H369" s="8">
        <v>5000</v>
      </c>
      <c r="I369" s="32">
        <f>SUM(G369:H369)</f>
        <v>12600</v>
      </c>
      <c r="J369" s="69" t="s">
        <v>3146</v>
      </c>
      <c r="K369" s="122"/>
    </row>
    <row r="370" spans="1:11" ht="15.75">
      <c r="A370" s="118">
        <v>365</v>
      </c>
      <c r="B370" s="13">
        <v>6014</v>
      </c>
      <c r="C370" s="9" t="s">
        <v>3233</v>
      </c>
      <c r="D370" s="9" t="s">
        <v>3151</v>
      </c>
      <c r="E370" s="85" t="s">
        <v>1782</v>
      </c>
      <c r="F370" s="12">
        <v>2000</v>
      </c>
      <c r="G370" s="104">
        <v>4000</v>
      </c>
      <c r="H370" s="104">
        <v>3000</v>
      </c>
      <c r="I370" s="104">
        <v>7000</v>
      </c>
      <c r="J370" s="23" t="s">
        <v>3234</v>
      </c>
      <c r="K370" s="122"/>
    </row>
    <row r="371" spans="1:11" ht="15.75">
      <c r="A371" s="104">
        <v>366</v>
      </c>
      <c r="B371" s="93">
        <v>775</v>
      </c>
      <c r="C371" s="9" t="s">
        <v>3235</v>
      </c>
      <c r="D371" s="9" t="s">
        <v>3236</v>
      </c>
      <c r="E371" s="85" t="s">
        <v>2888</v>
      </c>
      <c r="F371" s="12">
        <v>2200</v>
      </c>
      <c r="G371" s="104">
        <v>4400</v>
      </c>
      <c r="H371" s="104">
        <v>5000</v>
      </c>
      <c r="I371" s="104">
        <v>9400</v>
      </c>
      <c r="J371" s="65" t="s">
        <v>364</v>
      </c>
      <c r="K371" s="122" t="s">
        <v>3237</v>
      </c>
    </row>
    <row r="372" spans="1:11" ht="15.75">
      <c r="A372" s="118">
        <v>367</v>
      </c>
      <c r="B372" s="13">
        <v>6062</v>
      </c>
      <c r="C372" s="9" t="s">
        <v>3238</v>
      </c>
      <c r="D372" s="9" t="s">
        <v>3187</v>
      </c>
      <c r="E372" s="85" t="s">
        <v>1782</v>
      </c>
      <c r="F372" s="12">
        <v>1500</v>
      </c>
      <c r="G372" s="104">
        <v>3000</v>
      </c>
      <c r="H372" s="104">
        <v>0</v>
      </c>
      <c r="I372" s="104">
        <v>3000</v>
      </c>
      <c r="J372" s="23" t="s">
        <v>3239</v>
      </c>
      <c r="K372" s="122" t="s">
        <v>3237</v>
      </c>
    </row>
    <row r="373" spans="1:11" ht="15.75">
      <c r="A373" s="104">
        <v>368</v>
      </c>
      <c r="B373" s="128">
        <v>6033</v>
      </c>
      <c r="C373" s="31" t="s">
        <v>533</v>
      </c>
      <c r="D373" s="9" t="s">
        <v>534</v>
      </c>
      <c r="E373" s="244" t="s">
        <v>3209</v>
      </c>
      <c r="F373" s="12">
        <v>1900</v>
      </c>
      <c r="G373" s="104">
        <v>5700</v>
      </c>
      <c r="H373" s="104">
        <v>0</v>
      </c>
      <c r="I373" s="104">
        <v>5700</v>
      </c>
      <c r="J373" s="23" t="s">
        <v>3240</v>
      </c>
      <c r="K373" s="122" t="s">
        <v>3241</v>
      </c>
    </row>
    <row r="374" spans="1:11" ht="15.75">
      <c r="A374" s="118">
        <v>369</v>
      </c>
      <c r="B374" s="13">
        <v>6030</v>
      </c>
      <c r="C374" s="64" t="s">
        <v>3242</v>
      </c>
      <c r="D374" s="9" t="s">
        <v>3243</v>
      </c>
      <c r="E374" s="244" t="s">
        <v>3087</v>
      </c>
      <c r="F374" s="12">
        <v>1900</v>
      </c>
      <c r="G374" s="104">
        <v>3800</v>
      </c>
      <c r="H374" s="104">
        <v>2000</v>
      </c>
      <c r="I374" s="104">
        <v>5800</v>
      </c>
      <c r="J374" s="24" t="s">
        <v>3244</v>
      </c>
      <c r="K374" s="122" t="s">
        <v>3241</v>
      </c>
    </row>
    <row r="375" spans="1:11" ht="15.75">
      <c r="A375" s="104">
        <v>370</v>
      </c>
      <c r="B375" s="13">
        <v>4986</v>
      </c>
      <c r="C375" s="9" t="s">
        <v>3245</v>
      </c>
      <c r="D375" s="9" t="s">
        <v>3246</v>
      </c>
      <c r="E375" s="85" t="s">
        <v>3136</v>
      </c>
      <c r="F375" s="12">
        <v>1600</v>
      </c>
      <c r="G375" s="104">
        <v>3200</v>
      </c>
      <c r="H375" s="104">
        <v>1500</v>
      </c>
      <c r="I375" s="104">
        <v>4700</v>
      </c>
      <c r="J375" s="15" t="s">
        <v>3247</v>
      </c>
      <c r="K375" s="122" t="s">
        <v>3241</v>
      </c>
    </row>
    <row r="376" spans="1:11" ht="30">
      <c r="A376" s="118">
        <v>371</v>
      </c>
      <c r="B376" s="93">
        <v>4597</v>
      </c>
      <c r="C376" s="9" t="s">
        <v>3248</v>
      </c>
      <c r="D376" s="9" t="s">
        <v>1458</v>
      </c>
      <c r="E376" s="85" t="s">
        <v>3126</v>
      </c>
      <c r="F376" s="12">
        <v>1100</v>
      </c>
      <c r="G376" s="104">
        <v>0</v>
      </c>
      <c r="H376" s="104">
        <v>0</v>
      </c>
      <c r="I376" s="104">
        <v>0</v>
      </c>
      <c r="J376" s="250" t="s">
        <v>3249</v>
      </c>
      <c r="K376" s="122" t="s">
        <v>3241</v>
      </c>
    </row>
    <row r="377" spans="1:11" ht="15.75">
      <c r="A377" s="104">
        <v>372</v>
      </c>
      <c r="B377" s="13">
        <v>740</v>
      </c>
      <c r="C377" s="9" t="s">
        <v>1275</v>
      </c>
      <c r="D377" s="9" t="s">
        <v>2359</v>
      </c>
      <c r="E377" s="85" t="s">
        <v>2251</v>
      </c>
      <c r="F377" s="12">
        <v>2200</v>
      </c>
      <c r="G377" s="104">
        <v>0</v>
      </c>
      <c r="H377" s="104">
        <v>3000</v>
      </c>
      <c r="I377" s="104">
        <v>3000</v>
      </c>
      <c r="J377" s="23" t="s">
        <v>3250</v>
      </c>
      <c r="K377" s="122" t="s">
        <v>3241</v>
      </c>
    </row>
    <row r="378" spans="1:11" ht="15.75">
      <c r="A378" s="118">
        <v>373</v>
      </c>
      <c r="B378" s="13">
        <v>575</v>
      </c>
      <c r="C378" s="9" t="s">
        <v>3251</v>
      </c>
      <c r="D378" s="9" t="s">
        <v>3252</v>
      </c>
      <c r="E378" s="85" t="s">
        <v>3126</v>
      </c>
      <c r="F378" s="12">
        <v>2200</v>
      </c>
      <c r="G378" s="104">
        <v>0</v>
      </c>
      <c r="H378" s="104">
        <v>0</v>
      </c>
      <c r="I378" s="104">
        <v>0</v>
      </c>
      <c r="J378" s="91" t="s">
        <v>3253</v>
      </c>
      <c r="K378" s="122" t="s">
        <v>3254</v>
      </c>
    </row>
    <row r="379" spans="1:11" ht="15.75">
      <c r="A379" s="104">
        <v>374</v>
      </c>
      <c r="B379" s="93">
        <v>568</v>
      </c>
      <c r="C379" s="10" t="s">
        <v>615</v>
      </c>
      <c r="D379" s="9" t="s">
        <v>3255</v>
      </c>
      <c r="E379" s="85" t="s">
        <v>3256</v>
      </c>
      <c r="F379" s="12">
        <v>1900</v>
      </c>
      <c r="G379" s="104">
        <v>9500</v>
      </c>
      <c r="H379" s="104">
        <v>5000</v>
      </c>
      <c r="I379" s="104">
        <v>14500</v>
      </c>
      <c r="J379" s="65" t="s">
        <v>506</v>
      </c>
      <c r="K379" s="122" t="s">
        <v>3254</v>
      </c>
    </row>
    <row r="380" spans="1:11" ht="15.75">
      <c r="A380" s="118">
        <v>375</v>
      </c>
      <c r="B380" s="13">
        <v>4712</v>
      </c>
      <c r="C380" s="9" t="s">
        <v>3257</v>
      </c>
      <c r="D380" s="9" t="s">
        <v>3258</v>
      </c>
      <c r="E380" s="85" t="s">
        <v>1782</v>
      </c>
      <c r="F380" s="12">
        <v>2000</v>
      </c>
      <c r="G380" s="104">
        <v>4000</v>
      </c>
      <c r="H380" s="104">
        <v>3000</v>
      </c>
      <c r="I380" s="104">
        <v>7000</v>
      </c>
      <c r="J380" s="24" t="s">
        <v>3259</v>
      </c>
      <c r="K380" s="122" t="s">
        <v>3254</v>
      </c>
    </row>
    <row r="381" spans="1:11" ht="15.75">
      <c r="A381" s="104">
        <v>376</v>
      </c>
      <c r="B381" s="13">
        <v>4821</v>
      </c>
      <c r="C381" s="9" t="s">
        <v>3260</v>
      </c>
      <c r="D381" s="9" t="s">
        <v>3258</v>
      </c>
      <c r="E381" s="85" t="s">
        <v>878</v>
      </c>
      <c r="F381" s="12">
        <v>1900</v>
      </c>
      <c r="G381" s="104">
        <v>3800</v>
      </c>
      <c r="H381" s="104">
        <v>3000</v>
      </c>
      <c r="I381" s="104">
        <v>6800</v>
      </c>
      <c r="J381" s="15" t="s">
        <v>3259</v>
      </c>
      <c r="K381" s="122" t="s">
        <v>3254</v>
      </c>
    </row>
    <row r="382" spans="1:11" ht="15.75">
      <c r="A382" s="118">
        <v>377</v>
      </c>
      <c r="B382" s="93">
        <v>564</v>
      </c>
      <c r="C382" s="9" t="s">
        <v>433</v>
      </c>
      <c r="D382" s="9" t="s">
        <v>3261</v>
      </c>
      <c r="E382" s="85" t="s">
        <v>3256</v>
      </c>
      <c r="F382" s="12">
        <v>2200</v>
      </c>
      <c r="G382" s="104">
        <v>2200</v>
      </c>
      <c r="H382" s="104">
        <v>3000</v>
      </c>
      <c r="I382" s="104">
        <v>5200</v>
      </c>
      <c r="J382" s="65" t="s">
        <v>3262</v>
      </c>
      <c r="K382" s="122" t="s">
        <v>3263</v>
      </c>
    </row>
    <row r="383" spans="1:11" ht="15.75">
      <c r="A383" s="104">
        <v>378</v>
      </c>
      <c r="B383" s="128">
        <v>6032</v>
      </c>
      <c r="C383" s="31" t="s">
        <v>3264</v>
      </c>
      <c r="D383" s="9" t="s">
        <v>3265</v>
      </c>
      <c r="E383" s="244" t="s">
        <v>3209</v>
      </c>
      <c r="F383" s="12">
        <v>1900</v>
      </c>
      <c r="G383" s="104">
        <v>3800</v>
      </c>
      <c r="H383" s="104">
        <v>0</v>
      </c>
      <c r="I383" s="104">
        <v>3800</v>
      </c>
      <c r="J383" s="23" t="s">
        <v>3266</v>
      </c>
      <c r="K383" s="122" t="s">
        <v>3267</v>
      </c>
    </row>
    <row r="384" spans="1:11" ht="15.75">
      <c r="A384" s="118">
        <v>379</v>
      </c>
      <c r="B384" s="13">
        <v>558</v>
      </c>
      <c r="C384" s="9" t="s">
        <v>3268</v>
      </c>
      <c r="D384" s="9" t="s">
        <v>3269</v>
      </c>
      <c r="E384" s="85" t="s">
        <v>3256</v>
      </c>
      <c r="F384" s="12">
        <v>2200</v>
      </c>
      <c r="G384" s="104">
        <v>6000</v>
      </c>
      <c r="H384" s="104">
        <v>5000</v>
      </c>
      <c r="I384" s="104">
        <v>11000</v>
      </c>
      <c r="J384" s="65" t="s">
        <v>3270</v>
      </c>
      <c r="K384" s="122" t="s">
        <v>3267</v>
      </c>
    </row>
    <row r="385" spans="1:23" ht="15.75">
      <c r="A385" s="104">
        <v>380</v>
      </c>
      <c r="B385" s="8">
        <v>6003</v>
      </c>
      <c r="C385" s="251" t="s">
        <v>444</v>
      </c>
      <c r="D385" s="10" t="s">
        <v>3271</v>
      </c>
      <c r="E385" s="252" t="s">
        <v>2695</v>
      </c>
      <c r="F385" s="12">
        <v>1250</v>
      </c>
      <c r="G385" s="104">
        <v>5000</v>
      </c>
      <c r="H385" s="104">
        <v>3000</v>
      </c>
      <c r="I385" s="104">
        <v>8000</v>
      </c>
      <c r="J385" s="23" t="s">
        <v>3272</v>
      </c>
      <c r="K385" s="122" t="s">
        <v>3273</v>
      </c>
    </row>
    <row r="386" spans="1:23" ht="15.75">
      <c r="A386" s="118">
        <v>381</v>
      </c>
      <c r="B386" s="128">
        <v>6004</v>
      </c>
      <c r="C386" s="31" t="s">
        <v>1358</v>
      </c>
      <c r="D386" s="9" t="s">
        <v>3271</v>
      </c>
      <c r="E386" s="252" t="s">
        <v>2695</v>
      </c>
      <c r="F386" s="12">
        <v>1250</v>
      </c>
      <c r="G386" s="104">
        <v>5000</v>
      </c>
      <c r="H386" s="104">
        <v>3000</v>
      </c>
      <c r="I386" s="104">
        <v>8000</v>
      </c>
      <c r="J386" s="23" t="s">
        <v>3272</v>
      </c>
      <c r="K386" s="122" t="s">
        <v>3273</v>
      </c>
    </row>
    <row r="387" spans="1:23" ht="15.75">
      <c r="A387" s="104">
        <v>382</v>
      </c>
      <c r="B387" s="13">
        <v>5047</v>
      </c>
      <c r="C387" s="9" t="s">
        <v>3274</v>
      </c>
      <c r="D387" s="9" t="s">
        <v>3275</v>
      </c>
      <c r="E387" s="85" t="s">
        <v>3126</v>
      </c>
      <c r="F387" s="12">
        <v>2200</v>
      </c>
      <c r="G387" s="104">
        <v>6600</v>
      </c>
      <c r="H387" s="104">
        <v>5000</v>
      </c>
      <c r="I387" s="104">
        <v>11600</v>
      </c>
      <c r="J387" s="98" t="s">
        <v>3276</v>
      </c>
      <c r="K387" s="122" t="s">
        <v>3277</v>
      </c>
    </row>
    <row r="388" spans="1:23" ht="15.75">
      <c r="A388" s="118">
        <v>383</v>
      </c>
      <c r="B388" s="13">
        <v>4845</v>
      </c>
      <c r="C388" s="9" t="s">
        <v>3278</v>
      </c>
      <c r="D388" s="9" t="s">
        <v>3279</v>
      </c>
      <c r="E388" s="85" t="s">
        <v>1327</v>
      </c>
      <c r="F388" s="12">
        <v>1900</v>
      </c>
      <c r="G388" s="104">
        <v>5700</v>
      </c>
      <c r="H388" s="104">
        <v>0</v>
      </c>
      <c r="I388" s="104">
        <v>5700</v>
      </c>
      <c r="J388" s="72" t="s">
        <v>3280</v>
      </c>
      <c r="K388" s="122" t="s">
        <v>3281</v>
      </c>
      <c r="O388">
        <f>SUM(O357:O385)</f>
        <v>0</v>
      </c>
    </row>
    <row r="389" spans="1:23" ht="15.75">
      <c r="A389" s="104">
        <v>384</v>
      </c>
      <c r="B389" s="13">
        <v>582</v>
      </c>
      <c r="C389" s="9" t="s">
        <v>3282</v>
      </c>
      <c r="D389" s="9" t="s">
        <v>3283</v>
      </c>
      <c r="E389" s="85" t="s">
        <v>3126</v>
      </c>
      <c r="F389" s="12">
        <v>2200</v>
      </c>
      <c r="G389" s="104">
        <v>2200</v>
      </c>
      <c r="H389" s="104">
        <v>5000</v>
      </c>
      <c r="I389" s="104">
        <v>7200</v>
      </c>
      <c r="J389" s="91" t="s">
        <v>3284</v>
      </c>
      <c r="K389" s="122" t="s">
        <v>3285</v>
      </c>
    </row>
    <row r="390" spans="1:23" ht="15.75">
      <c r="A390" s="118">
        <v>385</v>
      </c>
      <c r="B390" s="75">
        <v>761</v>
      </c>
      <c r="C390" s="63" t="s">
        <v>3286</v>
      </c>
      <c r="D390" s="63" t="s">
        <v>2866</v>
      </c>
      <c r="E390" s="250" t="s">
        <v>2251</v>
      </c>
      <c r="F390" s="12">
        <v>2200</v>
      </c>
      <c r="G390" s="104">
        <v>2200</v>
      </c>
      <c r="H390" s="104">
        <v>5000</v>
      </c>
      <c r="I390" s="104">
        <v>7200</v>
      </c>
      <c r="J390" s="91" t="s">
        <v>3287</v>
      </c>
      <c r="K390" s="122" t="s">
        <v>3285</v>
      </c>
    </row>
    <row r="391" spans="1:23" ht="15.75">
      <c r="A391" s="104">
        <v>386</v>
      </c>
      <c r="B391" s="13">
        <v>1901</v>
      </c>
      <c r="C391" s="9" t="s">
        <v>3288</v>
      </c>
      <c r="D391" s="9" t="s">
        <v>3289</v>
      </c>
      <c r="E391" s="85" t="s">
        <v>2526</v>
      </c>
      <c r="F391" s="12">
        <v>1900</v>
      </c>
      <c r="G391" s="104"/>
      <c r="H391" s="104"/>
      <c r="I391" s="104"/>
      <c r="J391" s="72" t="s">
        <v>3290</v>
      </c>
      <c r="K391" s="122"/>
    </row>
    <row r="392" spans="1:23" ht="15.75">
      <c r="A392" s="118">
        <v>387</v>
      </c>
      <c r="B392" s="13">
        <v>4877</v>
      </c>
      <c r="C392" s="9" t="s">
        <v>3291</v>
      </c>
      <c r="D392" s="9" t="s">
        <v>3292</v>
      </c>
      <c r="E392" s="85" t="s">
        <v>3173</v>
      </c>
      <c r="F392" s="12">
        <v>1600</v>
      </c>
      <c r="G392" s="104">
        <v>3200</v>
      </c>
      <c r="H392" s="104">
        <v>0</v>
      </c>
      <c r="I392" s="104">
        <v>3200</v>
      </c>
      <c r="J392" s="72" t="s">
        <v>3290</v>
      </c>
      <c r="K392" s="122" t="s">
        <v>3293</v>
      </c>
    </row>
    <row r="393" spans="1:23" ht="15.75">
      <c r="A393" s="104">
        <v>388</v>
      </c>
      <c r="B393" s="13">
        <v>6132</v>
      </c>
      <c r="C393" s="9" t="s">
        <v>3294</v>
      </c>
      <c r="D393" s="9" t="s">
        <v>3295</v>
      </c>
      <c r="E393" s="85" t="s">
        <v>3136</v>
      </c>
      <c r="F393" s="13">
        <v>1000</v>
      </c>
      <c r="G393" s="13">
        <v>1000</v>
      </c>
      <c r="H393" s="78">
        <v>0</v>
      </c>
      <c r="I393" s="32">
        <f t="shared" ref="I393:I400" si="1">SUM(G393:H393)</f>
        <v>1000</v>
      </c>
      <c r="J393" s="15" t="s">
        <v>3296</v>
      </c>
      <c r="K393" s="182" t="s">
        <v>3297</v>
      </c>
    </row>
    <row r="394" spans="1:23" ht="15.75">
      <c r="A394" s="118">
        <v>389</v>
      </c>
      <c r="B394" s="19">
        <v>6143</v>
      </c>
      <c r="C394" s="21" t="s">
        <v>3298</v>
      </c>
      <c r="D394" s="21" t="s">
        <v>3299</v>
      </c>
      <c r="E394" s="253" t="s">
        <v>2555</v>
      </c>
      <c r="F394" s="19">
        <v>2000</v>
      </c>
      <c r="G394" s="19">
        <v>2000</v>
      </c>
      <c r="H394" s="13">
        <v>0</v>
      </c>
      <c r="I394" s="32">
        <f t="shared" si="1"/>
        <v>2000</v>
      </c>
      <c r="J394" s="97" t="s">
        <v>3300</v>
      </c>
      <c r="K394" s="182" t="s">
        <v>3297</v>
      </c>
    </row>
    <row r="395" spans="1:23" ht="30">
      <c r="A395" s="104">
        <v>390</v>
      </c>
      <c r="B395" s="13">
        <v>6065</v>
      </c>
      <c r="C395" s="9" t="s">
        <v>3301</v>
      </c>
      <c r="D395" s="9" t="s">
        <v>3302</v>
      </c>
      <c r="E395" s="85" t="s">
        <v>2636</v>
      </c>
      <c r="F395" s="13">
        <v>1500</v>
      </c>
      <c r="G395" s="13">
        <v>1500</v>
      </c>
      <c r="H395" s="13">
        <v>0</v>
      </c>
      <c r="I395" s="32">
        <f t="shared" si="1"/>
        <v>1500</v>
      </c>
      <c r="J395" s="23" t="s">
        <v>3303</v>
      </c>
      <c r="K395" s="182" t="s">
        <v>3297</v>
      </c>
    </row>
    <row r="396" spans="1:23" ht="15.75">
      <c r="A396" s="118">
        <v>391</v>
      </c>
      <c r="B396" s="93">
        <v>817</v>
      </c>
      <c r="C396" s="9" t="s">
        <v>1887</v>
      </c>
      <c r="D396" s="9" t="s">
        <v>732</v>
      </c>
      <c r="E396" s="85" t="s">
        <v>2888</v>
      </c>
      <c r="F396" s="12">
        <v>1700</v>
      </c>
      <c r="G396" s="12">
        <v>3400</v>
      </c>
      <c r="H396" s="13">
        <v>2000</v>
      </c>
      <c r="I396" s="32">
        <f t="shared" si="1"/>
        <v>5400</v>
      </c>
      <c r="J396" s="65" t="s">
        <v>3304</v>
      </c>
      <c r="K396" s="182" t="s">
        <v>3297</v>
      </c>
    </row>
    <row r="397" spans="1:23" ht="15.75">
      <c r="A397" s="104">
        <v>392</v>
      </c>
      <c r="B397" s="183">
        <v>6168</v>
      </c>
      <c r="C397" s="41" t="s">
        <v>2108</v>
      </c>
      <c r="D397" s="10" t="s">
        <v>3305</v>
      </c>
      <c r="E397" s="244" t="s">
        <v>3209</v>
      </c>
      <c r="F397" s="12">
        <v>1900</v>
      </c>
      <c r="G397" s="104">
        <v>3800</v>
      </c>
      <c r="H397" s="104">
        <v>0</v>
      </c>
      <c r="I397" s="104">
        <f t="shared" si="1"/>
        <v>3800</v>
      </c>
      <c r="J397" s="37" t="s">
        <v>3306</v>
      </c>
      <c r="K397" s="122" t="s">
        <v>3307</v>
      </c>
    </row>
    <row r="398" spans="1:23" ht="15.75">
      <c r="A398" s="118">
        <v>393</v>
      </c>
      <c r="B398" s="13">
        <v>4853</v>
      </c>
      <c r="C398" s="9" t="s">
        <v>3308</v>
      </c>
      <c r="D398" s="9">
        <v>1901</v>
      </c>
      <c r="E398" s="85" t="s">
        <v>1689</v>
      </c>
      <c r="F398" s="12">
        <v>2000</v>
      </c>
      <c r="G398" s="104">
        <v>12000</v>
      </c>
      <c r="H398" s="104">
        <v>3000</v>
      </c>
      <c r="I398" s="104">
        <f t="shared" si="1"/>
        <v>15000</v>
      </c>
      <c r="J398" s="23" t="s">
        <v>3309</v>
      </c>
      <c r="K398" s="122" t="s">
        <v>3307</v>
      </c>
    </row>
    <row r="399" spans="1:23" ht="20.100000000000001" customHeight="1">
      <c r="A399" s="104">
        <v>394</v>
      </c>
      <c r="B399" s="13">
        <v>4557</v>
      </c>
      <c r="C399" s="9" t="s">
        <v>146</v>
      </c>
      <c r="D399" s="9" t="s">
        <v>3310</v>
      </c>
      <c r="E399" s="85" t="s">
        <v>577</v>
      </c>
      <c r="F399" s="13">
        <v>2100</v>
      </c>
      <c r="G399" s="104">
        <v>7800</v>
      </c>
      <c r="H399" s="78">
        <v>0</v>
      </c>
      <c r="I399" s="32">
        <f t="shared" si="1"/>
        <v>7800</v>
      </c>
      <c r="J399" s="72" t="s">
        <v>3311</v>
      </c>
      <c r="K399" s="254" t="s">
        <v>3312</v>
      </c>
      <c r="L399" s="255"/>
      <c r="M399" s="112"/>
      <c r="N399" s="112"/>
      <c r="O399" s="112"/>
      <c r="P399" s="112"/>
      <c r="Q399" s="112"/>
      <c r="R399" s="112"/>
      <c r="S399" s="112"/>
      <c r="T399" s="112"/>
      <c r="U399" s="112"/>
      <c r="V399" s="112"/>
      <c r="W399" s="112"/>
    </row>
    <row r="400" spans="1:23" ht="15.75">
      <c r="A400" s="118">
        <v>395</v>
      </c>
      <c r="B400" s="256">
        <v>6047</v>
      </c>
      <c r="C400" s="26" t="s">
        <v>3313</v>
      </c>
      <c r="D400" s="27" t="s">
        <v>3314</v>
      </c>
      <c r="E400" s="252" t="s">
        <v>2695</v>
      </c>
      <c r="F400" s="30">
        <v>1600</v>
      </c>
      <c r="G400" s="30">
        <v>4800</v>
      </c>
      <c r="H400" s="8">
        <v>0</v>
      </c>
      <c r="I400" s="13">
        <f t="shared" si="1"/>
        <v>4800</v>
      </c>
      <c r="J400" s="29" t="s">
        <v>3315</v>
      </c>
      <c r="K400" s="254" t="s">
        <v>3312</v>
      </c>
    </row>
    <row r="401" spans="1:15" ht="15.75">
      <c r="A401" s="104">
        <v>396</v>
      </c>
      <c r="B401" s="13">
        <v>6144</v>
      </c>
      <c r="C401" s="9" t="s">
        <v>3316</v>
      </c>
      <c r="D401" s="9" t="s">
        <v>3299</v>
      </c>
      <c r="E401" s="85" t="s">
        <v>1327</v>
      </c>
      <c r="F401" s="12">
        <v>2100</v>
      </c>
      <c r="G401" s="104">
        <v>4000</v>
      </c>
      <c r="H401" s="104">
        <v>0</v>
      </c>
      <c r="I401" s="104">
        <v>4000</v>
      </c>
      <c r="J401" s="15" t="s">
        <v>3317</v>
      </c>
      <c r="K401" s="122" t="s">
        <v>3318</v>
      </c>
    </row>
    <row r="402" spans="1:15" ht="15.75">
      <c r="A402" s="118">
        <v>397</v>
      </c>
      <c r="B402" s="13">
        <v>6145</v>
      </c>
      <c r="C402" s="9" t="s">
        <v>3319</v>
      </c>
      <c r="D402" s="9" t="s">
        <v>3299</v>
      </c>
      <c r="E402" s="85" t="s">
        <v>3063</v>
      </c>
      <c r="F402" s="12">
        <v>1200</v>
      </c>
      <c r="G402" s="104">
        <v>2200</v>
      </c>
      <c r="H402" s="104">
        <v>0</v>
      </c>
      <c r="I402" s="104">
        <v>2200</v>
      </c>
      <c r="J402" s="15" t="s">
        <v>3300</v>
      </c>
      <c r="K402" s="122" t="s">
        <v>3318</v>
      </c>
    </row>
    <row r="403" spans="1:15" ht="15.75">
      <c r="A403" s="104">
        <v>398</v>
      </c>
      <c r="B403" s="128">
        <v>6157</v>
      </c>
      <c r="C403" s="31" t="s">
        <v>121</v>
      </c>
      <c r="D403" s="9" t="s">
        <v>2339</v>
      </c>
      <c r="E403" s="244" t="s">
        <v>3200</v>
      </c>
      <c r="F403" s="12">
        <v>1600</v>
      </c>
      <c r="G403" s="104">
        <v>7600</v>
      </c>
      <c r="H403" s="104">
        <v>2000</v>
      </c>
      <c r="I403" s="104">
        <v>9600</v>
      </c>
      <c r="J403" s="23" t="s">
        <v>3320</v>
      </c>
      <c r="K403" s="122" t="s">
        <v>3318</v>
      </c>
    </row>
    <row r="404" spans="1:15" ht="15.75">
      <c r="A404" s="118">
        <v>399</v>
      </c>
      <c r="B404" s="13">
        <v>4931</v>
      </c>
      <c r="C404" s="9" t="s">
        <v>1418</v>
      </c>
      <c r="D404" s="9" t="s">
        <v>2963</v>
      </c>
      <c r="E404" s="85" t="s">
        <v>1782</v>
      </c>
      <c r="F404" s="12">
        <v>2200</v>
      </c>
      <c r="G404" s="104">
        <v>2200</v>
      </c>
      <c r="H404" s="104">
        <v>3000</v>
      </c>
      <c r="I404" s="104">
        <v>5200</v>
      </c>
      <c r="J404" s="24" t="s">
        <v>3321</v>
      </c>
      <c r="K404" s="122" t="s">
        <v>3322</v>
      </c>
    </row>
    <row r="405" spans="1:15" ht="15.75">
      <c r="A405" s="104">
        <v>400</v>
      </c>
      <c r="B405" s="13">
        <v>4932</v>
      </c>
      <c r="C405" s="9" t="s">
        <v>3323</v>
      </c>
      <c r="D405" s="9" t="s">
        <v>2963</v>
      </c>
      <c r="E405" s="85" t="s">
        <v>1782</v>
      </c>
      <c r="F405" s="12">
        <v>2200</v>
      </c>
      <c r="G405" s="104">
        <v>2200</v>
      </c>
      <c r="H405" s="104">
        <v>3000</v>
      </c>
      <c r="I405" s="104">
        <v>5200</v>
      </c>
      <c r="J405" s="24" t="s">
        <v>3321</v>
      </c>
      <c r="K405" s="122" t="s">
        <v>3322</v>
      </c>
    </row>
    <row r="406" spans="1:15" ht="15.75">
      <c r="A406" s="118">
        <v>401</v>
      </c>
      <c r="B406" s="142">
        <v>759</v>
      </c>
      <c r="C406" s="9" t="s">
        <v>3324</v>
      </c>
      <c r="D406" s="9" t="s">
        <v>3325</v>
      </c>
      <c r="E406" s="85" t="s">
        <v>2251</v>
      </c>
      <c r="F406" s="12">
        <v>1900</v>
      </c>
      <c r="G406" s="104">
        <v>1900</v>
      </c>
      <c r="H406" s="104">
        <v>5000</v>
      </c>
      <c r="I406" s="32">
        <v>6900</v>
      </c>
      <c r="J406" s="65" t="s">
        <v>3326</v>
      </c>
      <c r="K406" s="122" t="s">
        <v>3327</v>
      </c>
    </row>
    <row r="407" spans="1:15" ht="15.75">
      <c r="A407" s="104">
        <v>402</v>
      </c>
      <c r="B407" s="13">
        <v>5059</v>
      </c>
      <c r="C407" s="9" t="s">
        <v>3328</v>
      </c>
      <c r="D407" s="9" t="s">
        <v>3269</v>
      </c>
      <c r="E407" s="85" t="s">
        <v>1127</v>
      </c>
      <c r="F407" s="12">
        <v>2100</v>
      </c>
      <c r="G407" s="104">
        <v>2100</v>
      </c>
      <c r="H407" s="104">
        <v>1000</v>
      </c>
      <c r="I407" s="104">
        <v>3100</v>
      </c>
      <c r="J407" s="23" t="s">
        <v>3329</v>
      </c>
      <c r="K407" s="122" t="s">
        <v>3330</v>
      </c>
    </row>
    <row r="408" spans="1:15" ht="15.75">
      <c r="A408" s="118">
        <v>403</v>
      </c>
      <c r="B408" s="93">
        <v>569</v>
      </c>
      <c r="C408" s="9" t="s">
        <v>3331</v>
      </c>
      <c r="D408" s="9" t="s">
        <v>3332</v>
      </c>
      <c r="E408" s="85" t="s">
        <v>3256</v>
      </c>
      <c r="F408" s="12">
        <v>2100</v>
      </c>
      <c r="G408" s="104">
        <v>2100</v>
      </c>
      <c r="H408" s="104">
        <v>5000</v>
      </c>
      <c r="I408" s="104">
        <v>7100</v>
      </c>
      <c r="J408" s="65" t="s">
        <v>3333</v>
      </c>
      <c r="K408" s="122" t="s">
        <v>3330</v>
      </c>
    </row>
    <row r="409" spans="1:15" ht="15.75">
      <c r="A409" s="104">
        <v>404</v>
      </c>
      <c r="B409" s="93">
        <v>561</v>
      </c>
      <c r="C409" s="10" t="s">
        <v>3334</v>
      </c>
      <c r="D409" s="175" t="s">
        <v>3335</v>
      </c>
      <c r="E409" s="85" t="s">
        <v>3256</v>
      </c>
      <c r="F409" s="12">
        <v>2400</v>
      </c>
      <c r="G409" s="104">
        <v>2400</v>
      </c>
      <c r="H409" s="104">
        <v>0</v>
      </c>
      <c r="I409" s="104">
        <v>2400</v>
      </c>
      <c r="J409" s="65" t="s">
        <v>3336</v>
      </c>
      <c r="K409" s="122" t="s">
        <v>3330</v>
      </c>
    </row>
    <row r="410" spans="1:15" ht="15.75">
      <c r="A410" s="118">
        <v>405</v>
      </c>
      <c r="B410" s="13">
        <v>4452</v>
      </c>
      <c r="C410" s="9" t="s">
        <v>3337</v>
      </c>
      <c r="D410" s="9" t="s">
        <v>2898</v>
      </c>
      <c r="E410" s="85" t="s">
        <v>1782</v>
      </c>
      <c r="F410" s="12">
        <v>1700</v>
      </c>
      <c r="G410" s="104">
        <v>1700</v>
      </c>
      <c r="H410" s="104">
        <v>3000</v>
      </c>
      <c r="I410" s="104">
        <v>4700</v>
      </c>
      <c r="J410" s="72" t="s">
        <v>2900</v>
      </c>
      <c r="K410" s="122" t="s">
        <v>3338</v>
      </c>
      <c r="L410" t="s">
        <v>3339</v>
      </c>
    </row>
    <row r="411" spans="1:15" ht="30">
      <c r="A411" s="104">
        <v>406</v>
      </c>
      <c r="B411" s="60">
        <v>4749</v>
      </c>
      <c r="C411" s="63" t="s">
        <v>3340</v>
      </c>
      <c r="D411" s="63" t="s">
        <v>3341</v>
      </c>
      <c r="E411" s="250" t="s">
        <v>3126</v>
      </c>
      <c r="F411" s="158">
        <v>200</v>
      </c>
      <c r="G411" s="157">
        <v>400</v>
      </c>
      <c r="H411" s="157">
        <v>5000</v>
      </c>
      <c r="I411" s="157">
        <v>5400</v>
      </c>
      <c r="J411" s="257" t="s">
        <v>3342</v>
      </c>
      <c r="K411" s="158" t="s">
        <v>3343</v>
      </c>
    </row>
    <row r="412" spans="1:15" ht="15.75">
      <c r="A412" s="118">
        <v>407</v>
      </c>
      <c r="B412" s="13">
        <v>4840</v>
      </c>
      <c r="C412" s="9" t="s">
        <v>3344</v>
      </c>
      <c r="D412" s="9" t="s">
        <v>3345</v>
      </c>
      <c r="E412" s="85" t="s">
        <v>3126</v>
      </c>
      <c r="F412" s="12">
        <v>2400</v>
      </c>
      <c r="G412" s="104">
        <v>4800</v>
      </c>
      <c r="H412" s="104">
        <v>0</v>
      </c>
      <c r="I412" s="104">
        <v>4800</v>
      </c>
      <c r="J412" s="91" t="s">
        <v>3346</v>
      </c>
      <c r="K412" s="122" t="s">
        <v>3343</v>
      </c>
    </row>
    <row r="413" spans="1:15" ht="15.75">
      <c r="A413" s="104">
        <v>408</v>
      </c>
      <c r="B413" s="13">
        <v>580</v>
      </c>
      <c r="C413" s="9" t="s">
        <v>565</v>
      </c>
      <c r="D413" s="9" t="s">
        <v>3347</v>
      </c>
      <c r="E413" s="85" t="s">
        <v>3126</v>
      </c>
      <c r="F413" s="12">
        <v>2200</v>
      </c>
      <c r="G413" s="104">
        <v>4400</v>
      </c>
      <c r="H413" s="104">
        <v>0</v>
      </c>
      <c r="I413" s="104">
        <v>4400</v>
      </c>
      <c r="J413" s="91" t="s">
        <v>3348</v>
      </c>
      <c r="K413" s="122" t="s">
        <v>3343</v>
      </c>
    </row>
    <row r="414" spans="1:15" ht="15.75">
      <c r="A414" s="118">
        <v>409</v>
      </c>
      <c r="B414" s="104">
        <v>615</v>
      </c>
      <c r="C414" s="104" t="s">
        <v>3349</v>
      </c>
      <c r="D414" s="104" t="s">
        <v>271</v>
      </c>
      <c r="E414" s="104" t="s">
        <v>2711</v>
      </c>
      <c r="F414" s="12">
        <v>2400</v>
      </c>
      <c r="G414" s="104"/>
      <c r="H414" s="104">
        <v>2000</v>
      </c>
      <c r="I414" s="104">
        <v>2000</v>
      </c>
      <c r="J414" s="104" t="s">
        <v>3350</v>
      </c>
      <c r="K414" s="122" t="s">
        <v>3351</v>
      </c>
    </row>
    <row r="415" spans="1:15" ht="16.5">
      <c r="A415" s="104">
        <v>410</v>
      </c>
      <c r="B415" s="60">
        <v>6218</v>
      </c>
      <c r="C415" s="63" t="s">
        <v>3352</v>
      </c>
      <c r="D415" s="63" t="s">
        <v>3353</v>
      </c>
      <c r="E415" s="66" t="s">
        <v>3226</v>
      </c>
      <c r="F415" s="12">
        <v>2000</v>
      </c>
      <c r="G415" s="104">
        <v>4000</v>
      </c>
      <c r="H415" s="104">
        <v>0</v>
      </c>
      <c r="I415" s="104">
        <v>4000</v>
      </c>
      <c r="J415" s="61" t="s">
        <v>3354</v>
      </c>
      <c r="K415" s="122" t="s">
        <v>3355</v>
      </c>
      <c r="O415">
        <f>SUM(O391:O414)</f>
        <v>0</v>
      </c>
    </row>
    <row r="416" spans="1:15" ht="16.5">
      <c r="A416" s="118">
        <v>411</v>
      </c>
      <c r="B416" s="13">
        <v>5019</v>
      </c>
      <c r="C416" s="9" t="s">
        <v>3356</v>
      </c>
      <c r="D416" s="9" t="s">
        <v>2982</v>
      </c>
      <c r="E416" s="71" t="s">
        <v>3108</v>
      </c>
      <c r="F416" s="12">
        <v>2300</v>
      </c>
      <c r="G416" s="104">
        <v>4600</v>
      </c>
      <c r="H416" s="104">
        <v>0</v>
      </c>
      <c r="I416" s="104">
        <v>4600</v>
      </c>
      <c r="J416" s="23" t="s">
        <v>3357</v>
      </c>
      <c r="K416" s="122" t="s">
        <v>3355</v>
      </c>
      <c r="M416">
        <f>SUM(M391:M414)</f>
        <v>0</v>
      </c>
      <c r="N416">
        <f>SUM(N391:N415)</f>
        <v>0</v>
      </c>
      <c r="O416">
        <f>SUM(L416:N416)</f>
        <v>0</v>
      </c>
    </row>
    <row r="417" spans="1:23" ht="16.5">
      <c r="A417" s="104">
        <v>412</v>
      </c>
      <c r="B417" s="13">
        <v>6011</v>
      </c>
      <c r="C417" s="9" t="s">
        <v>1242</v>
      </c>
      <c r="D417" s="9" t="s">
        <v>3358</v>
      </c>
      <c r="E417" s="66" t="s">
        <v>1940</v>
      </c>
      <c r="F417" s="12">
        <v>2300</v>
      </c>
      <c r="G417" s="104">
        <v>4600</v>
      </c>
      <c r="H417" s="104">
        <v>0</v>
      </c>
      <c r="I417" s="104">
        <v>4600</v>
      </c>
      <c r="J417" s="65" t="s">
        <v>3359</v>
      </c>
      <c r="K417" s="122" t="s">
        <v>3355</v>
      </c>
    </row>
    <row r="418" spans="1:23" ht="25.5" customHeight="1">
      <c r="A418" s="118">
        <v>413</v>
      </c>
      <c r="B418" s="13">
        <v>1405</v>
      </c>
      <c r="C418" s="9" t="s">
        <v>3360</v>
      </c>
      <c r="D418" s="9" t="s">
        <v>833</v>
      </c>
      <c r="E418" s="66" t="s">
        <v>3126</v>
      </c>
      <c r="F418" s="13">
        <v>2400</v>
      </c>
      <c r="G418" s="13">
        <v>7200</v>
      </c>
      <c r="H418" s="13">
        <v>5000</v>
      </c>
      <c r="I418" s="13">
        <f>SUM(G418:H418)</f>
        <v>12200</v>
      </c>
      <c r="J418" s="23" t="s">
        <v>3361</v>
      </c>
      <c r="K418" s="105" t="s">
        <v>3362</v>
      </c>
      <c r="L418" s="255"/>
      <c r="M418" s="112"/>
      <c r="N418" s="112"/>
      <c r="O418" s="112"/>
      <c r="P418" s="112"/>
      <c r="Q418" s="112"/>
      <c r="R418" s="112"/>
      <c r="S418" s="112"/>
      <c r="T418" s="112"/>
      <c r="U418" s="112"/>
      <c r="V418" s="112"/>
      <c r="W418" s="112"/>
    </row>
    <row r="419" spans="1:23" ht="16.5">
      <c r="A419" s="104">
        <v>414</v>
      </c>
      <c r="B419" s="13">
        <v>4548</v>
      </c>
      <c r="C419" s="9" t="s">
        <v>3363</v>
      </c>
      <c r="D419" s="9" t="s">
        <v>3047</v>
      </c>
      <c r="E419" s="66" t="s">
        <v>1127</v>
      </c>
      <c r="F419" s="13">
        <v>0</v>
      </c>
      <c r="G419" s="13">
        <v>0</v>
      </c>
      <c r="H419" s="14">
        <v>3000</v>
      </c>
      <c r="I419" s="14">
        <f>SUM(H419:H419)</f>
        <v>3000</v>
      </c>
      <c r="J419" s="15" t="s">
        <v>3364</v>
      </c>
      <c r="K419" s="258">
        <v>45308</v>
      </c>
    </row>
    <row r="420" spans="1:23" ht="18.75">
      <c r="A420" s="118">
        <v>415</v>
      </c>
      <c r="B420" s="13">
        <v>6059</v>
      </c>
      <c r="C420" s="9" t="s">
        <v>3365</v>
      </c>
      <c r="D420" s="9" t="s">
        <v>3366</v>
      </c>
      <c r="E420" s="66" t="s">
        <v>1127</v>
      </c>
      <c r="F420" s="13">
        <v>1700</v>
      </c>
      <c r="G420" s="15">
        <f>1700*3</f>
        <v>5100</v>
      </c>
      <c r="H420" s="15">
        <v>0</v>
      </c>
      <c r="I420" s="217">
        <f>G420+H420</f>
        <v>5100</v>
      </c>
      <c r="J420" s="15" t="s">
        <v>3367</v>
      </c>
      <c r="K420" s="258">
        <v>45309</v>
      </c>
    </row>
    <row r="421" spans="1:23" ht="18.75">
      <c r="A421" s="104">
        <v>416</v>
      </c>
      <c r="B421" s="60">
        <v>6177</v>
      </c>
      <c r="C421" s="9" t="s">
        <v>212</v>
      </c>
      <c r="D421" s="63" t="s">
        <v>461</v>
      </c>
      <c r="E421" s="71" t="s">
        <v>3173</v>
      </c>
      <c r="F421" s="60">
        <v>1900</v>
      </c>
      <c r="G421" s="104">
        <v>1900</v>
      </c>
      <c r="H421" s="104">
        <v>0</v>
      </c>
      <c r="I421" s="217">
        <f>G421+H421</f>
        <v>1900</v>
      </c>
      <c r="J421" s="51" t="s">
        <v>3368</v>
      </c>
      <c r="K421" s="112"/>
    </row>
    <row r="422" spans="1:23" ht="16.5">
      <c r="A422" s="118">
        <v>417</v>
      </c>
      <c r="B422" s="13">
        <v>4549</v>
      </c>
      <c r="C422" s="9" t="s">
        <v>3369</v>
      </c>
      <c r="D422" s="9" t="s">
        <v>3047</v>
      </c>
      <c r="E422" s="66" t="s">
        <v>2526</v>
      </c>
      <c r="F422" s="13">
        <v>1200</v>
      </c>
      <c r="G422" s="13">
        <v>2400</v>
      </c>
      <c r="H422" s="13">
        <v>3000</v>
      </c>
      <c r="I422" s="14">
        <f>SUM(G422:H422)</f>
        <v>5400</v>
      </c>
      <c r="J422" s="72" t="s">
        <v>3048</v>
      </c>
      <c r="K422" s="112" t="s">
        <v>3370</v>
      </c>
    </row>
    <row r="423" spans="1:23" ht="16.5">
      <c r="A423" s="104">
        <v>418</v>
      </c>
      <c r="B423" s="47">
        <v>4722</v>
      </c>
      <c r="C423" s="47" t="s">
        <v>3371</v>
      </c>
      <c r="D423" s="47" t="s">
        <v>2829</v>
      </c>
      <c r="E423" s="71" t="s">
        <v>3136</v>
      </c>
      <c r="F423" s="12">
        <v>2100</v>
      </c>
      <c r="G423" s="12">
        <v>8400</v>
      </c>
      <c r="H423" s="28">
        <v>1000</v>
      </c>
      <c r="I423" s="14">
        <f>SUM(G423:H423)</f>
        <v>9400</v>
      </c>
      <c r="J423" s="73" t="s">
        <v>3372</v>
      </c>
      <c r="K423" s="258">
        <v>45293</v>
      </c>
    </row>
    <row r="424" spans="1:23" ht="16.5">
      <c r="A424" s="118">
        <v>419</v>
      </c>
      <c r="B424" s="8">
        <v>4718</v>
      </c>
      <c r="C424" s="10" t="s">
        <v>172</v>
      </c>
      <c r="D424" s="10" t="s">
        <v>1877</v>
      </c>
      <c r="E424" s="66" t="s">
        <v>878</v>
      </c>
      <c r="F424" s="13">
        <v>2100</v>
      </c>
      <c r="G424" s="13">
        <v>1300</v>
      </c>
      <c r="H424" s="13">
        <v>3000</v>
      </c>
      <c r="I424" s="15"/>
      <c r="J424" s="15" t="s">
        <v>3373</v>
      </c>
      <c r="K424" s="112"/>
    </row>
    <row r="425" spans="1:23" ht="16.5">
      <c r="A425" s="104">
        <v>420</v>
      </c>
      <c r="B425" s="13">
        <v>4052</v>
      </c>
      <c r="C425" s="9" t="s">
        <v>3374</v>
      </c>
      <c r="D425" s="9" t="s">
        <v>3375</v>
      </c>
      <c r="E425" s="66" t="s">
        <v>1127</v>
      </c>
      <c r="F425" s="13">
        <v>2100</v>
      </c>
      <c r="G425" s="14">
        <v>2100</v>
      </c>
      <c r="H425" s="13">
        <v>0</v>
      </c>
      <c r="I425" s="15"/>
      <c r="J425" s="15" t="s">
        <v>3376</v>
      </c>
      <c r="K425" s="112"/>
    </row>
    <row r="426" spans="1:23" ht="16.5">
      <c r="A426" s="118">
        <v>421</v>
      </c>
      <c r="B426" s="13">
        <v>6255</v>
      </c>
      <c r="C426" s="9" t="s">
        <v>3377</v>
      </c>
      <c r="D426" s="9" t="s">
        <v>3378</v>
      </c>
      <c r="E426" s="66" t="s">
        <v>1127</v>
      </c>
      <c r="F426" s="13">
        <v>2100</v>
      </c>
      <c r="G426" s="13">
        <v>2100</v>
      </c>
      <c r="H426" s="13">
        <v>0</v>
      </c>
      <c r="I426" s="13">
        <v>2100</v>
      </c>
      <c r="J426" s="15" t="s">
        <v>3379</v>
      </c>
      <c r="K426" s="112"/>
    </row>
    <row r="427" spans="1:23" ht="16.5">
      <c r="A427" s="104">
        <v>422</v>
      </c>
      <c r="B427" s="13">
        <v>6211</v>
      </c>
      <c r="C427" s="9" t="s">
        <v>3380</v>
      </c>
      <c r="D427" s="9" t="s">
        <v>3381</v>
      </c>
      <c r="E427" s="66" t="s">
        <v>1127</v>
      </c>
      <c r="F427" s="13">
        <v>2100</v>
      </c>
      <c r="G427" s="104">
        <v>0</v>
      </c>
      <c r="H427" s="104"/>
      <c r="I427" s="104">
        <v>2100</v>
      </c>
      <c r="J427" s="15" t="s">
        <v>3382</v>
      </c>
      <c r="K427" s="112"/>
    </row>
    <row r="428" spans="1:23" ht="16.5">
      <c r="A428" s="118">
        <v>423</v>
      </c>
      <c r="B428" s="93">
        <v>827</v>
      </c>
      <c r="C428" s="9" t="s">
        <v>3383</v>
      </c>
      <c r="D428" s="9" t="s">
        <v>3384</v>
      </c>
      <c r="E428" s="71" t="s">
        <v>2888</v>
      </c>
      <c r="F428" s="13">
        <v>2400</v>
      </c>
      <c r="G428" s="13">
        <v>2400</v>
      </c>
      <c r="H428" s="13">
        <v>0</v>
      </c>
      <c r="I428" s="14">
        <f>SUM(G428:H428)</f>
        <v>2400</v>
      </c>
      <c r="J428" s="65" t="s">
        <v>3385</v>
      </c>
      <c r="K428" s="112"/>
    </row>
    <row r="429" spans="1:23" ht="16.5">
      <c r="A429" s="104">
        <v>424</v>
      </c>
      <c r="B429" s="13">
        <v>6147</v>
      </c>
      <c r="C429" s="9" t="s">
        <v>3386</v>
      </c>
      <c r="D429" s="9" t="s">
        <v>966</v>
      </c>
      <c r="E429" s="66" t="s">
        <v>1940</v>
      </c>
      <c r="F429" s="13">
        <v>2000</v>
      </c>
      <c r="G429" s="13">
        <v>0</v>
      </c>
      <c r="H429" s="13">
        <v>0</v>
      </c>
      <c r="I429" s="13">
        <v>6000</v>
      </c>
      <c r="J429" s="65" t="s">
        <v>1524</v>
      </c>
      <c r="K429" s="112"/>
    </row>
    <row r="430" spans="1:23" ht="16.5">
      <c r="A430" s="118">
        <v>425</v>
      </c>
      <c r="B430" s="13">
        <v>6261</v>
      </c>
      <c r="C430" s="9" t="s">
        <v>3387</v>
      </c>
      <c r="D430" s="9" t="s">
        <v>3388</v>
      </c>
      <c r="E430" s="66" t="s">
        <v>1940</v>
      </c>
      <c r="F430" s="13">
        <v>2300</v>
      </c>
      <c r="G430" s="13">
        <v>0</v>
      </c>
      <c r="H430" s="13">
        <v>0</v>
      </c>
      <c r="I430" s="13">
        <v>4600</v>
      </c>
      <c r="J430" s="23" t="s">
        <v>3389</v>
      </c>
      <c r="K430" s="112"/>
    </row>
    <row r="431" spans="1:23" ht="16.5">
      <c r="A431" s="104">
        <v>426</v>
      </c>
      <c r="B431" s="60">
        <v>4608</v>
      </c>
      <c r="C431" s="63" t="s">
        <v>3390</v>
      </c>
      <c r="D431" s="63" t="s">
        <v>2369</v>
      </c>
      <c r="E431" s="71" t="s">
        <v>3136</v>
      </c>
      <c r="F431" s="60">
        <v>1500</v>
      </c>
      <c r="G431" s="60">
        <v>0</v>
      </c>
      <c r="H431" s="60">
        <v>1500</v>
      </c>
      <c r="I431" s="60">
        <v>7500</v>
      </c>
      <c r="J431" s="51" t="s">
        <v>3391</v>
      </c>
      <c r="K431" s="112"/>
    </row>
    <row r="432" spans="1:23" ht="30">
      <c r="A432" s="118">
        <v>427</v>
      </c>
      <c r="B432" s="13">
        <v>4854</v>
      </c>
      <c r="C432" s="9" t="s">
        <v>3392</v>
      </c>
      <c r="D432" s="9" t="s">
        <v>3393</v>
      </c>
      <c r="E432" s="66" t="s">
        <v>878</v>
      </c>
      <c r="F432" s="13">
        <v>2100</v>
      </c>
      <c r="G432" s="13">
        <v>0</v>
      </c>
      <c r="H432" s="13">
        <v>2100</v>
      </c>
      <c r="I432" s="13">
        <v>13500</v>
      </c>
      <c r="J432" s="15" t="s">
        <v>3309</v>
      </c>
      <c r="K432" s="112"/>
    </row>
    <row r="433" spans="1:15" ht="16.5">
      <c r="A433" s="104">
        <v>428</v>
      </c>
      <c r="B433" s="128">
        <v>5082</v>
      </c>
      <c r="C433" s="31" t="s">
        <v>3394</v>
      </c>
      <c r="D433" s="9" t="s">
        <v>3395</v>
      </c>
      <c r="E433" s="53" t="s">
        <v>3209</v>
      </c>
      <c r="F433" s="32">
        <v>800</v>
      </c>
      <c r="G433" s="32">
        <v>0</v>
      </c>
      <c r="H433" s="32">
        <v>100</v>
      </c>
      <c r="I433" s="32">
        <v>3300</v>
      </c>
      <c r="J433" s="23" t="s">
        <v>3396</v>
      </c>
      <c r="K433" s="112"/>
    </row>
    <row r="434" spans="1:15" ht="16.5">
      <c r="A434" s="118">
        <v>429</v>
      </c>
      <c r="B434" s="128">
        <v>5081</v>
      </c>
      <c r="C434" s="31" t="s">
        <v>3397</v>
      </c>
      <c r="D434" s="9" t="s">
        <v>3395</v>
      </c>
      <c r="E434" s="53" t="s">
        <v>3200</v>
      </c>
      <c r="F434" s="32">
        <v>0</v>
      </c>
      <c r="G434" s="32">
        <v>0</v>
      </c>
      <c r="H434" s="32">
        <v>3000</v>
      </c>
      <c r="I434" s="32">
        <v>3000</v>
      </c>
      <c r="J434" s="23" t="s">
        <v>3396</v>
      </c>
      <c r="K434" s="112"/>
    </row>
    <row r="435" spans="1:15" ht="16.5">
      <c r="A435" s="104">
        <v>430</v>
      </c>
      <c r="B435" s="13">
        <v>5080</v>
      </c>
      <c r="C435" s="9" t="s">
        <v>3398</v>
      </c>
      <c r="D435" s="9" t="s">
        <v>3399</v>
      </c>
      <c r="E435" s="71" t="s">
        <v>577</v>
      </c>
      <c r="F435" s="13">
        <v>2100</v>
      </c>
      <c r="G435" s="13">
        <v>0</v>
      </c>
      <c r="H435" s="13"/>
      <c r="I435" s="13">
        <v>8600</v>
      </c>
      <c r="J435" s="72" t="s">
        <v>3396</v>
      </c>
      <c r="K435" s="112"/>
    </row>
    <row r="436" spans="1:15" ht="16.5">
      <c r="A436" s="118">
        <v>431</v>
      </c>
      <c r="B436" s="13">
        <v>5079</v>
      </c>
      <c r="C436" s="9" t="s">
        <v>3400</v>
      </c>
      <c r="D436" s="9" t="s">
        <v>3399</v>
      </c>
      <c r="E436" s="71" t="s">
        <v>577</v>
      </c>
      <c r="F436" s="13">
        <v>2100</v>
      </c>
      <c r="G436" s="13">
        <v>0</v>
      </c>
      <c r="H436" s="13">
        <v>0</v>
      </c>
      <c r="I436" s="13">
        <v>4200</v>
      </c>
      <c r="J436" s="72" t="s">
        <v>3401</v>
      </c>
      <c r="K436" s="112"/>
    </row>
    <row r="437" spans="1:15" ht="16.5">
      <c r="A437" s="104">
        <v>432</v>
      </c>
      <c r="B437" s="13">
        <v>6058</v>
      </c>
      <c r="C437" s="9" t="s">
        <v>3402</v>
      </c>
      <c r="D437" s="9" t="s">
        <v>3366</v>
      </c>
      <c r="E437" s="71" t="s">
        <v>577</v>
      </c>
      <c r="F437" s="13">
        <v>1700</v>
      </c>
      <c r="G437" s="13">
        <v>0</v>
      </c>
      <c r="H437" s="13">
        <v>0</v>
      </c>
      <c r="I437" s="13">
        <v>3400</v>
      </c>
      <c r="J437" s="15" t="s">
        <v>3403</v>
      </c>
      <c r="K437" s="112"/>
    </row>
    <row r="438" spans="1:15" ht="16.5">
      <c r="A438" s="118">
        <v>433</v>
      </c>
      <c r="B438" s="128">
        <v>6175</v>
      </c>
      <c r="C438" s="31" t="s">
        <v>3404</v>
      </c>
      <c r="D438" s="9" t="s">
        <v>3405</v>
      </c>
      <c r="E438" s="53" t="s">
        <v>3200</v>
      </c>
      <c r="F438" s="32">
        <v>2000</v>
      </c>
      <c r="G438" s="32">
        <v>10000</v>
      </c>
      <c r="H438" s="32">
        <v>3000</v>
      </c>
      <c r="I438" s="32">
        <v>13000</v>
      </c>
      <c r="J438" s="23" t="s">
        <v>3406</v>
      </c>
      <c r="K438" s="112" t="s">
        <v>3407</v>
      </c>
    </row>
    <row r="439" spans="1:15" ht="16.5">
      <c r="A439" s="104">
        <v>434</v>
      </c>
      <c r="B439" s="128">
        <v>6216</v>
      </c>
      <c r="C439" s="31" t="s">
        <v>2443</v>
      </c>
      <c r="D439" s="9" t="s">
        <v>3408</v>
      </c>
      <c r="E439" s="53" t="s">
        <v>3200</v>
      </c>
      <c r="F439" s="32">
        <v>1050</v>
      </c>
      <c r="G439" s="32">
        <v>3150</v>
      </c>
      <c r="H439" s="32">
        <v>0</v>
      </c>
      <c r="I439" s="32">
        <v>3150</v>
      </c>
      <c r="J439" s="23" t="s">
        <v>3382</v>
      </c>
      <c r="K439" s="112" t="s">
        <v>3407</v>
      </c>
    </row>
    <row r="440" spans="1:15" ht="16.5">
      <c r="A440" s="118">
        <v>435</v>
      </c>
      <c r="B440" s="13">
        <v>6215</v>
      </c>
      <c r="C440" s="9" t="s">
        <v>3409</v>
      </c>
      <c r="D440" s="9" t="s">
        <v>3408</v>
      </c>
      <c r="E440" s="71" t="s">
        <v>2472</v>
      </c>
      <c r="F440" s="13">
        <v>2100</v>
      </c>
      <c r="G440" s="13">
        <v>2100</v>
      </c>
      <c r="H440" s="13">
        <v>3000</v>
      </c>
      <c r="I440" s="104">
        <v>5100</v>
      </c>
      <c r="J440" s="15" t="s">
        <v>3382</v>
      </c>
      <c r="K440" s="112" t="s">
        <v>3407</v>
      </c>
    </row>
    <row r="441" spans="1:15" ht="16.5">
      <c r="A441" s="104">
        <v>436</v>
      </c>
      <c r="B441" s="13">
        <v>6214</v>
      </c>
      <c r="C441" s="9" t="s">
        <v>661</v>
      </c>
      <c r="D441" s="9" t="s">
        <v>3408</v>
      </c>
      <c r="E441" s="66" t="s">
        <v>2490</v>
      </c>
      <c r="F441" s="13">
        <v>2100</v>
      </c>
      <c r="G441" s="13">
        <v>6300</v>
      </c>
      <c r="H441" s="13">
        <v>0</v>
      </c>
      <c r="I441" s="13">
        <v>6300</v>
      </c>
      <c r="J441" s="72" t="s">
        <v>3382</v>
      </c>
      <c r="K441" s="112" t="s">
        <v>3407</v>
      </c>
    </row>
    <row r="442" spans="1:15" ht="16.5">
      <c r="A442" s="118">
        <v>437</v>
      </c>
      <c r="B442" s="13">
        <v>6187</v>
      </c>
      <c r="C442" s="9" t="s">
        <v>3410</v>
      </c>
      <c r="D442" s="9" t="s">
        <v>487</v>
      </c>
      <c r="E442" s="11" t="s">
        <v>3411</v>
      </c>
      <c r="F442" s="13">
        <v>2000</v>
      </c>
      <c r="G442" s="13">
        <v>4000</v>
      </c>
      <c r="H442" s="13">
        <v>0</v>
      </c>
      <c r="I442" s="13">
        <v>4000</v>
      </c>
      <c r="J442" s="15" t="s">
        <v>3412</v>
      </c>
      <c r="K442" s="112"/>
    </row>
    <row r="443" spans="1:15" ht="16.5">
      <c r="A443" s="104">
        <v>438</v>
      </c>
      <c r="B443" s="27">
        <v>6041</v>
      </c>
      <c r="C443" s="26" t="s">
        <v>3413</v>
      </c>
      <c r="D443" s="27" t="s">
        <v>3414</v>
      </c>
      <c r="E443" s="11" t="s">
        <v>3411</v>
      </c>
      <c r="F443" s="30">
        <v>1600</v>
      </c>
      <c r="G443" s="30">
        <v>1600</v>
      </c>
      <c r="H443" s="30">
        <v>0</v>
      </c>
      <c r="I443" s="30">
        <v>1600</v>
      </c>
      <c r="J443" s="29" t="s">
        <v>3415</v>
      </c>
      <c r="K443" s="112"/>
    </row>
    <row r="444" spans="1:15" ht="30">
      <c r="A444" s="118">
        <v>439</v>
      </c>
      <c r="B444" s="13">
        <v>6304</v>
      </c>
      <c r="C444" s="9" t="s">
        <v>3416</v>
      </c>
      <c r="D444" s="9" t="s">
        <v>444</v>
      </c>
      <c r="E444" s="66" t="s">
        <v>3417</v>
      </c>
      <c r="F444" s="13">
        <v>1100</v>
      </c>
      <c r="G444" s="13">
        <v>0</v>
      </c>
      <c r="H444" s="13">
        <v>0</v>
      </c>
      <c r="I444" s="13">
        <v>0</v>
      </c>
      <c r="J444" s="23" t="s">
        <v>3418</v>
      </c>
      <c r="K444" s="112" t="s">
        <v>3419</v>
      </c>
    </row>
    <row r="445" spans="1:15" ht="16.5">
      <c r="A445" s="104">
        <v>440</v>
      </c>
      <c r="B445" s="13">
        <v>6282</v>
      </c>
      <c r="C445" s="9" t="s">
        <v>3420</v>
      </c>
      <c r="D445" s="9" t="s">
        <v>3421</v>
      </c>
      <c r="E445" s="66" t="s">
        <v>3422</v>
      </c>
      <c r="F445" s="12">
        <v>2000</v>
      </c>
      <c r="G445" s="104">
        <v>2000</v>
      </c>
      <c r="H445" s="104">
        <v>3000</v>
      </c>
      <c r="I445" s="104">
        <v>5000</v>
      </c>
      <c r="J445" s="15" t="s">
        <v>3423</v>
      </c>
      <c r="K445" s="104" t="s">
        <v>3419</v>
      </c>
      <c r="L445" t="e">
        <f>SUM(#REF!)</f>
        <v>#REF!</v>
      </c>
      <c r="M445">
        <f>SUM(M419:M441)</f>
        <v>0</v>
      </c>
    </row>
    <row r="446" spans="1:15" ht="16.5">
      <c r="A446" s="118">
        <v>441</v>
      </c>
      <c r="B446" s="128">
        <v>4954</v>
      </c>
      <c r="C446" s="31" t="s">
        <v>3424</v>
      </c>
      <c r="D446" s="9" t="s">
        <v>3425</v>
      </c>
      <c r="E446" s="53" t="s">
        <v>3426</v>
      </c>
      <c r="F446" s="12">
        <v>2000</v>
      </c>
      <c r="G446" s="104">
        <v>2000</v>
      </c>
      <c r="H446" s="104">
        <v>3000</v>
      </c>
      <c r="I446" s="104">
        <v>5000</v>
      </c>
      <c r="J446" s="23" t="s">
        <v>3427</v>
      </c>
      <c r="K446" s="104" t="s">
        <v>3419</v>
      </c>
      <c r="N446">
        <f>SUM(N418:N442)</f>
        <v>0</v>
      </c>
      <c r="O446">
        <f>SUM(O418:O445)</f>
        <v>0</v>
      </c>
    </row>
    <row r="447" spans="1:15" ht="16.5">
      <c r="A447" s="104">
        <v>442</v>
      </c>
      <c r="B447" s="13">
        <v>4398</v>
      </c>
      <c r="C447" s="9" t="s">
        <v>886</v>
      </c>
      <c r="D447" s="9" t="s">
        <v>3425</v>
      </c>
      <c r="E447" s="66" t="s">
        <v>1127</v>
      </c>
      <c r="F447" s="12">
        <v>2100</v>
      </c>
      <c r="G447" s="104">
        <v>2100</v>
      </c>
      <c r="H447" s="104">
        <v>3000</v>
      </c>
      <c r="I447" s="104">
        <v>5100</v>
      </c>
      <c r="J447" s="72" t="s">
        <v>3428</v>
      </c>
      <c r="K447" s="104" t="s">
        <v>3419</v>
      </c>
    </row>
    <row r="448" spans="1:15" ht="16.5">
      <c r="A448" s="118">
        <v>443</v>
      </c>
      <c r="B448" s="13">
        <v>1902</v>
      </c>
      <c r="C448" s="9" t="s">
        <v>3429</v>
      </c>
      <c r="D448" s="9" t="s">
        <v>2052</v>
      </c>
      <c r="E448" s="66" t="s">
        <v>2555</v>
      </c>
      <c r="F448" s="12">
        <v>2200</v>
      </c>
      <c r="G448" s="104">
        <v>2200</v>
      </c>
      <c r="H448" s="104">
        <v>3000</v>
      </c>
      <c r="I448" s="104">
        <v>5200</v>
      </c>
      <c r="J448" s="72" t="s">
        <v>3430</v>
      </c>
      <c r="K448" s="104" t="s">
        <v>3431</v>
      </c>
      <c r="O448">
        <f>SUM(L446:N446)</f>
        <v>0</v>
      </c>
    </row>
    <row r="449" spans="1:11" ht="16.5">
      <c r="A449" s="104">
        <v>444</v>
      </c>
      <c r="B449" s="19">
        <v>6081</v>
      </c>
      <c r="C449" s="21" t="s">
        <v>3432</v>
      </c>
      <c r="D449" s="21" t="s">
        <v>3433</v>
      </c>
      <c r="E449" s="66" t="s">
        <v>1689</v>
      </c>
      <c r="F449" s="12">
        <v>2200</v>
      </c>
      <c r="G449" s="104">
        <v>2200</v>
      </c>
      <c r="H449" s="104"/>
      <c r="I449" s="104">
        <v>2200</v>
      </c>
      <c r="J449" s="97" t="s">
        <v>435</v>
      </c>
      <c r="K449" s="104" t="s">
        <v>3431</v>
      </c>
    </row>
    <row r="450" spans="1:11" ht="16.5">
      <c r="A450" s="118">
        <v>445</v>
      </c>
      <c r="B450" s="8">
        <v>5087</v>
      </c>
      <c r="C450" s="10" t="s">
        <v>1275</v>
      </c>
      <c r="D450" s="10" t="s">
        <v>2031</v>
      </c>
      <c r="E450" s="71" t="s">
        <v>3434</v>
      </c>
      <c r="F450" s="12">
        <v>1900</v>
      </c>
      <c r="G450" s="104">
        <v>1900</v>
      </c>
      <c r="H450" s="104">
        <v>3000</v>
      </c>
      <c r="I450" s="104">
        <v>4900</v>
      </c>
      <c r="J450" s="37" t="s">
        <v>3435</v>
      </c>
      <c r="K450" s="104" t="s">
        <v>3431</v>
      </c>
    </row>
    <row r="451" spans="1:11" ht="16.5">
      <c r="A451" s="104">
        <v>446</v>
      </c>
      <c r="B451" s="13">
        <v>5088</v>
      </c>
      <c r="C451" s="9" t="s">
        <v>3436</v>
      </c>
      <c r="D451" s="9" t="s">
        <v>2031</v>
      </c>
      <c r="E451" s="71" t="s">
        <v>3437</v>
      </c>
      <c r="F451" s="12">
        <v>1900</v>
      </c>
      <c r="G451" s="104">
        <v>1900</v>
      </c>
      <c r="H451" s="104"/>
      <c r="I451" s="104">
        <v>1900</v>
      </c>
      <c r="J451" s="23" t="s">
        <v>3234</v>
      </c>
      <c r="K451" s="104" t="s">
        <v>3431</v>
      </c>
    </row>
    <row r="452" spans="1:11" ht="16.5">
      <c r="A452" s="118">
        <v>447</v>
      </c>
      <c r="B452" s="13">
        <v>6049</v>
      </c>
      <c r="C452" s="9" t="s">
        <v>3438</v>
      </c>
      <c r="D452" s="9" t="s">
        <v>3439</v>
      </c>
      <c r="E452" s="66" t="s">
        <v>3440</v>
      </c>
      <c r="F452" s="12">
        <v>2400</v>
      </c>
      <c r="G452" s="104">
        <v>2400</v>
      </c>
      <c r="H452" s="104">
        <v>3000</v>
      </c>
      <c r="I452" s="104">
        <v>5400</v>
      </c>
      <c r="J452" s="65" t="s">
        <v>3441</v>
      </c>
      <c r="K452" s="104" t="s">
        <v>3431</v>
      </c>
    </row>
    <row r="453" spans="1:11" ht="16.5">
      <c r="A453" s="104">
        <v>448</v>
      </c>
      <c r="B453" s="27">
        <v>6069</v>
      </c>
      <c r="C453" s="26" t="s">
        <v>3442</v>
      </c>
      <c r="D453" s="27" t="s">
        <v>1916</v>
      </c>
      <c r="E453" s="11" t="s">
        <v>147</v>
      </c>
      <c r="F453" s="12">
        <v>2000</v>
      </c>
      <c r="G453" s="104">
        <v>2000</v>
      </c>
      <c r="H453" s="104">
        <v>3000</v>
      </c>
      <c r="I453" s="104">
        <v>5000</v>
      </c>
      <c r="J453" s="29" t="s">
        <v>3443</v>
      </c>
      <c r="K453" s="104" t="s">
        <v>3444</v>
      </c>
    </row>
    <row r="454" spans="1:11" ht="16.5">
      <c r="A454" s="118">
        <v>449</v>
      </c>
      <c r="B454" s="27">
        <v>6125</v>
      </c>
      <c r="C454" s="26" t="s">
        <v>3445</v>
      </c>
      <c r="D454" s="27" t="s">
        <v>678</v>
      </c>
      <c r="E454" s="11" t="s">
        <v>2430</v>
      </c>
      <c r="F454" s="12">
        <v>2000</v>
      </c>
      <c r="G454" s="104">
        <v>2000</v>
      </c>
      <c r="H454" s="104">
        <v>3000</v>
      </c>
      <c r="I454" s="104">
        <v>5000</v>
      </c>
      <c r="J454" s="29" t="s">
        <v>3446</v>
      </c>
      <c r="K454" s="104" t="s">
        <v>3444</v>
      </c>
    </row>
    <row r="455" spans="1:11" ht="16.5">
      <c r="A455" s="104">
        <v>450</v>
      </c>
      <c r="B455" s="128">
        <v>6246</v>
      </c>
      <c r="C455" s="31" t="s">
        <v>41</v>
      </c>
      <c r="D455" s="9" t="s">
        <v>3447</v>
      </c>
      <c r="E455" s="53" t="s">
        <v>3448</v>
      </c>
      <c r="F455" s="12">
        <v>2000</v>
      </c>
      <c r="G455" s="104">
        <v>4000</v>
      </c>
      <c r="H455" s="104">
        <v>3000</v>
      </c>
      <c r="I455" s="104">
        <v>7000</v>
      </c>
      <c r="J455" s="23" t="s">
        <v>3449</v>
      </c>
      <c r="K455" s="104" t="s">
        <v>3444</v>
      </c>
    </row>
    <row r="456" spans="1:11" ht="16.5">
      <c r="A456" s="118">
        <v>451</v>
      </c>
      <c r="B456" s="128">
        <v>6156</v>
      </c>
      <c r="C456" s="31" t="s">
        <v>798</v>
      </c>
      <c r="D456" s="9" t="s">
        <v>3450</v>
      </c>
      <c r="E456" s="53" t="s">
        <v>3426</v>
      </c>
      <c r="F456" s="12">
        <v>1600</v>
      </c>
      <c r="G456" s="104">
        <v>4800</v>
      </c>
      <c r="H456" s="104">
        <v>3000</v>
      </c>
      <c r="I456" s="104">
        <v>7800</v>
      </c>
      <c r="J456" s="23" t="s">
        <v>3451</v>
      </c>
      <c r="K456" s="104" t="s">
        <v>3444</v>
      </c>
    </row>
    <row r="457" spans="1:11" ht="16.5">
      <c r="A457" s="104">
        <v>452</v>
      </c>
      <c r="B457" s="13">
        <v>4753</v>
      </c>
      <c r="C457" s="64" t="s">
        <v>3452</v>
      </c>
      <c r="D457" s="9" t="s">
        <v>3375</v>
      </c>
      <c r="E457" s="53" t="s">
        <v>3426</v>
      </c>
      <c r="F457" s="12">
        <v>1600</v>
      </c>
      <c r="G457" s="104">
        <v>3200</v>
      </c>
      <c r="H457" s="104">
        <v>3000</v>
      </c>
      <c r="I457" s="104">
        <v>6200</v>
      </c>
      <c r="J457" s="24" t="s">
        <v>3453</v>
      </c>
      <c r="K457" s="104" t="s">
        <v>3444</v>
      </c>
    </row>
    <row r="458" spans="1:11" ht="16.5">
      <c r="A458" s="118">
        <v>453</v>
      </c>
      <c r="B458" s="13">
        <v>6137</v>
      </c>
      <c r="C458" s="9" t="s">
        <v>3454</v>
      </c>
      <c r="D458" s="9" t="s">
        <v>403</v>
      </c>
      <c r="E458" s="71" t="s">
        <v>3455</v>
      </c>
      <c r="F458" s="12">
        <v>2100</v>
      </c>
      <c r="G458" s="104">
        <v>2100</v>
      </c>
      <c r="H458" s="104">
        <v>3000</v>
      </c>
      <c r="I458" s="104">
        <v>5100</v>
      </c>
      <c r="J458" s="15" t="s">
        <v>404</v>
      </c>
      <c r="K458" s="104" t="s">
        <v>3444</v>
      </c>
    </row>
    <row r="459" spans="1:11" ht="16.5">
      <c r="A459" s="104">
        <v>454</v>
      </c>
      <c r="B459" s="8">
        <v>4417</v>
      </c>
      <c r="C459" s="10" t="s">
        <v>3456</v>
      </c>
      <c r="D459" s="10" t="s">
        <v>3457</v>
      </c>
      <c r="E459" s="71" t="s">
        <v>2490</v>
      </c>
      <c r="F459" s="12">
        <v>2100</v>
      </c>
      <c r="G459" s="104">
        <v>2100</v>
      </c>
      <c r="H459" s="104">
        <v>3000</v>
      </c>
      <c r="I459" s="104">
        <v>5100</v>
      </c>
      <c r="J459" s="15" t="s">
        <v>3458</v>
      </c>
      <c r="K459" s="104" t="s">
        <v>3444</v>
      </c>
    </row>
    <row r="460" spans="1:11" ht="16.5">
      <c r="A460" s="118">
        <v>455</v>
      </c>
      <c r="B460" s="13">
        <v>6213</v>
      </c>
      <c r="C460" s="9" t="s">
        <v>3459</v>
      </c>
      <c r="D460" s="9" t="s">
        <v>233</v>
      </c>
      <c r="E460" s="71" t="s">
        <v>2490</v>
      </c>
      <c r="F460" s="12">
        <v>2100</v>
      </c>
      <c r="G460" s="104">
        <v>4200</v>
      </c>
      <c r="H460" s="104">
        <v>3000</v>
      </c>
      <c r="I460" s="104">
        <v>7200</v>
      </c>
      <c r="J460" s="15" t="s">
        <v>3382</v>
      </c>
      <c r="K460" s="104" t="s">
        <v>3444</v>
      </c>
    </row>
    <row r="461" spans="1:11" ht="16.5">
      <c r="A461" s="104">
        <v>456</v>
      </c>
      <c r="B461" s="13">
        <v>4874</v>
      </c>
      <c r="C461" s="9" t="s">
        <v>3460</v>
      </c>
      <c r="D461" s="9" t="s">
        <v>2904</v>
      </c>
      <c r="E461" s="66" t="s">
        <v>2502</v>
      </c>
      <c r="F461" s="12">
        <v>1800</v>
      </c>
      <c r="G461" s="104">
        <v>3600</v>
      </c>
      <c r="H461" s="104">
        <v>3000</v>
      </c>
      <c r="I461" s="104">
        <v>6600</v>
      </c>
      <c r="J461" s="15" t="s">
        <v>3461</v>
      </c>
      <c r="K461" s="104" t="s">
        <v>3444</v>
      </c>
    </row>
    <row r="462" spans="1:11" ht="16.5">
      <c r="A462" s="118">
        <v>457</v>
      </c>
      <c r="B462" s="13">
        <v>4643</v>
      </c>
      <c r="C462" s="9" t="s">
        <v>3462</v>
      </c>
      <c r="D462" s="9" t="s">
        <v>2369</v>
      </c>
      <c r="E462" s="66" t="s">
        <v>2502</v>
      </c>
      <c r="F462" s="12">
        <v>2100</v>
      </c>
      <c r="G462" s="104">
        <v>2100</v>
      </c>
      <c r="H462" s="104">
        <v>3000</v>
      </c>
      <c r="I462" s="104">
        <v>5100</v>
      </c>
      <c r="J462" s="15" t="s">
        <v>3463</v>
      </c>
      <c r="K462" s="104" t="s">
        <v>3444</v>
      </c>
    </row>
    <row r="463" spans="1:11" ht="16.5">
      <c r="A463" s="104">
        <v>458</v>
      </c>
      <c r="B463" s="13">
        <v>4419</v>
      </c>
      <c r="C463" s="9" t="s">
        <v>3464</v>
      </c>
      <c r="D463" s="9" t="s">
        <v>3465</v>
      </c>
      <c r="E463" s="66" t="s">
        <v>1127</v>
      </c>
      <c r="F463" s="12">
        <v>2100</v>
      </c>
      <c r="G463" s="104">
        <v>2100</v>
      </c>
      <c r="H463" s="104">
        <v>3000</v>
      </c>
      <c r="I463" s="104">
        <v>5100</v>
      </c>
      <c r="J463" s="72" t="s">
        <v>3466</v>
      </c>
      <c r="K463" s="104" t="s">
        <v>3444</v>
      </c>
    </row>
    <row r="464" spans="1:11" ht="16.5">
      <c r="A464" s="118">
        <v>459</v>
      </c>
      <c r="B464" s="13">
        <v>4190</v>
      </c>
      <c r="C464" s="9" t="s">
        <v>3467</v>
      </c>
      <c r="D464" s="9" t="s">
        <v>3155</v>
      </c>
      <c r="E464" s="66" t="s">
        <v>3173</v>
      </c>
      <c r="F464" s="12">
        <v>2100</v>
      </c>
      <c r="G464" s="104">
        <v>2100</v>
      </c>
      <c r="H464" s="104">
        <v>3000</v>
      </c>
      <c r="I464" s="104">
        <v>5100</v>
      </c>
      <c r="J464" s="15" t="s">
        <v>3468</v>
      </c>
      <c r="K464" s="104" t="s">
        <v>3444</v>
      </c>
    </row>
    <row r="465" spans="1:11" ht="16.5">
      <c r="A465" s="104">
        <v>460</v>
      </c>
      <c r="B465" s="13">
        <v>4889</v>
      </c>
      <c r="C465" s="9" t="s">
        <v>1242</v>
      </c>
      <c r="D465" s="9" t="s">
        <v>92</v>
      </c>
      <c r="E465" s="66" t="s">
        <v>3173</v>
      </c>
      <c r="F465" s="12">
        <v>2100</v>
      </c>
      <c r="G465" s="104">
        <v>2100</v>
      </c>
      <c r="H465" s="104">
        <v>3000</v>
      </c>
      <c r="I465" s="104">
        <v>5100</v>
      </c>
      <c r="J465" s="24" t="s">
        <v>3101</v>
      </c>
      <c r="K465" s="104" t="s">
        <v>3444</v>
      </c>
    </row>
    <row r="466" spans="1:11" ht="16.5">
      <c r="A466" s="118">
        <v>461</v>
      </c>
      <c r="B466" s="13">
        <v>4047</v>
      </c>
      <c r="C466" s="9" t="s">
        <v>3469</v>
      </c>
      <c r="D466" s="9" t="s">
        <v>3470</v>
      </c>
      <c r="E466" s="66" t="s">
        <v>1327</v>
      </c>
      <c r="F466" s="12">
        <v>2100</v>
      </c>
      <c r="G466" s="104">
        <v>2100</v>
      </c>
      <c r="H466" s="104">
        <v>3000</v>
      </c>
      <c r="I466" s="104">
        <v>5100</v>
      </c>
      <c r="J466" s="15" t="s">
        <v>2675</v>
      </c>
      <c r="K466" s="104" t="s">
        <v>3444</v>
      </c>
    </row>
    <row r="467" spans="1:11" ht="16.5">
      <c r="A467" s="104">
        <v>462</v>
      </c>
      <c r="B467" s="13">
        <v>4420</v>
      </c>
      <c r="C467" s="9" t="s">
        <v>3471</v>
      </c>
      <c r="D467" s="9" t="s">
        <v>3457</v>
      </c>
      <c r="E467" s="66" t="s">
        <v>1327</v>
      </c>
      <c r="F467" s="12">
        <v>1200</v>
      </c>
      <c r="G467" s="104">
        <v>1200</v>
      </c>
      <c r="H467" s="104">
        <v>3000</v>
      </c>
      <c r="I467" s="104">
        <v>4200</v>
      </c>
      <c r="J467" s="72" t="s">
        <v>3472</v>
      </c>
      <c r="K467" s="104" t="s">
        <v>3444</v>
      </c>
    </row>
    <row r="468" spans="1:11" ht="16.5">
      <c r="A468" s="118">
        <v>463</v>
      </c>
      <c r="B468" s="13">
        <v>4645</v>
      </c>
      <c r="C468" s="9" t="s">
        <v>3473</v>
      </c>
      <c r="D468" s="9" t="s">
        <v>2369</v>
      </c>
      <c r="E468" s="66" t="s">
        <v>1327</v>
      </c>
      <c r="F468" s="12">
        <v>2100</v>
      </c>
      <c r="G468" s="104">
        <v>2100</v>
      </c>
      <c r="H468" s="104">
        <v>3000</v>
      </c>
      <c r="I468" s="104">
        <v>5100</v>
      </c>
      <c r="J468" s="15" t="s">
        <v>3463</v>
      </c>
      <c r="K468" s="104" t="s">
        <v>3444</v>
      </c>
    </row>
    <row r="469" spans="1:11" ht="16.5">
      <c r="A469" s="104">
        <v>464</v>
      </c>
      <c r="B469" s="13">
        <v>4644</v>
      </c>
      <c r="C469" s="9" t="s">
        <v>3474</v>
      </c>
      <c r="D469" s="9" t="s">
        <v>2369</v>
      </c>
      <c r="E469" s="66" t="s">
        <v>1327</v>
      </c>
      <c r="F469" s="12">
        <v>1900</v>
      </c>
      <c r="G469" s="104">
        <v>1900</v>
      </c>
      <c r="H469" s="104">
        <v>3000</v>
      </c>
      <c r="I469" s="104">
        <v>4900</v>
      </c>
      <c r="J469" s="15" t="s">
        <v>3463</v>
      </c>
      <c r="K469" s="104" t="s">
        <v>3444</v>
      </c>
    </row>
    <row r="470" spans="1:11" ht="16.5">
      <c r="A470" s="118">
        <v>465</v>
      </c>
      <c r="B470" s="13">
        <v>6136</v>
      </c>
      <c r="C470" s="9" t="s">
        <v>3475</v>
      </c>
      <c r="D470" s="9" t="s">
        <v>403</v>
      </c>
      <c r="E470" s="66" t="s">
        <v>1327</v>
      </c>
      <c r="F470" s="12">
        <v>0</v>
      </c>
      <c r="G470" s="104">
        <v>0</v>
      </c>
      <c r="H470" s="104">
        <v>3000</v>
      </c>
      <c r="I470" s="104">
        <v>3000</v>
      </c>
      <c r="J470" s="15" t="s">
        <v>404</v>
      </c>
      <c r="K470" s="104" t="s">
        <v>3444</v>
      </c>
    </row>
    <row r="471" spans="1:11" ht="16.5">
      <c r="A471" s="104">
        <v>466</v>
      </c>
      <c r="B471" s="60">
        <v>4996</v>
      </c>
      <c r="C471" s="63" t="s">
        <v>3476</v>
      </c>
      <c r="D471" s="63" t="s">
        <v>678</v>
      </c>
      <c r="E471" s="71" t="s">
        <v>1407</v>
      </c>
      <c r="F471" s="12">
        <v>2100</v>
      </c>
      <c r="G471" s="104">
        <v>2100</v>
      </c>
      <c r="H471" s="104">
        <v>3000</v>
      </c>
      <c r="I471" s="104">
        <v>5100</v>
      </c>
      <c r="J471" s="51" t="s">
        <v>3477</v>
      </c>
      <c r="K471" s="104" t="s">
        <v>3444</v>
      </c>
    </row>
    <row r="472" spans="1:11" ht="16.5">
      <c r="A472" s="118">
        <v>467</v>
      </c>
      <c r="B472" s="60">
        <v>6021</v>
      </c>
      <c r="C472" s="9" t="s">
        <v>121</v>
      </c>
      <c r="D472" s="63" t="s">
        <v>372</v>
      </c>
      <c r="E472" s="71" t="s">
        <v>1407</v>
      </c>
      <c r="F472" s="12">
        <v>2100</v>
      </c>
      <c r="G472" s="104">
        <v>2100</v>
      </c>
      <c r="H472" s="104">
        <v>3000</v>
      </c>
      <c r="I472" s="104">
        <v>5100</v>
      </c>
      <c r="J472" s="51" t="s">
        <v>373</v>
      </c>
      <c r="K472" s="104" t="s">
        <v>3444</v>
      </c>
    </row>
    <row r="473" spans="1:11" ht="16.5">
      <c r="A473" s="104">
        <v>468</v>
      </c>
      <c r="B473" s="60">
        <v>6190</v>
      </c>
      <c r="C473" s="9" t="s">
        <v>3232</v>
      </c>
      <c r="D473" s="63" t="s">
        <v>3145</v>
      </c>
      <c r="E473" s="71" t="s">
        <v>1407</v>
      </c>
      <c r="F473" s="12">
        <v>2100</v>
      </c>
      <c r="G473" s="104">
        <v>4200</v>
      </c>
      <c r="H473" s="104">
        <v>3000</v>
      </c>
      <c r="I473" s="104">
        <v>7200</v>
      </c>
      <c r="J473" s="51" t="s">
        <v>3478</v>
      </c>
      <c r="K473" s="104" t="s">
        <v>3444</v>
      </c>
    </row>
    <row r="474" spans="1:11" ht="16.5">
      <c r="A474" s="118">
        <v>469</v>
      </c>
      <c r="B474" s="13">
        <v>1901</v>
      </c>
      <c r="C474" s="9" t="s">
        <v>3288</v>
      </c>
      <c r="D474" s="9" t="s">
        <v>3289</v>
      </c>
      <c r="E474" s="66" t="s">
        <v>2555</v>
      </c>
      <c r="F474" s="12">
        <v>2200</v>
      </c>
      <c r="G474" s="104">
        <v>2200</v>
      </c>
      <c r="H474" s="104">
        <v>3000</v>
      </c>
      <c r="I474" s="104">
        <v>5200</v>
      </c>
      <c r="J474" s="23" t="s">
        <v>3479</v>
      </c>
      <c r="K474" s="104" t="s">
        <v>3444</v>
      </c>
    </row>
    <row r="475" spans="1:11" ht="16.5">
      <c r="A475" s="104">
        <v>470</v>
      </c>
      <c r="B475" s="13">
        <v>1935</v>
      </c>
      <c r="C475" s="9" t="s">
        <v>2585</v>
      </c>
      <c r="D475" s="9" t="s">
        <v>1419</v>
      </c>
      <c r="E475" s="66" t="s">
        <v>2555</v>
      </c>
      <c r="F475" s="12">
        <v>0</v>
      </c>
      <c r="G475" s="104">
        <v>0</v>
      </c>
      <c r="H475" s="104">
        <v>3000</v>
      </c>
      <c r="I475" s="104">
        <v>3000</v>
      </c>
      <c r="J475" s="15" t="s">
        <v>3480</v>
      </c>
      <c r="K475" s="104" t="s">
        <v>3444</v>
      </c>
    </row>
    <row r="476" spans="1:11" ht="16.5">
      <c r="A476" s="118">
        <v>471</v>
      </c>
      <c r="B476" s="13">
        <v>4058</v>
      </c>
      <c r="C476" s="9" t="s">
        <v>3481</v>
      </c>
      <c r="D476" s="9" t="s">
        <v>3482</v>
      </c>
      <c r="E476" s="66" t="s">
        <v>2555</v>
      </c>
      <c r="F476" s="13">
        <v>2200</v>
      </c>
      <c r="G476" s="104">
        <v>2200</v>
      </c>
      <c r="H476" s="104">
        <v>3000</v>
      </c>
      <c r="I476" s="104">
        <v>5200</v>
      </c>
      <c r="J476" s="72" t="s">
        <v>2769</v>
      </c>
      <c r="K476" s="104" t="s">
        <v>3444</v>
      </c>
    </row>
    <row r="477" spans="1:11" ht="16.5">
      <c r="A477" s="104">
        <v>472</v>
      </c>
      <c r="B477" s="13">
        <v>4726</v>
      </c>
      <c r="C477" s="9" t="s">
        <v>700</v>
      </c>
      <c r="D477" s="9" t="s">
        <v>3483</v>
      </c>
      <c r="E477" s="66" t="s">
        <v>2555</v>
      </c>
      <c r="F477" s="13">
        <v>2200</v>
      </c>
      <c r="G477" s="104">
        <v>2200</v>
      </c>
      <c r="H477" s="104">
        <v>3000</v>
      </c>
      <c r="I477" s="104">
        <v>5200</v>
      </c>
      <c r="J477" s="72" t="s">
        <v>3484</v>
      </c>
      <c r="K477" s="104" t="s">
        <v>3444</v>
      </c>
    </row>
    <row r="478" spans="1:11" ht="16.5">
      <c r="A478" s="118">
        <v>473</v>
      </c>
      <c r="B478" s="31">
        <v>4945</v>
      </c>
      <c r="C478" s="31" t="s">
        <v>3485</v>
      </c>
      <c r="D478" s="9" t="s">
        <v>3486</v>
      </c>
      <c r="E478" s="66" t="s">
        <v>2555</v>
      </c>
      <c r="F478" s="32">
        <v>2200</v>
      </c>
      <c r="G478" s="104">
        <v>2200</v>
      </c>
      <c r="H478" s="104">
        <v>3000</v>
      </c>
      <c r="I478" s="104">
        <v>5200</v>
      </c>
      <c r="J478" s="23" t="s">
        <v>3487</v>
      </c>
      <c r="K478" s="104" t="s">
        <v>3444</v>
      </c>
    </row>
    <row r="479" spans="1:11" ht="16.5">
      <c r="A479" s="104">
        <v>474</v>
      </c>
      <c r="B479" s="13">
        <v>6189</v>
      </c>
      <c r="C479" s="9" t="s">
        <v>3172</v>
      </c>
      <c r="D479" s="9" t="s">
        <v>3145</v>
      </c>
      <c r="E479" s="66" t="s">
        <v>2555</v>
      </c>
      <c r="F479" s="13">
        <v>2200</v>
      </c>
      <c r="G479" s="104">
        <v>4200</v>
      </c>
      <c r="H479" s="104">
        <v>3000</v>
      </c>
      <c r="I479" s="104">
        <v>7200</v>
      </c>
      <c r="J479" s="23" t="s">
        <v>3146</v>
      </c>
      <c r="K479" s="104" t="s">
        <v>3444</v>
      </c>
    </row>
    <row r="480" spans="1:11" ht="20.100000000000001" customHeight="1">
      <c r="A480" s="118">
        <v>475</v>
      </c>
      <c r="B480" s="13">
        <v>6238</v>
      </c>
      <c r="C480" s="9" t="s">
        <v>3488</v>
      </c>
      <c r="D480" s="9" t="s">
        <v>698</v>
      </c>
      <c r="E480" s="71" t="s">
        <v>3437</v>
      </c>
      <c r="F480" s="13">
        <v>2300</v>
      </c>
      <c r="G480" s="13">
        <v>4500</v>
      </c>
      <c r="H480" s="13">
        <v>3000</v>
      </c>
      <c r="I480" s="13">
        <v>7500</v>
      </c>
      <c r="J480" s="23" t="s">
        <v>3489</v>
      </c>
      <c r="K480" s="259" t="s">
        <v>3490</v>
      </c>
    </row>
    <row r="481" spans="1:11" ht="20.100000000000001" customHeight="1">
      <c r="A481" s="104">
        <v>476</v>
      </c>
      <c r="B481" s="13">
        <v>4729</v>
      </c>
      <c r="C481" s="9" t="s">
        <v>1575</v>
      </c>
      <c r="D481" s="9" t="s">
        <v>3483</v>
      </c>
      <c r="E481" s="71" t="s">
        <v>3491</v>
      </c>
      <c r="F481" s="13">
        <v>2400</v>
      </c>
      <c r="G481" s="13">
        <v>2400</v>
      </c>
      <c r="H481" s="13">
        <v>3000</v>
      </c>
      <c r="I481" s="13">
        <v>5400</v>
      </c>
      <c r="J481" s="23" t="s">
        <v>3492</v>
      </c>
      <c r="K481" s="259" t="s">
        <v>3490</v>
      </c>
    </row>
    <row r="482" spans="1:11" ht="28.5" customHeight="1">
      <c r="A482" s="118">
        <v>477</v>
      </c>
      <c r="B482" s="60">
        <v>5052</v>
      </c>
      <c r="C482" s="63" t="s">
        <v>3493</v>
      </c>
      <c r="D482" s="63" t="s">
        <v>3494</v>
      </c>
      <c r="E482" s="71" t="s">
        <v>3491</v>
      </c>
      <c r="F482" s="60">
        <v>2400</v>
      </c>
      <c r="G482" s="60">
        <v>2400</v>
      </c>
      <c r="H482" s="60">
        <v>3000</v>
      </c>
      <c r="I482" s="60">
        <v>5400</v>
      </c>
      <c r="J482" s="29" t="s">
        <v>3495</v>
      </c>
      <c r="K482" s="260" t="s">
        <v>3490</v>
      </c>
    </row>
    <row r="483" spans="1:11" ht="22.5" customHeight="1">
      <c r="A483" s="104">
        <v>478</v>
      </c>
      <c r="B483" s="13">
        <v>6104</v>
      </c>
      <c r="C483" s="9" t="s">
        <v>3496</v>
      </c>
      <c r="D483" s="9" t="s">
        <v>3497</v>
      </c>
      <c r="E483" s="66" t="s">
        <v>2543</v>
      </c>
      <c r="F483" s="13">
        <v>2200</v>
      </c>
      <c r="G483" s="13">
        <v>2200</v>
      </c>
      <c r="H483" s="13">
        <v>3000</v>
      </c>
      <c r="I483" s="13">
        <v>5200</v>
      </c>
      <c r="J483" s="72" t="s">
        <v>3498</v>
      </c>
      <c r="K483" s="259" t="s">
        <v>3490</v>
      </c>
    </row>
    <row r="484" spans="1:11" ht="20.100000000000001" customHeight="1">
      <c r="A484" s="118">
        <v>479</v>
      </c>
      <c r="B484" s="19">
        <v>6130</v>
      </c>
      <c r="C484" s="21" t="s">
        <v>3499</v>
      </c>
      <c r="D484" s="21" t="s">
        <v>3295</v>
      </c>
      <c r="E484" s="66" t="s">
        <v>1689</v>
      </c>
      <c r="F484" s="19">
        <v>1900</v>
      </c>
      <c r="G484" s="19">
        <v>1900</v>
      </c>
      <c r="H484" s="19">
        <v>3000</v>
      </c>
      <c r="I484" s="19">
        <v>4900</v>
      </c>
      <c r="J484" s="97" t="s">
        <v>3296</v>
      </c>
      <c r="K484" s="259" t="s">
        <v>3490</v>
      </c>
    </row>
    <row r="485" spans="1:11" ht="20.100000000000001" customHeight="1">
      <c r="A485" s="104">
        <v>480</v>
      </c>
      <c r="B485" s="13">
        <v>6212</v>
      </c>
      <c r="C485" s="9" t="s">
        <v>640</v>
      </c>
      <c r="D485" s="9" t="s">
        <v>233</v>
      </c>
      <c r="E485" s="66" t="s">
        <v>1127</v>
      </c>
      <c r="F485" s="13">
        <v>2100</v>
      </c>
      <c r="G485" s="13">
        <v>6300</v>
      </c>
      <c r="H485" s="13">
        <v>3000</v>
      </c>
      <c r="I485" s="19">
        <v>9300</v>
      </c>
      <c r="J485" s="72" t="s">
        <v>3500</v>
      </c>
      <c r="K485" s="259" t="s">
        <v>3490</v>
      </c>
    </row>
    <row r="486" spans="1:11" ht="20.100000000000001" customHeight="1">
      <c r="A486" s="118">
        <v>481</v>
      </c>
      <c r="B486" s="19">
        <v>6256</v>
      </c>
      <c r="C486" s="21" t="s">
        <v>57</v>
      </c>
      <c r="D486" s="21" t="s">
        <v>3378</v>
      </c>
      <c r="E486" s="66" t="s">
        <v>1689</v>
      </c>
      <c r="F486" s="170">
        <v>2200</v>
      </c>
      <c r="G486" s="170">
        <v>4400</v>
      </c>
      <c r="H486" s="170">
        <v>3000</v>
      </c>
      <c r="I486" s="170">
        <v>7400</v>
      </c>
      <c r="J486" s="97" t="s">
        <v>3501</v>
      </c>
      <c r="K486" s="259" t="s">
        <v>3490</v>
      </c>
    </row>
    <row r="487" spans="1:11" ht="16.5">
      <c r="A487" s="104">
        <v>482</v>
      </c>
      <c r="B487" s="13">
        <v>6155</v>
      </c>
      <c r="C487" s="9" t="s">
        <v>2559</v>
      </c>
      <c r="D487" s="9" t="s">
        <v>207</v>
      </c>
      <c r="E487" s="71" t="s">
        <v>3502</v>
      </c>
      <c r="F487" s="13">
        <v>2100</v>
      </c>
      <c r="G487" s="104">
        <v>6300</v>
      </c>
      <c r="H487" s="104">
        <v>3000</v>
      </c>
      <c r="I487" s="104">
        <v>6300</v>
      </c>
      <c r="J487" s="23" t="s">
        <v>3451</v>
      </c>
      <c r="K487" s="104" t="s">
        <v>3503</v>
      </c>
    </row>
    <row r="488" spans="1:11" ht="16.5">
      <c r="A488" s="118">
        <v>483</v>
      </c>
      <c r="B488" s="19">
        <v>6232</v>
      </c>
      <c r="C488" s="21" t="s">
        <v>2507</v>
      </c>
      <c r="D488" s="21" t="s">
        <v>2079</v>
      </c>
      <c r="E488" s="71" t="s">
        <v>3434</v>
      </c>
      <c r="F488" s="19">
        <v>2300</v>
      </c>
      <c r="G488" s="104">
        <v>4600</v>
      </c>
      <c r="H488" s="104">
        <v>3000</v>
      </c>
      <c r="I488" s="104">
        <v>7600</v>
      </c>
      <c r="J488" s="46" t="s">
        <v>2056</v>
      </c>
      <c r="K488" s="259" t="s">
        <v>3490</v>
      </c>
    </row>
    <row r="489" spans="1:11" ht="16.5">
      <c r="A489" s="104">
        <v>484</v>
      </c>
      <c r="B489" s="30">
        <v>6001</v>
      </c>
      <c r="C489" s="10" t="s">
        <v>3504</v>
      </c>
      <c r="D489" s="59" t="s">
        <v>3505</v>
      </c>
      <c r="E489" s="66" t="s">
        <v>2555</v>
      </c>
      <c r="F489" s="30">
        <v>2200</v>
      </c>
      <c r="G489" s="104">
        <v>2200</v>
      </c>
      <c r="H489" s="104">
        <v>3000</v>
      </c>
      <c r="I489" s="104">
        <v>5200</v>
      </c>
      <c r="J489" s="261" t="s">
        <v>3506</v>
      </c>
      <c r="K489" s="259" t="s">
        <v>3507</v>
      </c>
    </row>
    <row r="490" spans="1:11" ht="20.100000000000001" customHeight="1">
      <c r="A490" s="118">
        <v>485</v>
      </c>
      <c r="B490" s="13">
        <v>6245</v>
      </c>
      <c r="C490" s="9" t="s">
        <v>640</v>
      </c>
      <c r="D490" s="9" t="s">
        <v>3447</v>
      </c>
      <c r="E490" s="11" t="s">
        <v>147</v>
      </c>
      <c r="F490" s="13">
        <v>1500</v>
      </c>
      <c r="G490" s="13">
        <v>4500</v>
      </c>
      <c r="H490" s="13">
        <v>3000</v>
      </c>
      <c r="I490" s="15">
        <v>7500</v>
      </c>
      <c r="J490" s="15" t="s">
        <v>3508</v>
      </c>
      <c r="K490" s="259" t="s">
        <v>3507</v>
      </c>
    </row>
    <row r="491" spans="1:11" ht="20.100000000000001" customHeight="1">
      <c r="A491" s="104">
        <v>486</v>
      </c>
      <c r="B491" s="13">
        <v>6191</v>
      </c>
      <c r="C491" s="9" t="s">
        <v>3509</v>
      </c>
      <c r="D491" s="9" t="s">
        <v>3145</v>
      </c>
      <c r="E491" s="71" t="s">
        <v>3502</v>
      </c>
      <c r="F491" s="13">
        <v>1700</v>
      </c>
      <c r="G491" s="13">
        <v>3300</v>
      </c>
      <c r="H491" s="13">
        <v>3000</v>
      </c>
      <c r="I491" s="13">
        <v>6000</v>
      </c>
      <c r="J491" s="24" t="s">
        <v>3146</v>
      </c>
      <c r="K491" s="259" t="s">
        <v>3507</v>
      </c>
    </row>
    <row r="492" spans="1:11" ht="20.100000000000001" customHeight="1">
      <c r="A492" s="118">
        <v>487</v>
      </c>
      <c r="B492" s="13">
        <v>6192</v>
      </c>
      <c r="C492" s="9" t="s">
        <v>452</v>
      </c>
      <c r="D492" s="9" t="s">
        <v>3145</v>
      </c>
      <c r="E492" s="11" t="s">
        <v>2430</v>
      </c>
      <c r="F492" s="13">
        <v>0</v>
      </c>
      <c r="G492" s="13">
        <v>0</v>
      </c>
      <c r="H492" s="262">
        <v>5000</v>
      </c>
      <c r="I492" s="13">
        <v>5000</v>
      </c>
      <c r="J492" s="15" t="s">
        <v>3146</v>
      </c>
      <c r="K492" s="259" t="s">
        <v>3507</v>
      </c>
    </row>
    <row r="493" spans="1:11" ht="20.100000000000001" customHeight="1">
      <c r="A493" s="104">
        <v>488</v>
      </c>
      <c r="B493" s="128">
        <v>5058</v>
      </c>
      <c r="C493" s="31" t="s">
        <v>3510</v>
      </c>
      <c r="D493" s="9" t="s">
        <v>3269</v>
      </c>
      <c r="E493" s="53" t="s">
        <v>3426</v>
      </c>
      <c r="F493" s="32">
        <v>0</v>
      </c>
      <c r="G493" s="32">
        <v>0</v>
      </c>
      <c r="H493" s="32">
        <v>3000</v>
      </c>
      <c r="I493" s="32">
        <v>3000</v>
      </c>
      <c r="J493" s="23" t="s">
        <v>3329</v>
      </c>
      <c r="K493" s="259" t="s">
        <v>3507</v>
      </c>
    </row>
    <row r="494" spans="1:11" ht="20.100000000000001" customHeight="1">
      <c r="A494" s="118">
        <v>489</v>
      </c>
      <c r="B494" s="13">
        <v>4859</v>
      </c>
      <c r="C494" s="64" t="s">
        <v>433</v>
      </c>
      <c r="D494" s="9" t="s">
        <v>973</v>
      </c>
      <c r="E494" s="66" t="s">
        <v>2663</v>
      </c>
      <c r="F494" s="13">
        <v>1050</v>
      </c>
      <c r="G494" s="13">
        <v>2100</v>
      </c>
      <c r="H494" s="13">
        <v>3000</v>
      </c>
      <c r="I494" s="13">
        <v>5100</v>
      </c>
      <c r="J494" s="65" t="s">
        <v>974</v>
      </c>
      <c r="K494" s="259" t="s">
        <v>3507</v>
      </c>
    </row>
    <row r="495" spans="1:11" ht="24.75" customHeight="1">
      <c r="A495" s="104">
        <v>490</v>
      </c>
      <c r="B495" s="60">
        <v>5053</v>
      </c>
      <c r="C495" s="63" t="s">
        <v>158</v>
      </c>
      <c r="D495" s="63" t="s">
        <v>3511</v>
      </c>
      <c r="E495" s="66" t="s">
        <v>3173</v>
      </c>
      <c r="F495" s="60">
        <v>1200</v>
      </c>
      <c r="G495" s="60">
        <v>2400</v>
      </c>
      <c r="H495" s="60">
        <v>3000</v>
      </c>
      <c r="I495" s="60">
        <v>5400</v>
      </c>
      <c r="J495" s="88" t="s">
        <v>3495</v>
      </c>
      <c r="K495" s="259" t="s">
        <v>3507</v>
      </c>
    </row>
    <row r="496" spans="1:11" s="80" customFormat="1" ht="19.5" customHeight="1">
      <c r="A496" s="118">
        <v>491</v>
      </c>
      <c r="B496" s="13">
        <v>6136</v>
      </c>
      <c r="C496" s="9" t="s">
        <v>3475</v>
      </c>
      <c r="D496" s="9" t="s">
        <v>403</v>
      </c>
      <c r="E496" s="66" t="s">
        <v>1327</v>
      </c>
      <c r="F496" s="13">
        <v>0</v>
      </c>
      <c r="G496" s="13">
        <v>0</v>
      </c>
      <c r="H496" s="13">
        <v>3000</v>
      </c>
      <c r="I496" s="13">
        <v>3000</v>
      </c>
      <c r="J496" s="15" t="s">
        <v>404</v>
      </c>
      <c r="K496" s="259" t="s">
        <v>3507</v>
      </c>
    </row>
    <row r="497" spans="1:12" ht="20.100000000000001" customHeight="1">
      <c r="A497" s="104">
        <v>492</v>
      </c>
      <c r="B497" s="13">
        <v>6153</v>
      </c>
      <c r="C497" s="9" t="s">
        <v>181</v>
      </c>
      <c r="D497" s="9" t="s">
        <v>3512</v>
      </c>
      <c r="E497" s="71" t="s">
        <v>3502</v>
      </c>
      <c r="F497" s="13">
        <v>2100</v>
      </c>
      <c r="G497" s="13">
        <v>4200</v>
      </c>
      <c r="H497" s="13">
        <v>3000</v>
      </c>
      <c r="I497" s="13">
        <v>7200</v>
      </c>
      <c r="J497" s="24" t="s">
        <v>3513</v>
      </c>
      <c r="K497" s="259" t="s">
        <v>3507</v>
      </c>
    </row>
    <row r="498" spans="1:12" ht="15.75">
      <c r="A498" s="118">
        <v>493</v>
      </c>
      <c r="B498" s="104">
        <v>6448</v>
      </c>
      <c r="C498" s="104" t="s">
        <v>3514</v>
      </c>
      <c r="D498" s="104" t="s">
        <v>233</v>
      </c>
      <c r="E498" s="104" t="s">
        <v>2457</v>
      </c>
      <c r="F498" s="12">
        <v>2100</v>
      </c>
      <c r="G498" s="104">
        <v>0</v>
      </c>
      <c r="H498" s="104">
        <v>0</v>
      </c>
      <c r="I498" s="104">
        <v>0</v>
      </c>
      <c r="J498" s="104" t="s">
        <v>3515</v>
      </c>
      <c r="K498" s="259" t="s">
        <v>3516</v>
      </c>
      <c r="L498" t="s">
        <v>3517</v>
      </c>
    </row>
    <row r="499" spans="1:12" ht="16.5">
      <c r="A499" s="104">
        <v>494</v>
      </c>
      <c r="B499" s="13">
        <v>6271</v>
      </c>
      <c r="C499" s="9" t="s">
        <v>3518</v>
      </c>
      <c r="D499" s="9" t="s">
        <v>732</v>
      </c>
      <c r="E499" s="71" t="s">
        <v>3437</v>
      </c>
      <c r="F499" s="13">
        <v>2000</v>
      </c>
      <c r="G499" s="104">
        <v>4000</v>
      </c>
      <c r="H499" s="104">
        <v>0</v>
      </c>
      <c r="I499" s="104">
        <v>4000</v>
      </c>
      <c r="J499" s="23" t="s">
        <v>3519</v>
      </c>
      <c r="K499" s="104" t="s">
        <v>3503</v>
      </c>
    </row>
    <row r="500" spans="1:12" ht="28.5">
      <c r="A500" s="118">
        <v>495</v>
      </c>
      <c r="B500" s="60">
        <v>5054</v>
      </c>
      <c r="C500" s="63" t="s">
        <v>3432</v>
      </c>
      <c r="D500" s="92" t="s">
        <v>3520</v>
      </c>
      <c r="E500" s="66" t="s">
        <v>2543</v>
      </c>
      <c r="F500" s="60">
        <v>2200</v>
      </c>
      <c r="G500" s="157">
        <v>4400</v>
      </c>
      <c r="H500" s="157">
        <v>3000</v>
      </c>
      <c r="I500" s="157">
        <v>7400</v>
      </c>
      <c r="J500" s="51" t="s">
        <v>3495</v>
      </c>
      <c r="K500" s="104" t="s">
        <v>3521</v>
      </c>
    </row>
    <row r="501" spans="1:12" ht="16.5">
      <c r="A501" s="104">
        <v>496</v>
      </c>
      <c r="B501" s="13">
        <v>6162</v>
      </c>
      <c r="C501" s="9" t="s">
        <v>3522</v>
      </c>
      <c r="D501" s="9" t="s">
        <v>3523</v>
      </c>
      <c r="E501" s="11" t="s">
        <v>2430</v>
      </c>
      <c r="F501" s="13">
        <v>2000</v>
      </c>
      <c r="G501" s="104">
        <v>2000</v>
      </c>
      <c r="H501" s="104">
        <v>3000</v>
      </c>
      <c r="I501" s="104">
        <v>5000</v>
      </c>
      <c r="J501" s="15" t="s">
        <v>3524</v>
      </c>
      <c r="K501" s="104" t="s">
        <v>3525</v>
      </c>
    </row>
    <row r="502" spans="1:12" ht="16.5">
      <c r="A502" s="118">
        <v>497</v>
      </c>
      <c r="B502" s="8">
        <v>5094</v>
      </c>
      <c r="C502" s="251" t="s">
        <v>3526</v>
      </c>
      <c r="D502" s="10" t="s">
        <v>3527</v>
      </c>
      <c r="E502" s="38" t="s">
        <v>363</v>
      </c>
      <c r="F502" s="180">
        <v>2000</v>
      </c>
      <c r="G502" s="104">
        <v>6000</v>
      </c>
      <c r="H502" s="104">
        <v>3000</v>
      </c>
      <c r="I502" s="104">
        <v>9000</v>
      </c>
      <c r="J502" s="37" t="s">
        <v>3528</v>
      </c>
      <c r="K502" s="104" t="s">
        <v>3525</v>
      </c>
    </row>
    <row r="503" spans="1:12" ht="30">
      <c r="A503" s="104">
        <v>498</v>
      </c>
      <c r="B503" s="30">
        <v>5055</v>
      </c>
      <c r="C503" s="48" t="s">
        <v>3529</v>
      </c>
      <c r="D503" s="59" t="s">
        <v>3530</v>
      </c>
      <c r="E503" s="58" t="s">
        <v>363</v>
      </c>
      <c r="F503" s="263">
        <v>0</v>
      </c>
      <c r="G503" s="157"/>
      <c r="H503" s="157">
        <v>6000</v>
      </c>
      <c r="I503" s="157">
        <v>6000</v>
      </c>
      <c r="J503" s="61" t="s">
        <v>3495</v>
      </c>
      <c r="K503" s="157" t="s">
        <v>3525</v>
      </c>
    </row>
    <row r="504" spans="1:12" ht="16.5">
      <c r="A504" s="118">
        <v>499</v>
      </c>
      <c r="B504" s="13">
        <v>6437</v>
      </c>
      <c r="C504" s="9" t="s">
        <v>3531</v>
      </c>
      <c r="D504" s="9" t="s">
        <v>1685</v>
      </c>
      <c r="E504" s="71" t="s">
        <v>3448</v>
      </c>
      <c r="F504" s="13">
        <v>1500</v>
      </c>
      <c r="G504" s="104">
        <v>0</v>
      </c>
      <c r="H504" s="104">
        <v>2000</v>
      </c>
      <c r="I504" s="104">
        <v>2000</v>
      </c>
      <c r="J504" s="15" t="s">
        <v>3532</v>
      </c>
      <c r="K504" s="104" t="s">
        <v>3525</v>
      </c>
    </row>
    <row r="505" spans="1:12" ht="16.5">
      <c r="A505" s="104">
        <v>500</v>
      </c>
      <c r="B505" s="128">
        <v>5029</v>
      </c>
      <c r="C505" s="31" t="s">
        <v>3533</v>
      </c>
      <c r="D505" s="9" t="s">
        <v>3534</v>
      </c>
      <c r="E505" s="66" t="s">
        <v>2663</v>
      </c>
      <c r="F505" s="32">
        <v>2100</v>
      </c>
      <c r="G505" s="104">
        <v>4200</v>
      </c>
      <c r="H505" s="104">
        <v>3000</v>
      </c>
      <c r="I505" s="104">
        <v>7200</v>
      </c>
      <c r="J505" s="23" t="s">
        <v>3535</v>
      </c>
      <c r="K505" s="104" t="s">
        <v>3525</v>
      </c>
    </row>
    <row r="506" spans="1:12" ht="16.5">
      <c r="A506" s="118">
        <v>501</v>
      </c>
      <c r="B506" s="13">
        <v>4193</v>
      </c>
      <c r="C506" s="9" t="s">
        <v>3536</v>
      </c>
      <c r="D506" s="9" t="s">
        <v>963</v>
      </c>
      <c r="E506" s="66" t="s">
        <v>3173</v>
      </c>
      <c r="F506" s="12">
        <v>0</v>
      </c>
      <c r="G506" s="104">
        <v>0</v>
      </c>
      <c r="H506" s="104">
        <v>3000</v>
      </c>
      <c r="I506" s="104">
        <v>3000</v>
      </c>
      <c r="J506" s="72" t="s">
        <v>3537</v>
      </c>
      <c r="K506" s="104" t="s">
        <v>3525</v>
      </c>
    </row>
    <row r="507" spans="1:12" ht="16.5">
      <c r="A507" s="104">
        <v>502</v>
      </c>
      <c r="B507" s="19">
        <v>6152</v>
      </c>
      <c r="C507" s="21" t="s">
        <v>3538</v>
      </c>
      <c r="D507" s="21" t="s">
        <v>3512</v>
      </c>
      <c r="E507" s="66" t="s">
        <v>3539</v>
      </c>
      <c r="F507" s="19">
        <v>2200</v>
      </c>
      <c r="G507" s="104">
        <v>4400</v>
      </c>
      <c r="H507" s="104">
        <v>3000</v>
      </c>
      <c r="I507" s="104">
        <v>7400</v>
      </c>
      <c r="J507" s="97" t="s">
        <v>3513</v>
      </c>
      <c r="K507" s="104" t="s">
        <v>3525</v>
      </c>
    </row>
    <row r="508" spans="1:12" ht="16.5">
      <c r="A508" s="118">
        <v>503</v>
      </c>
      <c r="B508" s="13">
        <v>4725</v>
      </c>
      <c r="C508" s="9" t="s">
        <v>192</v>
      </c>
      <c r="D508" s="9" t="s">
        <v>3540</v>
      </c>
      <c r="E508" s="66" t="s">
        <v>3541</v>
      </c>
      <c r="F508" s="13">
        <v>2100</v>
      </c>
      <c r="G508" s="104">
        <v>4200</v>
      </c>
      <c r="H508" s="104">
        <v>5000</v>
      </c>
      <c r="I508" s="104">
        <v>9200</v>
      </c>
      <c r="J508" s="65" t="s">
        <v>3542</v>
      </c>
      <c r="K508" s="104" t="s">
        <v>3543</v>
      </c>
    </row>
    <row r="509" spans="1:12" ht="16.5">
      <c r="A509" s="104">
        <v>504</v>
      </c>
      <c r="B509" s="13">
        <v>5008</v>
      </c>
      <c r="C509" s="9" t="s">
        <v>2813</v>
      </c>
      <c r="D509" s="9" t="s">
        <v>696</v>
      </c>
      <c r="E509" s="66" t="s">
        <v>3541</v>
      </c>
      <c r="F509" s="13">
        <v>2400</v>
      </c>
      <c r="G509" s="104">
        <v>4800</v>
      </c>
      <c r="H509" s="104">
        <v>5000</v>
      </c>
      <c r="I509" s="104">
        <v>9800</v>
      </c>
      <c r="J509" s="65" t="s">
        <v>3544</v>
      </c>
      <c r="K509" s="104" t="s">
        <v>3543</v>
      </c>
    </row>
    <row r="510" spans="1:12" ht="16.5">
      <c r="A510" s="118">
        <v>505</v>
      </c>
      <c r="B510" s="13">
        <v>6083</v>
      </c>
      <c r="C510" s="9" t="s">
        <v>3545</v>
      </c>
      <c r="D510" s="9" t="s">
        <v>3546</v>
      </c>
      <c r="E510" s="71" t="s">
        <v>3437</v>
      </c>
      <c r="F510" s="13">
        <v>2300</v>
      </c>
      <c r="G510" s="104">
        <v>2300</v>
      </c>
      <c r="H510" s="104">
        <v>0</v>
      </c>
      <c r="I510" s="104">
        <v>2300</v>
      </c>
      <c r="J510" s="23" t="s">
        <v>3547</v>
      </c>
      <c r="K510" s="104" t="s">
        <v>3543</v>
      </c>
    </row>
    <row r="511" spans="1:12" ht="16.5">
      <c r="A511" s="104">
        <v>506</v>
      </c>
      <c r="B511" s="13">
        <v>1702</v>
      </c>
      <c r="C511" s="9" t="s">
        <v>2081</v>
      </c>
      <c r="D511" s="9" t="s">
        <v>2082</v>
      </c>
      <c r="E511" s="71" t="s">
        <v>3434</v>
      </c>
      <c r="F511" s="13">
        <v>300</v>
      </c>
      <c r="G511" s="104">
        <v>300</v>
      </c>
      <c r="H511" s="104">
        <v>3000</v>
      </c>
      <c r="I511" s="104">
        <v>3300</v>
      </c>
      <c r="J511" s="98" t="s">
        <v>3548</v>
      </c>
      <c r="K511" s="104" t="s">
        <v>3543</v>
      </c>
    </row>
    <row r="512" spans="1:12" ht="30">
      <c r="A512" s="118">
        <v>507</v>
      </c>
      <c r="B512" s="60">
        <v>5060</v>
      </c>
      <c r="C512" s="9" t="s">
        <v>3549</v>
      </c>
      <c r="D512" s="63" t="s">
        <v>3550</v>
      </c>
      <c r="E512" s="71" t="s">
        <v>2324</v>
      </c>
      <c r="F512" s="60">
        <v>2400</v>
      </c>
      <c r="G512" s="157">
        <v>7200</v>
      </c>
      <c r="H512" s="157">
        <v>5000</v>
      </c>
      <c r="I512" s="157">
        <v>12200</v>
      </c>
      <c r="J512" s="91" t="s">
        <v>3551</v>
      </c>
      <c r="K512" s="157" t="s">
        <v>3543</v>
      </c>
    </row>
    <row r="513" spans="1:11" ht="16.5">
      <c r="A513" s="104">
        <v>508</v>
      </c>
      <c r="B513" s="93">
        <v>782</v>
      </c>
      <c r="C513" s="9" t="s">
        <v>3046</v>
      </c>
      <c r="D513" s="9" t="s">
        <v>3047</v>
      </c>
      <c r="E513" s="71" t="s">
        <v>2251</v>
      </c>
      <c r="F513" s="13">
        <v>2400</v>
      </c>
      <c r="G513" s="104">
        <v>12000</v>
      </c>
      <c r="H513" s="104">
        <v>5000</v>
      </c>
      <c r="I513" s="104"/>
      <c r="J513" s="65" t="s">
        <v>3552</v>
      </c>
      <c r="K513" s="104" t="s">
        <v>3553</v>
      </c>
    </row>
    <row r="514" spans="1:11" ht="16.5">
      <c r="A514" s="118">
        <v>509</v>
      </c>
      <c r="B514" s="60">
        <v>629</v>
      </c>
      <c r="C514" s="63" t="s">
        <v>3554</v>
      </c>
      <c r="D514" s="63" t="s">
        <v>3555</v>
      </c>
      <c r="E514" s="71" t="s">
        <v>3556</v>
      </c>
      <c r="F514" s="60">
        <v>2400</v>
      </c>
      <c r="G514" s="104">
        <v>2400</v>
      </c>
      <c r="H514" s="104">
        <v>0</v>
      </c>
      <c r="I514" s="104">
        <v>2400</v>
      </c>
      <c r="J514" s="29" t="s">
        <v>3557</v>
      </c>
      <c r="K514" s="104" t="s">
        <v>3558</v>
      </c>
    </row>
    <row r="515" spans="1:11" ht="16.5">
      <c r="A515" s="104">
        <v>510</v>
      </c>
      <c r="B515" s="13">
        <v>6288</v>
      </c>
      <c r="C515" s="9" t="s">
        <v>615</v>
      </c>
      <c r="D515" s="9" t="s">
        <v>3559</v>
      </c>
      <c r="E515" s="71" t="s">
        <v>3437</v>
      </c>
      <c r="F515" s="13">
        <v>2300</v>
      </c>
      <c r="G515" s="104">
        <v>0</v>
      </c>
      <c r="H515" s="104">
        <v>0</v>
      </c>
      <c r="I515" s="104">
        <v>0</v>
      </c>
      <c r="J515" s="23" t="s">
        <v>3560</v>
      </c>
      <c r="K515" s="104" t="s">
        <v>3561</v>
      </c>
    </row>
    <row r="516" spans="1:11" ht="16.5">
      <c r="A516" s="118">
        <v>511</v>
      </c>
      <c r="B516" s="13">
        <v>6420</v>
      </c>
      <c r="C516" s="9" t="s">
        <v>3562</v>
      </c>
      <c r="D516" s="9" t="s">
        <v>2091</v>
      </c>
      <c r="E516" s="71" t="s">
        <v>3434</v>
      </c>
      <c r="F516" s="13">
        <v>2300</v>
      </c>
      <c r="G516" s="104">
        <v>2300</v>
      </c>
      <c r="H516" s="104">
        <v>0</v>
      </c>
      <c r="I516" s="104">
        <v>2300</v>
      </c>
      <c r="J516" s="23" t="s">
        <v>3563</v>
      </c>
      <c r="K516" s="104" t="s">
        <v>3564</v>
      </c>
    </row>
    <row r="517" spans="1:11" ht="16.5">
      <c r="A517" s="104">
        <v>512</v>
      </c>
      <c r="B517" s="13">
        <v>6474</v>
      </c>
      <c r="C517" s="9" t="s">
        <v>3565</v>
      </c>
      <c r="D517" s="9" t="s">
        <v>3566</v>
      </c>
      <c r="E517" s="71" t="s">
        <v>3437</v>
      </c>
      <c r="F517" s="13">
        <v>2000</v>
      </c>
      <c r="G517" s="104">
        <v>0</v>
      </c>
      <c r="H517" s="104">
        <v>0</v>
      </c>
      <c r="I517" s="104">
        <v>0</v>
      </c>
      <c r="J517" s="23" t="s">
        <v>3567</v>
      </c>
      <c r="K517" s="104" t="s">
        <v>3564</v>
      </c>
    </row>
    <row r="518" spans="1:11" ht="16.5">
      <c r="A518" s="118">
        <v>513</v>
      </c>
      <c r="B518" s="128">
        <v>6043</v>
      </c>
      <c r="C518" s="31" t="s">
        <v>1210</v>
      </c>
      <c r="D518" s="9" t="s">
        <v>996</v>
      </c>
      <c r="E518" s="53" t="s">
        <v>3426</v>
      </c>
      <c r="F518" s="32">
        <v>1100</v>
      </c>
      <c r="G518" s="104">
        <v>2200</v>
      </c>
      <c r="H518" s="104">
        <v>2000</v>
      </c>
      <c r="I518" s="104">
        <v>4200</v>
      </c>
      <c r="J518" s="23" t="s">
        <v>997</v>
      </c>
      <c r="K518" s="104" t="s">
        <v>3568</v>
      </c>
    </row>
    <row r="519" spans="1:11" ht="16.5">
      <c r="A519" s="104">
        <v>514</v>
      </c>
      <c r="B519" s="19">
        <v>6074</v>
      </c>
      <c r="C519" s="21" t="s">
        <v>2477</v>
      </c>
      <c r="D519" s="21" t="s">
        <v>556</v>
      </c>
      <c r="E519" s="66" t="s">
        <v>2663</v>
      </c>
      <c r="F519" s="12">
        <v>1200</v>
      </c>
      <c r="G519" s="104">
        <v>4800</v>
      </c>
      <c r="H519" s="104">
        <v>3000</v>
      </c>
      <c r="I519" s="104">
        <v>7800</v>
      </c>
      <c r="J519" s="45" t="s">
        <v>3569</v>
      </c>
      <c r="K519" s="104" t="s">
        <v>3570</v>
      </c>
    </row>
    <row r="520" spans="1:11" ht="16.5">
      <c r="A520" s="118">
        <v>515</v>
      </c>
      <c r="B520" s="183">
        <v>5045</v>
      </c>
      <c r="C520" s="41" t="s">
        <v>410</v>
      </c>
      <c r="D520" s="10" t="s">
        <v>3571</v>
      </c>
      <c r="E520" s="38" t="s">
        <v>363</v>
      </c>
      <c r="F520" s="12">
        <v>1700</v>
      </c>
      <c r="G520" s="104">
        <v>3400</v>
      </c>
      <c r="H520" s="104">
        <v>3000</v>
      </c>
      <c r="I520" s="104">
        <v>6400</v>
      </c>
      <c r="J520" s="37" t="s">
        <v>3572</v>
      </c>
      <c r="K520" s="104" t="s">
        <v>3570</v>
      </c>
    </row>
    <row r="521" spans="1:11" ht="16.5">
      <c r="A521" s="1">
        <v>5</v>
      </c>
      <c r="B521" s="13">
        <v>6290</v>
      </c>
      <c r="C521" s="9" t="s">
        <v>37</v>
      </c>
      <c r="D521" s="9" t="s">
        <v>746</v>
      </c>
      <c r="E521" s="11" t="s">
        <v>3573</v>
      </c>
      <c r="F521" s="13">
        <v>2000</v>
      </c>
      <c r="G521" s="13">
        <v>4000</v>
      </c>
      <c r="H521" s="13">
        <v>2000</v>
      </c>
      <c r="I521" s="13">
        <v>6000</v>
      </c>
      <c r="J521" s="15" t="s">
        <v>3574</v>
      </c>
      <c r="K521" s="104" t="s">
        <v>3575</v>
      </c>
    </row>
    <row r="522" spans="1:11" ht="16.5">
      <c r="A522" s="93">
        <v>1</v>
      </c>
      <c r="B522" s="13">
        <v>576</v>
      </c>
      <c r="C522" s="9" t="s">
        <v>3576</v>
      </c>
      <c r="D522" s="9" t="s">
        <v>3577</v>
      </c>
      <c r="E522" s="66" t="s">
        <v>2324</v>
      </c>
      <c r="F522" s="13">
        <v>2400</v>
      </c>
      <c r="G522" s="13">
        <v>2400</v>
      </c>
      <c r="H522" s="13">
        <v>5000</v>
      </c>
      <c r="I522" s="13">
        <v>7400</v>
      </c>
      <c r="J522" s="91" t="s">
        <v>3578</v>
      </c>
      <c r="K522" s="104" t="s">
        <v>3579</v>
      </c>
    </row>
    <row r="523" spans="1:11" ht="16.5">
      <c r="A523" s="93">
        <v>16</v>
      </c>
      <c r="B523" s="13">
        <v>4915</v>
      </c>
      <c r="C523" s="9" t="s">
        <v>461</v>
      </c>
      <c r="D523" s="9" t="s">
        <v>3580</v>
      </c>
      <c r="E523" s="66" t="s">
        <v>2555</v>
      </c>
      <c r="F523" s="13">
        <v>2200</v>
      </c>
      <c r="G523" s="13">
        <v>4400</v>
      </c>
      <c r="H523" s="65"/>
      <c r="I523" s="248">
        <v>4400</v>
      </c>
      <c r="J523" s="65" t="s">
        <v>3140</v>
      </c>
      <c r="K523" s="248" t="s">
        <v>3581</v>
      </c>
    </row>
    <row r="524" spans="1:11" ht="16.5">
      <c r="A524" s="1">
        <v>12</v>
      </c>
      <c r="B524" s="13">
        <v>6356</v>
      </c>
      <c r="C524" s="9" t="s">
        <v>3582</v>
      </c>
      <c r="D524" s="9" t="s">
        <v>1143</v>
      </c>
      <c r="E524" s="11" t="s">
        <v>3573</v>
      </c>
      <c r="F524" s="13">
        <v>2000</v>
      </c>
      <c r="G524" s="13">
        <v>8000</v>
      </c>
      <c r="H524" s="13">
        <v>0</v>
      </c>
      <c r="I524" s="13">
        <v>8000</v>
      </c>
      <c r="J524" s="15" t="s">
        <v>3583</v>
      </c>
      <c r="K524" s="248" t="s">
        <v>3584</v>
      </c>
    </row>
    <row r="525" spans="1:11" ht="16.5">
      <c r="A525" s="25">
        <v>27</v>
      </c>
      <c r="B525" s="13">
        <v>6352</v>
      </c>
      <c r="C525" s="9" t="s">
        <v>3585</v>
      </c>
      <c r="D525" s="9" t="s">
        <v>1143</v>
      </c>
      <c r="E525" s="11" t="s">
        <v>147</v>
      </c>
      <c r="F525" s="13">
        <v>2000</v>
      </c>
      <c r="G525" s="13">
        <v>8000</v>
      </c>
      <c r="H525" s="13">
        <v>0</v>
      </c>
      <c r="I525" s="13">
        <v>8000</v>
      </c>
      <c r="J525" s="15" t="s">
        <v>3583</v>
      </c>
      <c r="K525" s="248" t="s">
        <v>3584</v>
      </c>
    </row>
    <row r="526" spans="1:11" ht="16.5">
      <c r="A526" s="62">
        <v>8</v>
      </c>
      <c r="B526" s="13">
        <v>4774</v>
      </c>
      <c r="C526" s="64" t="s">
        <v>1275</v>
      </c>
      <c r="D526" s="9" t="s">
        <v>3586</v>
      </c>
      <c r="E526" s="71" t="s">
        <v>3455</v>
      </c>
      <c r="F526" s="13">
        <v>0</v>
      </c>
      <c r="G526" s="13">
        <v>0</v>
      </c>
      <c r="H526" s="13">
        <v>3000</v>
      </c>
      <c r="I526" s="13">
        <v>0</v>
      </c>
      <c r="J526" s="77" t="s">
        <v>3587</v>
      </c>
      <c r="K526" s="248" t="s">
        <v>3584</v>
      </c>
    </row>
    <row r="527" spans="1:11" ht="16.5">
      <c r="A527" s="75">
        <v>14</v>
      </c>
      <c r="B527" s="13">
        <v>4777</v>
      </c>
      <c r="C527" s="9" t="s">
        <v>3588</v>
      </c>
      <c r="D527" s="9" t="s">
        <v>3586</v>
      </c>
      <c r="E527" s="71" t="s">
        <v>3589</v>
      </c>
      <c r="F527" s="13">
        <v>2100</v>
      </c>
      <c r="G527" s="13">
        <v>4200</v>
      </c>
      <c r="H527" s="13">
        <v>3000</v>
      </c>
      <c r="I527" s="13">
        <v>7200</v>
      </c>
      <c r="J527" s="72" t="s">
        <v>3587</v>
      </c>
      <c r="K527" s="248" t="s">
        <v>3584</v>
      </c>
    </row>
    <row r="528" spans="1:11" ht="16.5">
      <c r="A528" s="74">
        <v>6</v>
      </c>
      <c r="B528" s="13">
        <v>4082</v>
      </c>
      <c r="C528" s="9" t="s">
        <v>3590</v>
      </c>
      <c r="D528" s="9" t="s">
        <v>3586</v>
      </c>
      <c r="E528" s="66" t="s">
        <v>1127</v>
      </c>
      <c r="F528" s="13">
        <v>2100</v>
      </c>
      <c r="G528" s="13">
        <v>4200</v>
      </c>
      <c r="H528" s="13">
        <v>3000</v>
      </c>
      <c r="I528" s="13">
        <v>7200</v>
      </c>
      <c r="J528" s="15" t="s">
        <v>3591</v>
      </c>
      <c r="K528" s="248" t="s">
        <v>3584</v>
      </c>
    </row>
    <row r="529" spans="1:11" ht="16.5">
      <c r="A529" s="93">
        <v>8</v>
      </c>
      <c r="B529" s="13">
        <v>4094</v>
      </c>
      <c r="C529" s="9" t="s">
        <v>3592</v>
      </c>
      <c r="D529" s="9" t="s">
        <v>3586</v>
      </c>
      <c r="E529" s="66" t="s">
        <v>3539</v>
      </c>
      <c r="F529" s="13">
        <v>2200</v>
      </c>
      <c r="G529" s="13">
        <v>4400</v>
      </c>
      <c r="H529" s="13">
        <v>3000</v>
      </c>
      <c r="I529" s="13">
        <v>7400</v>
      </c>
      <c r="J529" s="23" t="s">
        <v>3591</v>
      </c>
      <c r="K529" s="248" t="s">
        <v>3584</v>
      </c>
    </row>
    <row r="530" spans="1:11" ht="16.5">
      <c r="A530" s="93">
        <v>8</v>
      </c>
      <c r="B530" s="13">
        <v>1686</v>
      </c>
      <c r="C530" s="9" t="s">
        <v>2159</v>
      </c>
      <c r="D530" s="9" t="s">
        <v>3586</v>
      </c>
      <c r="E530" s="71" t="s">
        <v>3437</v>
      </c>
      <c r="F530" s="13">
        <v>2300</v>
      </c>
      <c r="G530" s="13">
        <v>4600</v>
      </c>
      <c r="H530" s="13">
        <v>3000</v>
      </c>
      <c r="I530" s="13">
        <v>7600</v>
      </c>
      <c r="J530" s="24" t="s">
        <v>3591</v>
      </c>
      <c r="K530" s="248" t="s">
        <v>3584</v>
      </c>
    </row>
    <row r="531" spans="1:11" ht="16.5">
      <c r="A531" s="13">
        <v>43</v>
      </c>
      <c r="B531" s="13">
        <v>6470</v>
      </c>
      <c r="C531" s="9" t="s">
        <v>3593</v>
      </c>
      <c r="D531" s="9" t="s">
        <v>3594</v>
      </c>
      <c r="E531" s="71" t="s">
        <v>3437</v>
      </c>
      <c r="F531" s="13">
        <v>2300</v>
      </c>
      <c r="G531" s="13">
        <v>3900</v>
      </c>
      <c r="H531" s="13">
        <v>0</v>
      </c>
      <c r="I531" s="13">
        <v>3900</v>
      </c>
      <c r="J531" s="23" t="s">
        <v>3595</v>
      </c>
      <c r="K531" s="248" t="s">
        <v>3584</v>
      </c>
    </row>
    <row r="532" spans="1:11" ht="16.5">
      <c r="A532" s="13">
        <v>15</v>
      </c>
      <c r="B532" s="13">
        <v>4800</v>
      </c>
      <c r="C532" s="9" t="s">
        <v>3596</v>
      </c>
      <c r="D532" s="87" t="s">
        <v>3597</v>
      </c>
      <c r="E532" s="66" t="s">
        <v>2555</v>
      </c>
      <c r="F532" s="13">
        <v>2200</v>
      </c>
      <c r="G532" s="13">
        <v>7300</v>
      </c>
      <c r="H532" s="13">
        <v>0</v>
      </c>
      <c r="I532" s="13">
        <v>7300</v>
      </c>
      <c r="J532" s="72" t="s">
        <v>3598</v>
      </c>
      <c r="K532" s="248" t="s">
        <v>3584</v>
      </c>
    </row>
    <row r="533" spans="1:11" ht="16.5">
      <c r="A533" s="13">
        <v>35</v>
      </c>
      <c r="B533" s="13">
        <v>6403</v>
      </c>
      <c r="C533" s="9" t="s">
        <v>3395</v>
      </c>
      <c r="D533" s="9" t="s">
        <v>121</v>
      </c>
      <c r="E533" s="71" t="s">
        <v>3437</v>
      </c>
      <c r="F533" s="13">
        <v>2300</v>
      </c>
      <c r="G533" s="13">
        <v>11500</v>
      </c>
      <c r="H533" s="13">
        <v>0</v>
      </c>
      <c r="I533" s="13">
        <v>11500</v>
      </c>
      <c r="J533" s="23" t="s">
        <v>3599</v>
      </c>
      <c r="K533" s="248" t="s">
        <v>3584</v>
      </c>
    </row>
    <row r="534" spans="1:11" ht="16.5">
      <c r="A534" s="93">
        <v>18</v>
      </c>
      <c r="B534" s="13">
        <v>4879</v>
      </c>
      <c r="C534" s="9" t="s">
        <v>3600</v>
      </c>
      <c r="D534" s="9" t="s">
        <v>3601</v>
      </c>
      <c r="E534" s="66" t="s">
        <v>3539</v>
      </c>
      <c r="F534" s="13">
        <v>2200</v>
      </c>
      <c r="G534" s="13">
        <v>4400</v>
      </c>
      <c r="H534" s="13">
        <v>0</v>
      </c>
      <c r="I534" s="13">
        <v>4400</v>
      </c>
      <c r="J534" s="72" t="s">
        <v>3602</v>
      </c>
      <c r="K534" s="248" t="s">
        <v>3584</v>
      </c>
    </row>
    <row r="535" spans="1:11" ht="16.5">
      <c r="A535" s="60">
        <v>22</v>
      </c>
      <c r="B535" s="13">
        <v>5032</v>
      </c>
      <c r="C535" s="9" t="s">
        <v>3603</v>
      </c>
      <c r="D535" s="9" t="s">
        <v>2369</v>
      </c>
      <c r="E535" s="71" t="s">
        <v>3604</v>
      </c>
      <c r="F535" s="13">
        <v>2000</v>
      </c>
      <c r="G535" s="13">
        <v>8000</v>
      </c>
      <c r="H535" s="13">
        <v>5000</v>
      </c>
      <c r="I535" s="13">
        <v>13000</v>
      </c>
      <c r="J535" s="23" t="s">
        <v>3605</v>
      </c>
      <c r="K535" s="248" t="s">
        <v>3584</v>
      </c>
    </row>
    <row r="536" spans="1:11" ht="16.5">
      <c r="A536" s="49">
        <v>16</v>
      </c>
      <c r="B536" s="128">
        <v>6233</v>
      </c>
      <c r="C536" s="31" t="s">
        <v>3606</v>
      </c>
      <c r="D536" s="9" t="s">
        <v>3607</v>
      </c>
      <c r="E536" s="71" t="s">
        <v>3448</v>
      </c>
      <c r="F536" s="32">
        <v>2000</v>
      </c>
      <c r="G536" s="32">
        <v>6000</v>
      </c>
      <c r="H536" s="23">
        <v>0</v>
      </c>
      <c r="I536" s="33">
        <v>6000</v>
      </c>
      <c r="J536" s="23" t="s">
        <v>3608</v>
      </c>
      <c r="K536" s="248" t="s">
        <v>3609</v>
      </c>
    </row>
    <row r="537" spans="1:11" ht="16.5">
      <c r="A537" s="13">
        <v>1</v>
      </c>
      <c r="B537" s="13">
        <v>4604</v>
      </c>
      <c r="C537" s="9" t="s">
        <v>791</v>
      </c>
      <c r="D537" s="9" t="s">
        <v>792</v>
      </c>
      <c r="E537" s="53" t="s">
        <v>3610</v>
      </c>
      <c r="F537" s="13">
        <v>2100</v>
      </c>
      <c r="G537" s="13">
        <v>4200</v>
      </c>
      <c r="H537" s="13">
        <v>3000</v>
      </c>
      <c r="I537" s="13">
        <v>7200</v>
      </c>
      <c r="J537" s="23" t="s">
        <v>794</v>
      </c>
      <c r="K537" s="248" t="s">
        <v>3609</v>
      </c>
    </row>
    <row r="538" spans="1:11" ht="16.5">
      <c r="A538" s="42">
        <v>11</v>
      </c>
      <c r="B538" s="89">
        <v>4055</v>
      </c>
      <c r="C538" s="90" t="s">
        <v>1511</v>
      </c>
      <c r="D538" s="90" t="s">
        <v>1512</v>
      </c>
      <c r="E538" s="66" t="s">
        <v>1327</v>
      </c>
      <c r="F538" s="13">
        <v>2100</v>
      </c>
      <c r="G538" s="13">
        <v>4200</v>
      </c>
      <c r="H538" s="13">
        <v>3000</v>
      </c>
      <c r="I538" s="13">
        <v>7200</v>
      </c>
      <c r="J538" s="23" t="s">
        <v>794</v>
      </c>
      <c r="K538" s="248" t="s">
        <v>3609</v>
      </c>
    </row>
    <row r="539" spans="1:11" ht="16.5">
      <c r="A539" s="93">
        <v>19</v>
      </c>
      <c r="B539" s="13">
        <v>6146</v>
      </c>
      <c r="C539" s="9" t="s">
        <v>3611</v>
      </c>
      <c r="D539" s="9" t="s">
        <v>2952</v>
      </c>
      <c r="E539" s="66" t="s">
        <v>2543</v>
      </c>
      <c r="F539" s="13">
        <v>1250</v>
      </c>
      <c r="G539" s="13">
        <v>5000</v>
      </c>
      <c r="H539" s="13">
        <v>3000</v>
      </c>
      <c r="I539" s="13">
        <v>8000</v>
      </c>
      <c r="J539" s="15" t="s">
        <v>3612</v>
      </c>
      <c r="K539" s="33" t="s">
        <v>3613</v>
      </c>
    </row>
    <row r="540" spans="1:11" ht="16.5">
      <c r="A540" s="13">
        <v>27</v>
      </c>
      <c r="B540" s="13">
        <v>6148</v>
      </c>
      <c r="C540" s="9" t="s">
        <v>3614</v>
      </c>
      <c r="D540" s="9" t="s">
        <v>2952</v>
      </c>
      <c r="E540" s="71" t="s">
        <v>3604</v>
      </c>
      <c r="F540" s="13">
        <v>2400</v>
      </c>
      <c r="G540" s="13">
        <v>9600</v>
      </c>
      <c r="H540" s="13">
        <v>5000</v>
      </c>
      <c r="I540" s="13">
        <v>14600</v>
      </c>
      <c r="J540" s="23" t="s">
        <v>3612</v>
      </c>
      <c r="K540" s="33" t="s">
        <v>3613</v>
      </c>
    </row>
    <row r="541" spans="1:11" ht="16.5">
      <c r="A541" s="1">
        <v>28</v>
      </c>
      <c r="B541" s="13">
        <v>6473</v>
      </c>
      <c r="C541" s="9" t="s">
        <v>3615</v>
      </c>
      <c r="D541" s="9" t="s">
        <v>3616</v>
      </c>
      <c r="E541" s="11" t="s">
        <v>3573</v>
      </c>
      <c r="F541" s="13">
        <v>2000</v>
      </c>
      <c r="G541" s="33">
        <v>2000</v>
      </c>
      <c r="I541" s="33">
        <v>2000</v>
      </c>
      <c r="J541" s="15" t="s">
        <v>763</v>
      </c>
      <c r="K541" s="55">
        <v>45421</v>
      </c>
    </row>
    <row r="542" spans="1:11" ht="16.5">
      <c r="A542" s="93">
        <v>31</v>
      </c>
      <c r="B542" s="19">
        <v>6229</v>
      </c>
      <c r="C542" s="21" t="s">
        <v>3617</v>
      </c>
      <c r="D542" s="21" t="s">
        <v>1508</v>
      </c>
      <c r="E542" s="66" t="s">
        <v>1689</v>
      </c>
      <c r="F542" s="170">
        <v>2200</v>
      </c>
      <c r="G542" s="170">
        <v>6000</v>
      </c>
      <c r="H542" s="170">
        <v>0</v>
      </c>
      <c r="I542" s="170">
        <v>6000</v>
      </c>
      <c r="J542" s="97" t="s">
        <v>3618</v>
      </c>
      <c r="K542" s="55">
        <v>45421</v>
      </c>
    </row>
    <row r="543" spans="1:11" ht="16.5">
      <c r="A543" s="49">
        <v>22</v>
      </c>
      <c r="B543" s="13">
        <v>6349</v>
      </c>
      <c r="C543" s="9" t="s">
        <v>57</v>
      </c>
      <c r="D543" s="9" t="s">
        <v>3619</v>
      </c>
      <c r="E543" s="71" t="s">
        <v>3448</v>
      </c>
      <c r="F543" s="13">
        <v>2000</v>
      </c>
      <c r="G543" s="13">
        <v>10000</v>
      </c>
      <c r="H543" s="13">
        <v>0</v>
      </c>
      <c r="I543" s="13">
        <v>10000</v>
      </c>
      <c r="J543" s="15" t="s">
        <v>3620</v>
      </c>
      <c r="K543" t="s">
        <v>3621</v>
      </c>
    </row>
    <row r="544" spans="1:11" ht="16.5">
      <c r="A544" s="25">
        <v>16</v>
      </c>
      <c r="B544" s="25">
        <v>6095</v>
      </c>
      <c r="C544" s="26" t="s">
        <v>972</v>
      </c>
      <c r="D544" s="27" t="s">
        <v>3622</v>
      </c>
      <c r="E544" s="11" t="s">
        <v>147</v>
      </c>
      <c r="F544" s="30">
        <v>1400</v>
      </c>
      <c r="G544" s="30">
        <v>4200</v>
      </c>
      <c r="H544" s="30">
        <v>3000</v>
      </c>
      <c r="I544" s="30">
        <v>7200</v>
      </c>
      <c r="J544" s="29" t="s">
        <v>3623</v>
      </c>
      <c r="K544" t="s">
        <v>3621</v>
      </c>
    </row>
    <row r="545" spans="1:12" ht="16.5">
      <c r="A545" s="93">
        <v>17</v>
      </c>
      <c r="B545" s="13">
        <v>6054</v>
      </c>
      <c r="C545" s="9" t="s">
        <v>640</v>
      </c>
      <c r="D545" s="9" t="s">
        <v>3624</v>
      </c>
      <c r="E545" s="66" t="s">
        <v>2543</v>
      </c>
      <c r="F545" s="13">
        <v>2200</v>
      </c>
      <c r="G545" s="13">
        <v>2200</v>
      </c>
      <c r="H545" s="13">
        <v>0</v>
      </c>
      <c r="I545" s="13">
        <v>0</v>
      </c>
      <c r="J545" s="72" t="s">
        <v>3625</v>
      </c>
      <c r="K545" t="s">
        <v>3626</v>
      </c>
    </row>
    <row r="546" spans="1:12" ht="16.5">
      <c r="A546" s="13">
        <v>15</v>
      </c>
      <c r="B546" s="13">
        <v>4863</v>
      </c>
      <c r="C546" s="9" t="s">
        <v>2558</v>
      </c>
      <c r="D546" s="9" t="s">
        <v>2775</v>
      </c>
      <c r="E546" s="53" t="s">
        <v>3610</v>
      </c>
      <c r="F546" s="13">
        <v>1800</v>
      </c>
      <c r="G546" s="13">
        <v>5400</v>
      </c>
      <c r="H546" s="13">
        <v>3000</v>
      </c>
      <c r="I546" s="13">
        <v>8400</v>
      </c>
      <c r="J546" s="23" t="s">
        <v>3627</v>
      </c>
      <c r="K546" t="s">
        <v>3628</v>
      </c>
    </row>
    <row r="547" spans="1:12" ht="16.5">
      <c r="A547" s="13">
        <v>16</v>
      </c>
      <c r="B547" s="13">
        <v>4864</v>
      </c>
      <c r="C547" s="9" t="s">
        <v>427</v>
      </c>
      <c r="D547" s="9" t="s">
        <v>2775</v>
      </c>
      <c r="E547" s="53" t="s">
        <v>3610</v>
      </c>
      <c r="F547" s="13">
        <v>1800</v>
      </c>
      <c r="G547" s="13">
        <v>5400</v>
      </c>
      <c r="H547" s="13">
        <v>3000</v>
      </c>
      <c r="I547" s="13">
        <v>8400</v>
      </c>
      <c r="J547" s="23" t="s">
        <v>3627</v>
      </c>
      <c r="K547" t="s">
        <v>3628</v>
      </c>
    </row>
    <row r="548" spans="1:12" ht="16.5">
      <c r="A548" s="13">
        <v>7</v>
      </c>
      <c r="B548" s="8">
        <v>6138</v>
      </c>
      <c r="C548" s="41" t="s">
        <v>3629</v>
      </c>
      <c r="D548" s="10" t="s">
        <v>3630</v>
      </c>
      <c r="E548" s="71" t="s">
        <v>3448</v>
      </c>
      <c r="F548" s="180">
        <v>2000</v>
      </c>
      <c r="G548" s="180">
        <v>2000</v>
      </c>
      <c r="H548" s="180">
        <v>3000</v>
      </c>
      <c r="I548" s="180">
        <v>5000</v>
      </c>
      <c r="J548" s="37" t="s">
        <v>3631</v>
      </c>
      <c r="K548" t="s">
        <v>3628</v>
      </c>
    </row>
    <row r="549" spans="1:12" ht="16.5">
      <c r="A549" s="60">
        <v>20</v>
      </c>
      <c r="B549" s="13">
        <v>4943</v>
      </c>
      <c r="C549" s="9" t="s">
        <v>3632</v>
      </c>
      <c r="D549" s="9" t="s">
        <v>181</v>
      </c>
      <c r="E549" s="71" t="s">
        <v>3604</v>
      </c>
      <c r="F549" s="13">
        <v>2400</v>
      </c>
      <c r="G549" s="13">
        <v>9600</v>
      </c>
      <c r="H549" s="13">
        <v>5000</v>
      </c>
      <c r="I549" s="13">
        <v>14600</v>
      </c>
      <c r="J549" s="23" t="s">
        <v>3633</v>
      </c>
      <c r="K549" t="s">
        <v>3634</v>
      </c>
    </row>
    <row r="550" spans="1:12" ht="16.5">
      <c r="A550" s="93">
        <v>33</v>
      </c>
      <c r="B550" s="93">
        <v>4936</v>
      </c>
      <c r="C550" s="9" t="s">
        <v>3635</v>
      </c>
      <c r="D550" s="9" t="s">
        <v>3636</v>
      </c>
      <c r="E550" s="71" t="s">
        <v>2251</v>
      </c>
      <c r="F550" s="13">
        <v>2400</v>
      </c>
      <c r="G550" s="13">
        <v>9600</v>
      </c>
      <c r="H550" s="13">
        <v>5000</v>
      </c>
      <c r="I550" s="13">
        <v>14600</v>
      </c>
      <c r="J550" s="65" t="s">
        <v>2393</v>
      </c>
      <c r="K550" t="s">
        <v>3634</v>
      </c>
    </row>
    <row r="551" spans="1:12" ht="16.5">
      <c r="A551" s="93">
        <v>41</v>
      </c>
      <c r="B551" s="179">
        <v>5078</v>
      </c>
      <c r="C551" s="10" t="s">
        <v>3637</v>
      </c>
      <c r="D551" s="10" t="s">
        <v>3638</v>
      </c>
      <c r="E551" s="71" t="s">
        <v>2251</v>
      </c>
      <c r="F551" s="8">
        <v>1800</v>
      </c>
      <c r="G551" s="8">
        <v>3600</v>
      </c>
      <c r="H551" s="8">
        <v>5000</v>
      </c>
      <c r="I551" s="8">
        <v>8600</v>
      </c>
      <c r="J551" s="264" t="s">
        <v>3639</v>
      </c>
      <c r="K551" t="s">
        <v>3634</v>
      </c>
    </row>
    <row r="552" spans="1:12" ht="16.5">
      <c r="A552" s="13">
        <v>21</v>
      </c>
      <c r="B552" s="8">
        <v>6105</v>
      </c>
      <c r="C552" s="10" t="s">
        <v>3640</v>
      </c>
      <c r="D552" s="10" t="s">
        <v>458</v>
      </c>
      <c r="E552" s="66" t="s">
        <v>2555</v>
      </c>
      <c r="F552" s="8">
        <v>2000</v>
      </c>
      <c r="G552" s="8">
        <v>6000</v>
      </c>
      <c r="H552" s="8">
        <v>3000</v>
      </c>
      <c r="I552" s="8">
        <v>9000</v>
      </c>
      <c r="J552" s="69" t="s">
        <v>3641</v>
      </c>
      <c r="K552" t="s">
        <v>3642</v>
      </c>
    </row>
    <row r="553" spans="1:12" ht="16.5">
      <c r="A553" s="42">
        <v>27</v>
      </c>
      <c r="B553" s="13">
        <v>6521</v>
      </c>
      <c r="C553" s="9" t="s">
        <v>3643</v>
      </c>
      <c r="D553" s="9" t="s">
        <v>3644</v>
      </c>
      <c r="E553" s="66" t="s">
        <v>3645</v>
      </c>
      <c r="F553" s="13">
        <v>2100</v>
      </c>
      <c r="G553" s="13">
        <v>2100</v>
      </c>
      <c r="H553" s="13">
        <v>0</v>
      </c>
      <c r="I553" s="13">
        <v>2100</v>
      </c>
      <c r="J553" s="23" t="s">
        <v>3646</v>
      </c>
      <c r="K553" s="265">
        <v>45575</v>
      </c>
      <c r="L553" t="s">
        <v>3647</v>
      </c>
    </row>
    <row r="554" spans="1:12" ht="16.5">
      <c r="A554" s="13">
        <v>21</v>
      </c>
      <c r="B554" s="13">
        <v>6348</v>
      </c>
      <c r="C554" s="9" t="s">
        <v>3648</v>
      </c>
      <c r="D554" s="9" t="s">
        <v>3421</v>
      </c>
      <c r="E554" s="71" t="s">
        <v>3448</v>
      </c>
      <c r="F554" s="13">
        <v>2000</v>
      </c>
      <c r="G554" s="13">
        <v>0</v>
      </c>
      <c r="H554" s="13">
        <v>0</v>
      </c>
      <c r="I554" s="13">
        <v>2000</v>
      </c>
      <c r="J554" s="15" t="s">
        <v>3649</v>
      </c>
      <c r="K554" s="55">
        <v>45606</v>
      </c>
    </row>
    <row r="555" spans="1:12" ht="16.5">
      <c r="A555" s="13">
        <v>15</v>
      </c>
      <c r="B555" s="13">
        <v>4959</v>
      </c>
      <c r="C555" s="64" t="s">
        <v>3650</v>
      </c>
      <c r="D555" s="9" t="s">
        <v>3651</v>
      </c>
      <c r="E555" s="66" t="s">
        <v>2663</v>
      </c>
      <c r="F555" s="13">
        <v>2100</v>
      </c>
      <c r="G555" s="13">
        <v>6300</v>
      </c>
      <c r="H555" s="13">
        <v>0</v>
      </c>
      <c r="I555" s="13">
        <v>6300</v>
      </c>
      <c r="J555" s="24" t="s">
        <v>603</v>
      </c>
      <c r="K555" s="55">
        <v>45606</v>
      </c>
    </row>
    <row r="556" spans="1:12" ht="16.5">
      <c r="A556" s="52">
        <v>9</v>
      </c>
      <c r="B556" s="13">
        <v>4960</v>
      </c>
      <c r="C556" s="31" t="s">
        <v>3652</v>
      </c>
      <c r="D556" s="9" t="s">
        <v>3651</v>
      </c>
      <c r="E556" s="38" t="s">
        <v>363</v>
      </c>
      <c r="F556" s="32">
        <v>2000</v>
      </c>
      <c r="G556" s="32">
        <v>6000</v>
      </c>
      <c r="H556" s="32">
        <v>0</v>
      </c>
      <c r="I556" s="32">
        <v>6000</v>
      </c>
      <c r="J556" s="23" t="s">
        <v>3653</v>
      </c>
      <c r="K556" s="55">
        <v>45606</v>
      </c>
    </row>
    <row r="557" spans="1:12" ht="16.5">
      <c r="A557" s="74">
        <v>21</v>
      </c>
      <c r="B557" s="13">
        <v>6289</v>
      </c>
      <c r="C557" s="63" t="s">
        <v>3654</v>
      </c>
      <c r="D557" s="63" t="s">
        <v>746</v>
      </c>
      <c r="E557" s="66" t="s">
        <v>2502</v>
      </c>
      <c r="F557" s="60">
        <v>2100</v>
      </c>
      <c r="G557" s="60">
        <v>4200</v>
      </c>
      <c r="H557" s="60">
        <v>0</v>
      </c>
      <c r="I557" s="60">
        <v>4200</v>
      </c>
      <c r="J557" s="61" t="s">
        <v>3655</v>
      </c>
      <c r="K557" s="55">
        <v>45636</v>
      </c>
    </row>
    <row r="558" spans="1:12" ht="16.5">
      <c r="A558" s="13">
        <v>21</v>
      </c>
      <c r="B558" s="8">
        <v>6105</v>
      </c>
      <c r="C558" s="10" t="s">
        <v>3640</v>
      </c>
      <c r="D558" s="10" t="s">
        <v>458</v>
      </c>
      <c r="E558" s="66" t="s">
        <v>2555</v>
      </c>
      <c r="F558" s="8">
        <v>2000</v>
      </c>
      <c r="G558" s="8">
        <v>8000</v>
      </c>
      <c r="H558" s="8">
        <v>3000</v>
      </c>
      <c r="I558" s="8">
        <v>11000</v>
      </c>
      <c r="J558" s="69" t="s">
        <v>3641</v>
      </c>
      <c r="K558" s="55">
        <v>45636</v>
      </c>
    </row>
    <row r="559" spans="1:12" ht="16.5">
      <c r="A559" s="93">
        <v>22</v>
      </c>
      <c r="B559" s="13">
        <v>5089</v>
      </c>
      <c r="C559" s="9" t="s">
        <v>3656</v>
      </c>
      <c r="D559" s="9" t="s">
        <v>3657</v>
      </c>
      <c r="E559" s="66" t="s">
        <v>1689</v>
      </c>
      <c r="F559" s="13">
        <v>2200</v>
      </c>
      <c r="G559" s="13">
        <v>8800</v>
      </c>
      <c r="H559" s="13">
        <v>3000</v>
      </c>
      <c r="I559" s="13">
        <v>11800</v>
      </c>
      <c r="J559" s="23" t="s">
        <v>3658</v>
      </c>
      <c r="K559" s="55">
        <v>45636</v>
      </c>
    </row>
    <row r="560" spans="1:12" ht="16.5">
      <c r="A560" s="93">
        <v>42</v>
      </c>
      <c r="B560" s="179">
        <v>834</v>
      </c>
      <c r="C560" s="10" t="s">
        <v>3659</v>
      </c>
      <c r="D560" s="10" t="s">
        <v>3660</v>
      </c>
      <c r="E560" s="71" t="s">
        <v>2251</v>
      </c>
      <c r="F560" s="8">
        <v>2400</v>
      </c>
      <c r="G560" s="8">
        <v>2400</v>
      </c>
      <c r="H560" s="8">
        <v>0</v>
      </c>
      <c r="I560" s="8">
        <v>2400</v>
      </c>
      <c r="J560" s="264" t="s">
        <v>3661</v>
      </c>
      <c r="K560" s="55">
        <v>45636</v>
      </c>
    </row>
    <row r="561" spans="1:19" ht="16.5">
      <c r="A561" s="42">
        <v>20</v>
      </c>
      <c r="B561" s="13">
        <v>5090</v>
      </c>
      <c r="C561" s="9" t="s">
        <v>3662</v>
      </c>
      <c r="D561" s="9" t="s">
        <v>3663</v>
      </c>
      <c r="E561" s="71" t="s">
        <v>2490</v>
      </c>
      <c r="F561" s="13">
        <v>1700</v>
      </c>
      <c r="G561" s="13">
        <v>6800</v>
      </c>
      <c r="H561" s="13">
        <v>3000</v>
      </c>
      <c r="I561" s="13">
        <v>9800</v>
      </c>
      <c r="J561" s="15" t="s">
        <v>3664</v>
      </c>
      <c r="K561" s="55">
        <v>45636</v>
      </c>
    </row>
    <row r="562" spans="1:19" ht="16.5">
      <c r="A562" s="74">
        <v>31</v>
      </c>
      <c r="B562" s="13">
        <v>6308</v>
      </c>
      <c r="C562" s="9" t="s">
        <v>3665</v>
      </c>
      <c r="D562" s="9" t="s">
        <v>3666</v>
      </c>
      <c r="E562" s="71" t="s">
        <v>3589</v>
      </c>
      <c r="F562" s="13">
        <v>0</v>
      </c>
      <c r="G562" s="13">
        <v>0</v>
      </c>
      <c r="H562" s="13">
        <v>3000</v>
      </c>
      <c r="I562" s="13">
        <v>3000</v>
      </c>
      <c r="J562" s="15" t="s">
        <v>3667</v>
      </c>
      <c r="K562" s="55">
        <v>45636</v>
      </c>
    </row>
    <row r="563" spans="1:19" ht="16.5">
      <c r="A563" s="93">
        <v>19</v>
      </c>
      <c r="B563" s="13">
        <v>6485</v>
      </c>
      <c r="C563" s="9" t="s">
        <v>3668</v>
      </c>
      <c r="D563" s="9" t="s">
        <v>3669</v>
      </c>
      <c r="E563" s="66" t="s">
        <v>3670</v>
      </c>
      <c r="F563" s="13">
        <v>2200</v>
      </c>
      <c r="G563" s="13">
        <v>6600</v>
      </c>
      <c r="H563" s="13">
        <v>0</v>
      </c>
      <c r="I563" s="13">
        <v>6600</v>
      </c>
      <c r="J563" s="23" t="s">
        <v>3671</v>
      </c>
      <c r="K563" s="55">
        <v>45636</v>
      </c>
    </row>
    <row r="564" spans="1:19" ht="16.5">
      <c r="A564" s="62">
        <v>19</v>
      </c>
      <c r="B564" s="13">
        <v>6149</v>
      </c>
      <c r="C564" s="9" t="s">
        <v>3212</v>
      </c>
      <c r="D564" s="9" t="s">
        <v>855</v>
      </c>
      <c r="E564" s="71" t="s">
        <v>3455</v>
      </c>
      <c r="F564" s="13">
        <v>1200</v>
      </c>
      <c r="G564" s="13">
        <v>10800</v>
      </c>
      <c r="H564" s="13">
        <v>3000</v>
      </c>
      <c r="I564" s="13">
        <v>13800</v>
      </c>
      <c r="J564" s="15" t="s">
        <v>934</v>
      </c>
      <c r="K564" s="55">
        <v>45636</v>
      </c>
    </row>
    <row r="565" spans="1:19" ht="16.5">
      <c r="A565" s="13">
        <v>5</v>
      </c>
      <c r="B565" s="13">
        <v>1672</v>
      </c>
      <c r="C565" s="9" t="s">
        <v>3672</v>
      </c>
      <c r="D565" s="9" t="s">
        <v>3673</v>
      </c>
      <c r="E565" s="71" t="s">
        <v>3437</v>
      </c>
      <c r="F565" s="13">
        <v>2300</v>
      </c>
      <c r="G565" s="13">
        <v>2300</v>
      </c>
      <c r="H565" s="13">
        <v>3000</v>
      </c>
      <c r="I565" s="13">
        <v>5300</v>
      </c>
      <c r="J565" s="24" t="s">
        <v>3674</v>
      </c>
      <c r="K565" s="55">
        <v>45636</v>
      </c>
    </row>
    <row r="566" spans="1:19" ht="16.5">
      <c r="A566" s="13">
        <v>5</v>
      </c>
      <c r="B566" s="13">
        <v>620</v>
      </c>
      <c r="C566" s="9" t="s">
        <v>1685</v>
      </c>
      <c r="D566" s="9" t="s">
        <v>3675</v>
      </c>
      <c r="E566" s="66" t="s">
        <v>3541</v>
      </c>
      <c r="F566" s="13">
        <v>2400</v>
      </c>
      <c r="G566" s="13">
        <v>4800</v>
      </c>
      <c r="H566" s="13">
        <v>1800</v>
      </c>
      <c r="I566" s="13">
        <v>6600</v>
      </c>
      <c r="J566" s="91" t="s">
        <v>3676</v>
      </c>
      <c r="K566" s="55">
        <v>45636</v>
      </c>
    </row>
    <row r="567" spans="1:19" ht="16.5">
      <c r="A567" s="42">
        <v>6</v>
      </c>
      <c r="B567" s="13">
        <v>6333</v>
      </c>
      <c r="C567" s="9" t="s">
        <v>3677</v>
      </c>
      <c r="D567" s="9" t="s">
        <v>3678</v>
      </c>
      <c r="E567" s="66" t="s">
        <v>3679</v>
      </c>
      <c r="F567" s="13">
        <v>2100</v>
      </c>
      <c r="G567" s="13">
        <v>2100</v>
      </c>
      <c r="H567" s="13">
        <v>0</v>
      </c>
      <c r="I567" s="13">
        <v>2100</v>
      </c>
      <c r="J567" s="15" t="s">
        <v>3661</v>
      </c>
      <c r="K567" s="107" t="s">
        <v>3680</v>
      </c>
    </row>
    <row r="568" spans="1:19" ht="16.5">
      <c r="A568" s="13">
        <v>29</v>
      </c>
      <c r="B568" s="13">
        <v>6343</v>
      </c>
      <c r="C568" s="9" t="s">
        <v>3681</v>
      </c>
      <c r="D568" s="9" t="s">
        <v>3682</v>
      </c>
      <c r="E568" s="71" t="s">
        <v>3437</v>
      </c>
      <c r="F568" s="13">
        <v>0</v>
      </c>
      <c r="G568" s="13">
        <v>0</v>
      </c>
      <c r="H568" s="13">
        <v>0</v>
      </c>
      <c r="I568" s="13">
        <v>0</v>
      </c>
      <c r="J568" s="23" t="s">
        <v>3661</v>
      </c>
      <c r="K568" s="107" t="s">
        <v>3680</v>
      </c>
    </row>
    <row r="569" spans="1:19" ht="16.5">
      <c r="A569" s="93">
        <v>30</v>
      </c>
      <c r="B569" s="13">
        <v>6344</v>
      </c>
      <c r="C569" s="9" t="s">
        <v>3683</v>
      </c>
      <c r="D569" s="9" t="s">
        <v>3421</v>
      </c>
      <c r="E569" s="71" t="s">
        <v>3437</v>
      </c>
      <c r="F569" s="13">
        <v>2300</v>
      </c>
      <c r="G569" s="13">
        <v>0</v>
      </c>
      <c r="H569" s="13">
        <v>0</v>
      </c>
      <c r="I569" s="13">
        <v>2300</v>
      </c>
      <c r="J569" s="23" t="s">
        <v>3684</v>
      </c>
      <c r="K569" s="107" t="s">
        <v>3680</v>
      </c>
    </row>
    <row r="570" spans="1:19" ht="16.5">
      <c r="A570" s="13">
        <v>31</v>
      </c>
      <c r="B570" s="13">
        <v>6345</v>
      </c>
      <c r="C570" s="9" t="s">
        <v>3685</v>
      </c>
      <c r="D570" s="9" t="s">
        <v>3421</v>
      </c>
      <c r="E570" s="71" t="s">
        <v>3437</v>
      </c>
      <c r="F570" s="13">
        <v>0</v>
      </c>
      <c r="G570" s="13">
        <v>0</v>
      </c>
      <c r="H570" s="13">
        <v>0</v>
      </c>
      <c r="I570" s="13">
        <v>0</v>
      </c>
      <c r="J570" s="23" t="s">
        <v>3684</v>
      </c>
      <c r="K570" s="107" t="s">
        <v>3680</v>
      </c>
    </row>
    <row r="571" spans="1:19" ht="16.5">
      <c r="A571" s="75">
        <v>19</v>
      </c>
      <c r="B571" s="13">
        <v>6334</v>
      </c>
      <c r="C571" s="63" t="s">
        <v>3686</v>
      </c>
      <c r="D571" s="63" t="s">
        <v>3421</v>
      </c>
      <c r="E571" s="71" t="s">
        <v>3687</v>
      </c>
      <c r="F571" s="60">
        <v>2100</v>
      </c>
      <c r="G571" s="60">
        <v>0</v>
      </c>
      <c r="H571" s="60">
        <v>2100</v>
      </c>
      <c r="I571" s="60">
        <v>2100</v>
      </c>
      <c r="J571" s="61" t="s">
        <v>3649</v>
      </c>
      <c r="K571" s="107" t="s">
        <v>3680</v>
      </c>
    </row>
    <row r="572" spans="1:19" ht="16.5">
      <c r="A572" s="25">
        <v>28</v>
      </c>
      <c r="B572" s="13">
        <v>6353</v>
      </c>
      <c r="C572" s="9" t="s">
        <v>990</v>
      </c>
      <c r="D572" s="9" t="s">
        <v>3682</v>
      </c>
      <c r="E572" s="11" t="s">
        <v>147</v>
      </c>
      <c r="F572" s="13">
        <v>2000</v>
      </c>
      <c r="G572" s="13">
        <v>2000</v>
      </c>
      <c r="H572" s="13">
        <v>0</v>
      </c>
      <c r="I572" s="13">
        <v>2000</v>
      </c>
      <c r="J572" s="15" t="s">
        <v>3661</v>
      </c>
      <c r="K572" s="107" t="s">
        <v>3680</v>
      </c>
    </row>
    <row r="573" spans="1:19" ht="16.5">
      <c r="A573" s="266">
        <v>21</v>
      </c>
      <c r="B573" s="13">
        <v>6507</v>
      </c>
      <c r="C573" s="9" t="s">
        <v>3688</v>
      </c>
      <c r="D573" s="9" t="s">
        <v>3689</v>
      </c>
      <c r="E573" s="53" t="s">
        <v>3690</v>
      </c>
      <c r="F573" s="13">
        <v>2000</v>
      </c>
      <c r="G573" s="13">
        <v>2000</v>
      </c>
      <c r="H573" s="13">
        <v>0</v>
      </c>
      <c r="I573" s="13">
        <v>2000</v>
      </c>
      <c r="J573" s="15" t="s">
        <v>3691</v>
      </c>
      <c r="K573" s="107" t="s">
        <v>3680</v>
      </c>
    </row>
    <row r="574" spans="1:19" ht="16.5">
      <c r="A574" s="13">
        <v>27</v>
      </c>
      <c r="B574" s="13">
        <v>6506</v>
      </c>
      <c r="C574" s="9" t="s">
        <v>3692</v>
      </c>
      <c r="D574" s="57" t="s">
        <v>3689</v>
      </c>
      <c r="E574" s="71" t="s">
        <v>3502</v>
      </c>
      <c r="F574" s="12">
        <v>2100</v>
      </c>
      <c r="G574" s="12">
        <v>2100</v>
      </c>
      <c r="H574" s="12">
        <v>0</v>
      </c>
      <c r="I574" s="12">
        <v>2100</v>
      </c>
      <c r="J574" s="51" t="s">
        <v>3693</v>
      </c>
      <c r="K574" s="107" t="s">
        <v>3680</v>
      </c>
      <c r="S574" s="13">
        <v>0</v>
      </c>
    </row>
    <row r="575" spans="1:19" ht="16.5">
      <c r="A575" s="74">
        <v>44</v>
      </c>
      <c r="B575" s="13">
        <v>6571</v>
      </c>
      <c r="C575" s="9" t="s">
        <v>3694</v>
      </c>
      <c r="D575" s="9" t="s">
        <v>3695</v>
      </c>
      <c r="E575" s="71" t="s">
        <v>3434</v>
      </c>
      <c r="F575" s="13">
        <v>2700</v>
      </c>
      <c r="G575" s="13">
        <v>0</v>
      </c>
      <c r="H575" s="13">
        <v>3000</v>
      </c>
      <c r="I575" s="13">
        <v>5700</v>
      </c>
      <c r="J575" s="23" t="s">
        <v>3696</v>
      </c>
      <c r="K575" t="s">
        <v>3697</v>
      </c>
      <c r="L575" t="s">
        <v>3698</v>
      </c>
    </row>
    <row r="576" spans="1:19" ht="16.5">
      <c r="A576" s="49">
        <v>24</v>
      </c>
      <c r="B576" s="8">
        <v>6438</v>
      </c>
      <c r="C576" s="10" t="s">
        <v>41</v>
      </c>
      <c r="D576" s="10" t="s">
        <v>574</v>
      </c>
      <c r="E576" s="71" t="s">
        <v>3448</v>
      </c>
      <c r="F576" s="8">
        <v>1700</v>
      </c>
      <c r="G576" s="8">
        <v>9200</v>
      </c>
      <c r="H576" s="8">
        <v>0</v>
      </c>
      <c r="I576" s="8">
        <v>9200</v>
      </c>
      <c r="J576" s="56" t="s">
        <v>3699</v>
      </c>
      <c r="K576" s="107" t="s">
        <v>3697</v>
      </c>
    </row>
    <row r="577" spans="1:11" ht="16.5">
      <c r="A577" s="74">
        <v>35</v>
      </c>
      <c r="B577" s="13">
        <v>6433</v>
      </c>
      <c r="C577" s="9" t="s">
        <v>3700</v>
      </c>
      <c r="D577" s="9" t="s">
        <v>3701</v>
      </c>
      <c r="E577" s="71" t="s">
        <v>3434</v>
      </c>
      <c r="F577" s="23"/>
      <c r="J577" s="23" t="s">
        <v>543</v>
      </c>
      <c r="K577" s="55">
        <v>45623</v>
      </c>
    </row>
    <row r="578" spans="1:11" ht="16.5">
      <c r="A578" s="93">
        <v>42</v>
      </c>
      <c r="B578" s="179" t="s">
        <v>2968</v>
      </c>
      <c r="C578" s="10" t="s">
        <v>3702</v>
      </c>
      <c r="D578" s="10" t="s">
        <v>3703</v>
      </c>
      <c r="E578" s="71" t="s">
        <v>2251</v>
      </c>
      <c r="F578" s="8">
        <v>2700</v>
      </c>
      <c r="G578" s="13"/>
      <c r="H578" s="264"/>
      <c r="J578" s="264" t="s">
        <v>3704</v>
      </c>
      <c r="K578" s="55">
        <v>45623</v>
      </c>
    </row>
    <row r="579" spans="1:11" ht="21.95" customHeight="1">
      <c r="A579" s="42">
        <v>22</v>
      </c>
      <c r="B579" s="13">
        <v>6453</v>
      </c>
      <c r="C579" s="9" t="s">
        <v>522</v>
      </c>
      <c r="D579" s="9" t="s">
        <v>496</v>
      </c>
      <c r="E579" s="66" t="s">
        <v>3679</v>
      </c>
      <c r="F579" s="13">
        <v>2300</v>
      </c>
      <c r="G579" s="13">
        <v>6700</v>
      </c>
      <c r="H579" s="13">
        <v>0</v>
      </c>
      <c r="I579" s="13">
        <v>6700</v>
      </c>
      <c r="J579" s="15" t="s">
        <v>2242</v>
      </c>
      <c r="K579" s="55">
        <v>45636</v>
      </c>
    </row>
    <row r="580" spans="1:11" ht="21.95" customHeight="1">
      <c r="A580" s="25">
        <v>7</v>
      </c>
      <c r="B580" s="25">
        <v>6055</v>
      </c>
      <c r="C580" s="26" t="s">
        <v>3705</v>
      </c>
      <c r="D580" s="27" t="s">
        <v>3706</v>
      </c>
      <c r="E580" s="11" t="s">
        <v>147</v>
      </c>
      <c r="F580" s="30">
        <v>1250</v>
      </c>
      <c r="G580" s="30">
        <v>5850</v>
      </c>
      <c r="H580" s="30">
        <v>1000</v>
      </c>
      <c r="I580" s="30">
        <v>6850</v>
      </c>
      <c r="J580" s="29" t="s">
        <v>3707</v>
      </c>
      <c r="K580" s="55">
        <v>45658</v>
      </c>
    </row>
    <row r="581" spans="1:11" ht="21.95" customHeight="1">
      <c r="A581" s="25">
        <v>5</v>
      </c>
      <c r="B581" s="13">
        <v>6164</v>
      </c>
      <c r="C581" s="9" t="s">
        <v>146</v>
      </c>
      <c r="D581" s="9" t="s">
        <v>709</v>
      </c>
      <c r="E581" s="11" t="s">
        <v>2430</v>
      </c>
      <c r="F581" s="13">
        <v>1900</v>
      </c>
      <c r="G581" s="13">
        <v>9100</v>
      </c>
      <c r="H581" s="13">
        <v>3000</v>
      </c>
      <c r="I581" s="13">
        <v>12100</v>
      </c>
      <c r="J581" s="15" t="s">
        <v>3708</v>
      </c>
      <c r="K581" s="55">
        <v>45658</v>
      </c>
    </row>
    <row r="582" spans="1:11" ht="21.95" customHeight="1">
      <c r="A582" s="62">
        <v>11</v>
      </c>
      <c r="B582" s="13">
        <v>4924</v>
      </c>
      <c r="C582" s="9" t="s">
        <v>3709</v>
      </c>
      <c r="D582" s="9" t="s">
        <v>1652</v>
      </c>
      <c r="E582" s="71" t="s">
        <v>3455</v>
      </c>
      <c r="F582" s="13">
        <v>2000</v>
      </c>
      <c r="G582" s="13">
        <v>7800</v>
      </c>
      <c r="H582" s="13">
        <v>0</v>
      </c>
      <c r="I582" s="13">
        <v>7800</v>
      </c>
      <c r="J582" s="72" t="s">
        <v>3710</v>
      </c>
      <c r="K582" s="55">
        <v>45658</v>
      </c>
    </row>
    <row r="583" spans="1:11" ht="21.95" customHeight="1">
      <c r="A583" s="75">
        <v>21</v>
      </c>
      <c r="B583" s="13">
        <v>6468</v>
      </c>
      <c r="C583" s="63" t="s">
        <v>3711</v>
      </c>
      <c r="D583" s="63" t="s">
        <v>821</v>
      </c>
      <c r="E583" s="71" t="s">
        <v>3687</v>
      </c>
      <c r="F583" s="60">
        <v>2300</v>
      </c>
      <c r="G583" s="60">
        <v>6900</v>
      </c>
      <c r="H583" s="60">
        <v>0</v>
      </c>
      <c r="I583" s="60">
        <v>9600</v>
      </c>
      <c r="J583" s="61" t="s">
        <v>3712</v>
      </c>
      <c r="K583" s="55">
        <v>45658</v>
      </c>
    </row>
    <row r="584" spans="1:11" ht="21.95" customHeight="1">
      <c r="A584" s="74">
        <v>21</v>
      </c>
      <c r="B584" s="13">
        <v>4925</v>
      </c>
      <c r="C584" s="9" t="s">
        <v>3713</v>
      </c>
      <c r="D584" s="9" t="s">
        <v>1652</v>
      </c>
      <c r="E584" s="71" t="s">
        <v>3589</v>
      </c>
      <c r="F584" s="13">
        <v>2000</v>
      </c>
      <c r="G584" s="13">
        <v>7800</v>
      </c>
      <c r="H584" s="13">
        <v>0</v>
      </c>
      <c r="I584" s="13">
        <v>7800</v>
      </c>
      <c r="J584" s="72" t="s">
        <v>3710</v>
      </c>
      <c r="K584" s="55">
        <v>45658</v>
      </c>
    </row>
    <row r="585" spans="1:11" ht="16.5">
      <c r="A585" s="93">
        <v>18</v>
      </c>
      <c r="B585" s="13">
        <v>6395</v>
      </c>
      <c r="C585" s="9" t="s">
        <v>3714</v>
      </c>
      <c r="D585" s="9" t="s">
        <v>1278</v>
      </c>
      <c r="E585" s="66" t="s">
        <v>3670</v>
      </c>
      <c r="F585" s="13">
        <v>2400</v>
      </c>
      <c r="G585" s="13">
        <v>2400</v>
      </c>
      <c r="H585" s="13">
        <v>0</v>
      </c>
      <c r="I585" s="13">
        <v>2400</v>
      </c>
      <c r="J585" s="23" t="s">
        <v>3715</v>
      </c>
      <c r="K585" s="55">
        <v>45658</v>
      </c>
    </row>
    <row r="586" spans="1:11" ht="21.95" customHeight="1">
      <c r="A586" s="93">
        <v>35</v>
      </c>
      <c r="B586" s="19">
        <v>6456</v>
      </c>
      <c r="C586" s="21" t="s">
        <v>508</v>
      </c>
      <c r="D586" s="21" t="s">
        <v>3716</v>
      </c>
      <c r="E586" s="66" t="s">
        <v>1689</v>
      </c>
      <c r="F586" s="19">
        <v>2400</v>
      </c>
      <c r="G586" s="19">
        <v>9400</v>
      </c>
      <c r="H586" s="19">
        <v>0</v>
      </c>
      <c r="I586" s="19">
        <v>9400</v>
      </c>
      <c r="J586" s="46" t="s">
        <v>3717</v>
      </c>
      <c r="K586" s="55">
        <v>45672</v>
      </c>
    </row>
    <row r="587" spans="1:11" ht="16.5">
      <c r="A587" s="74">
        <v>20</v>
      </c>
      <c r="B587" s="13">
        <v>6482</v>
      </c>
      <c r="C587" s="9" t="s">
        <v>3291</v>
      </c>
      <c r="D587" s="9" t="s">
        <v>3718</v>
      </c>
      <c r="E587" s="71" t="s">
        <v>3719</v>
      </c>
      <c r="F587" s="13">
        <v>2300</v>
      </c>
      <c r="G587" s="13">
        <v>9000</v>
      </c>
      <c r="H587" s="13">
        <v>2000</v>
      </c>
      <c r="I587" s="13">
        <v>11000</v>
      </c>
      <c r="J587" s="15" t="s">
        <v>3720</v>
      </c>
      <c r="K587" s="55">
        <v>45677</v>
      </c>
    </row>
    <row r="588" spans="1:11" ht="16.5">
      <c r="A588" s="25">
        <v>19</v>
      </c>
      <c r="B588" s="25">
        <v>6123</v>
      </c>
      <c r="C588" s="26" t="s">
        <v>2467</v>
      </c>
      <c r="D588" s="27" t="s">
        <v>1652</v>
      </c>
      <c r="E588" s="11" t="s">
        <v>147</v>
      </c>
      <c r="F588" s="30">
        <v>200</v>
      </c>
      <c r="G588" s="30">
        <v>600</v>
      </c>
      <c r="H588" s="30">
        <v>3000</v>
      </c>
      <c r="I588" s="30">
        <v>3600</v>
      </c>
      <c r="J588" s="29" t="s">
        <v>3710</v>
      </c>
      <c r="K588" s="55">
        <v>45678</v>
      </c>
    </row>
    <row r="589" spans="1:11" ht="16.5">
      <c r="A589" s="13">
        <v>25</v>
      </c>
      <c r="B589" s="13">
        <v>6223</v>
      </c>
      <c r="C589" s="9" t="s">
        <v>3721</v>
      </c>
      <c r="D589" s="9" t="s">
        <v>2880</v>
      </c>
      <c r="E589" s="66" t="s">
        <v>2555</v>
      </c>
      <c r="F589" s="13">
        <v>2400</v>
      </c>
      <c r="G589" s="13">
        <v>13800</v>
      </c>
      <c r="H589" s="13">
        <v>3000</v>
      </c>
      <c r="I589" s="23">
        <v>16800</v>
      </c>
      <c r="J589" s="23" t="s">
        <v>3722</v>
      </c>
      <c r="K589" s="55">
        <v>45678</v>
      </c>
    </row>
    <row r="590" spans="1:11" ht="16.5">
      <c r="A590" s="13">
        <v>39</v>
      </c>
      <c r="B590" s="13">
        <v>6434</v>
      </c>
      <c r="C590" s="9" t="s">
        <v>3723</v>
      </c>
      <c r="D590" s="9" t="s">
        <v>96</v>
      </c>
      <c r="E590" s="71" t="s">
        <v>3437</v>
      </c>
      <c r="F590" s="13">
        <v>2500</v>
      </c>
      <c r="G590" s="13">
        <v>19000</v>
      </c>
      <c r="H590" s="13">
        <v>3000</v>
      </c>
      <c r="I590" s="13">
        <v>21000</v>
      </c>
      <c r="J590" s="23" t="s">
        <v>3724</v>
      </c>
      <c r="K590" s="55">
        <v>45678</v>
      </c>
    </row>
    <row r="591" spans="1:11" ht="16.5">
      <c r="A591" s="93">
        <v>2</v>
      </c>
      <c r="B591" s="93">
        <v>777</v>
      </c>
      <c r="C591" s="9" t="s">
        <v>3725</v>
      </c>
      <c r="D591" s="9" t="s">
        <v>1821</v>
      </c>
      <c r="E591" s="71" t="s">
        <v>2251</v>
      </c>
      <c r="F591" s="13">
        <v>2700</v>
      </c>
      <c r="G591" s="13">
        <v>2700</v>
      </c>
      <c r="H591" s="13">
        <v>2000</v>
      </c>
      <c r="I591" s="13">
        <v>4700</v>
      </c>
      <c r="J591" s="65" t="s">
        <v>3726</v>
      </c>
      <c r="K591" s="55">
        <v>45678</v>
      </c>
    </row>
    <row r="592" spans="1:11" ht="16.5">
      <c r="A592" s="13">
        <v>25</v>
      </c>
      <c r="B592" s="13">
        <v>6520</v>
      </c>
      <c r="C592" s="9" t="s">
        <v>3727</v>
      </c>
      <c r="D592" s="9" t="s">
        <v>3644</v>
      </c>
      <c r="E592" s="53" t="s">
        <v>3426</v>
      </c>
      <c r="F592" s="13">
        <v>2300</v>
      </c>
      <c r="G592" s="13">
        <v>9200</v>
      </c>
      <c r="H592" s="13">
        <v>0</v>
      </c>
      <c r="I592" s="13">
        <v>9200</v>
      </c>
      <c r="J592" s="23" t="s">
        <v>3646</v>
      </c>
      <c r="K592" s="55">
        <v>45684</v>
      </c>
    </row>
    <row r="593" spans="1:21" ht="21.95" customHeight="1">
      <c r="A593" s="93">
        <v>36</v>
      </c>
      <c r="B593" s="13">
        <v>6566</v>
      </c>
      <c r="C593" s="9" t="s">
        <v>3728</v>
      </c>
      <c r="D593" s="9" t="s">
        <v>1467</v>
      </c>
      <c r="E593" s="66" t="s">
        <v>2543</v>
      </c>
      <c r="F593" s="13">
        <v>2200</v>
      </c>
      <c r="G593" s="13">
        <v>4400</v>
      </c>
      <c r="H593" s="13">
        <v>0</v>
      </c>
      <c r="I593" s="13">
        <v>4400</v>
      </c>
      <c r="J593" s="23" t="s">
        <v>3729</v>
      </c>
    </row>
    <row r="594" spans="1:21" ht="21.95" customHeight="1">
      <c r="A594" s="74">
        <v>42</v>
      </c>
      <c r="B594" s="13">
        <v>6567</v>
      </c>
      <c r="C594" s="9" t="s">
        <v>3730</v>
      </c>
      <c r="D594" s="9" t="s">
        <v>1467</v>
      </c>
      <c r="E594" s="71" t="s">
        <v>3434</v>
      </c>
      <c r="F594" s="13">
        <v>2500</v>
      </c>
      <c r="G594" s="13">
        <v>5700</v>
      </c>
      <c r="H594" s="13">
        <v>0</v>
      </c>
      <c r="I594" s="13">
        <v>5700</v>
      </c>
      <c r="J594" s="23" t="s">
        <v>3729</v>
      </c>
    </row>
    <row r="595" spans="1:21" ht="16.5">
      <c r="A595" s="25">
        <v>21</v>
      </c>
      <c r="B595" s="13">
        <v>6241</v>
      </c>
      <c r="C595" s="9" t="s">
        <v>3731</v>
      </c>
      <c r="D595" s="9" t="s">
        <v>3732</v>
      </c>
      <c r="E595" s="11" t="s">
        <v>2430</v>
      </c>
      <c r="F595" s="13">
        <v>1200</v>
      </c>
      <c r="G595" s="13">
        <v>1200</v>
      </c>
      <c r="H595" s="13">
        <v>0</v>
      </c>
      <c r="I595" s="13">
        <v>1200</v>
      </c>
      <c r="J595" s="15" t="s">
        <v>3733</v>
      </c>
    </row>
    <row r="596" spans="1:21" ht="16.5">
      <c r="A596" s="1">
        <v>1</v>
      </c>
      <c r="B596" s="13">
        <v>6249</v>
      </c>
      <c r="C596" s="9" t="s">
        <v>145</v>
      </c>
      <c r="D596" s="9" t="s">
        <v>146</v>
      </c>
      <c r="E596" s="11" t="s">
        <v>3573</v>
      </c>
      <c r="F596" s="13">
        <v>1200</v>
      </c>
      <c r="G596" s="13">
        <v>1200</v>
      </c>
      <c r="H596" s="13">
        <v>0</v>
      </c>
      <c r="I596" s="13">
        <v>1200</v>
      </c>
      <c r="J596" s="15" t="s">
        <v>148</v>
      </c>
      <c r="K596" s="55">
        <v>45695</v>
      </c>
    </row>
    <row r="597" spans="1:21" ht="16.5">
      <c r="A597" s="25">
        <v>10</v>
      </c>
      <c r="B597" s="13">
        <v>6182</v>
      </c>
      <c r="C597" s="9" t="s">
        <v>427</v>
      </c>
      <c r="D597" s="9" t="s">
        <v>3734</v>
      </c>
      <c r="E597" s="11" t="s">
        <v>2430</v>
      </c>
      <c r="F597" s="13">
        <v>1700</v>
      </c>
      <c r="G597" s="13">
        <v>9800</v>
      </c>
      <c r="H597" s="13">
        <v>2500</v>
      </c>
      <c r="I597" s="13">
        <v>12300</v>
      </c>
      <c r="J597" s="15" t="s">
        <v>3735</v>
      </c>
      <c r="K597" s="55">
        <v>45705</v>
      </c>
    </row>
    <row r="598" spans="1:21" ht="16.5">
      <c r="A598" s="42">
        <v>21</v>
      </c>
      <c r="B598" s="13">
        <v>4886</v>
      </c>
      <c r="C598" s="9" t="s">
        <v>2162</v>
      </c>
      <c r="D598" s="9" t="s">
        <v>3736</v>
      </c>
      <c r="E598" s="66" t="s">
        <v>1203</v>
      </c>
      <c r="F598" s="13">
        <v>1500</v>
      </c>
      <c r="G598" s="13"/>
      <c r="H598" s="13"/>
      <c r="I598" s="13"/>
      <c r="J598" s="24" t="s">
        <v>3737</v>
      </c>
      <c r="K598" s="55">
        <v>45715</v>
      </c>
    </row>
    <row r="599" spans="1:21" ht="17.25">
      <c r="A599" s="74">
        <v>47</v>
      </c>
      <c r="B599" s="13">
        <v>6586</v>
      </c>
      <c r="C599" s="9" t="s">
        <v>3738</v>
      </c>
      <c r="D599" s="9" t="s">
        <v>3739</v>
      </c>
      <c r="E599" s="71" t="s">
        <v>2053</v>
      </c>
      <c r="F599" s="44">
        <v>2700</v>
      </c>
      <c r="G599" s="13">
        <v>0</v>
      </c>
      <c r="H599" s="13">
        <v>5000</v>
      </c>
      <c r="I599" s="13">
        <v>7700</v>
      </c>
      <c r="J599" s="23" t="s">
        <v>3740</v>
      </c>
      <c r="K599" s="55">
        <v>45716</v>
      </c>
    </row>
    <row r="600" spans="1:21" ht="22.5" customHeight="1">
      <c r="A600" s="75">
        <v>3</v>
      </c>
      <c r="B600" s="13">
        <v>4890</v>
      </c>
      <c r="C600" s="63" t="s">
        <v>1641</v>
      </c>
      <c r="D600" s="63" t="s">
        <v>233</v>
      </c>
      <c r="E600" s="71" t="s">
        <v>3741</v>
      </c>
      <c r="F600" s="44">
        <v>2400</v>
      </c>
      <c r="G600" s="60">
        <v>2400</v>
      </c>
      <c r="H600" s="60">
        <v>3000</v>
      </c>
      <c r="I600" s="60">
        <v>5400</v>
      </c>
      <c r="J600" s="51" t="s">
        <v>1642</v>
      </c>
      <c r="K600" s="55">
        <v>45727</v>
      </c>
    </row>
    <row r="601" spans="1:21" ht="21.95" customHeight="1">
      <c r="A601" s="42">
        <v>4</v>
      </c>
      <c r="B601" s="13">
        <v>4870</v>
      </c>
      <c r="C601" s="9" t="s">
        <v>2524</v>
      </c>
      <c r="D601" s="9" t="s">
        <v>3742</v>
      </c>
      <c r="E601" s="38" t="s">
        <v>577</v>
      </c>
      <c r="F601" s="44">
        <v>2300</v>
      </c>
      <c r="G601" s="13">
        <v>4600</v>
      </c>
      <c r="H601" s="13">
        <v>3000</v>
      </c>
      <c r="I601" s="13">
        <v>7600</v>
      </c>
      <c r="J601" s="23" t="s">
        <v>3743</v>
      </c>
    </row>
    <row r="602" spans="1:21" ht="21.95" customHeight="1">
      <c r="A602" s="52">
        <v>14</v>
      </c>
      <c r="B602" s="8">
        <v>5063</v>
      </c>
      <c r="C602" s="251" t="s">
        <v>3744</v>
      </c>
      <c r="D602" s="10" t="s">
        <v>3745</v>
      </c>
      <c r="E602" s="53" t="s">
        <v>653</v>
      </c>
      <c r="F602" s="44">
        <v>1400</v>
      </c>
      <c r="G602" s="180">
        <v>0</v>
      </c>
      <c r="H602" s="180">
        <v>0</v>
      </c>
      <c r="I602" s="180">
        <v>0</v>
      </c>
      <c r="J602" s="180">
        <v>0</v>
      </c>
      <c r="K602" s="180">
        <v>0</v>
      </c>
      <c r="L602" s="180">
        <v>0</v>
      </c>
      <c r="M602" s="12">
        <f>(SUM(G602:L602))</f>
        <v>0</v>
      </c>
      <c r="N602" s="44">
        <v>1400</v>
      </c>
      <c r="O602" s="13">
        <v>0</v>
      </c>
      <c r="P602" s="13">
        <v>3000</v>
      </c>
      <c r="Q602" s="14">
        <f>(SUM(M602:P602))</f>
        <v>4400</v>
      </c>
      <c r="R602" s="13">
        <f>Q602+100</f>
        <v>4500</v>
      </c>
      <c r="S602" s="13">
        <f>Q602+200</f>
        <v>4600</v>
      </c>
      <c r="T602" s="13" t="s">
        <v>3746</v>
      </c>
      <c r="U602" s="37" t="s">
        <v>3747</v>
      </c>
    </row>
    <row r="604" spans="1:21" ht="21.95" customHeight="1">
      <c r="A604" s="52">
        <v>26</v>
      </c>
      <c r="B604" s="19">
        <v>6550</v>
      </c>
      <c r="C604" s="21" t="s">
        <v>3748</v>
      </c>
      <c r="D604" s="50" t="s">
        <v>3749</v>
      </c>
      <c r="E604" s="53" t="s">
        <v>653</v>
      </c>
      <c r="F604" s="44">
        <v>2300</v>
      </c>
      <c r="G604" s="12">
        <v>0</v>
      </c>
      <c r="H604" s="12">
        <v>0</v>
      </c>
      <c r="I604" s="12">
        <v>0</v>
      </c>
      <c r="J604" s="12">
        <v>0</v>
      </c>
      <c r="K604" s="12">
        <v>0</v>
      </c>
      <c r="L604" s="12">
        <v>0</v>
      </c>
      <c r="M604" s="12">
        <f>(SUM(G604:L604))</f>
        <v>0</v>
      </c>
      <c r="N604" s="44">
        <v>2300</v>
      </c>
      <c r="O604" s="13">
        <v>0</v>
      </c>
      <c r="P604" s="13">
        <v>3000</v>
      </c>
      <c r="Q604" s="14">
        <f>(SUM(M604:P604))</f>
        <v>5300</v>
      </c>
      <c r="R604" s="13">
        <f>Q604+100</f>
        <v>5400</v>
      </c>
      <c r="S604" s="13">
        <f>Q604+200</f>
        <v>5500</v>
      </c>
      <c r="T604" s="13" t="s">
        <v>3746</v>
      </c>
      <c r="U604" s="51" t="s">
        <v>3750</v>
      </c>
    </row>
    <row r="605" spans="1:21" ht="21.95" customHeight="1">
      <c r="A605" s="62">
        <v>17</v>
      </c>
      <c r="B605" s="13">
        <v>6086</v>
      </c>
      <c r="C605" s="9" t="s">
        <v>3751</v>
      </c>
      <c r="D605" s="9" t="s">
        <v>3546</v>
      </c>
      <c r="E605" s="71" t="s">
        <v>964</v>
      </c>
      <c r="F605" s="13">
        <v>1600</v>
      </c>
      <c r="G605" s="13">
        <v>0</v>
      </c>
      <c r="H605" s="13">
        <v>0</v>
      </c>
      <c r="I605" s="13">
        <v>800</v>
      </c>
      <c r="J605" s="13">
        <v>1600</v>
      </c>
      <c r="K605" s="13">
        <v>1600</v>
      </c>
      <c r="L605" s="13">
        <v>1600</v>
      </c>
      <c r="M605" s="12">
        <f>(SUM(G605:L605))</f>
        <v>5600</v>
      </c>
      <c r="N605" s="13">
        <v>1600</v>
      </c>
      <c r="O605" s="13">
        <v>0</v>
      </c>
      <c r="P605" s="13">
        <v>3000</v>
      </c>
      <c r="Q605" s="14">
        <f>(SUM(M605:P605))</f>
        <v>10200</v>
      </c>
      <c r="R605" s="13">
        <f>Q605+100</f>
        <v>10300</v>
      </c>
      <c r="S605" s="13">
        <f>Q605+200</f>
        <v>10400</v>
      </c>
      <c r="T605" s="13" t="s">
        <v>3746</v>
      </c>
      <c r="U605" s="72" t="s">
        <v>3547</v>
      </c>
    </row>
    <row r="606" spans="1:21" ht="21.95" customHeight="1">
      <c r="A606" s="62">
        <v>19</v>
      </c>
      <c r="B606" s="13">
        <v>6206</v>
      </c>
      <c r="C606" s="9" t="s">
        <v>3752</v>
      </c>
      <c r="D606" s="9" t="s">
        <v>3753</v>
      </c>
      <c r="E606" s="71" t="s">
        <v>964</v>
      </c>
      <c r="F606" s="13">
        <v>1600</v>
      </c>
      <c r="G606" s="13">
        <v>0</v>
      </c>
      <c r="H606" s="13">
        <v>0</v>
      </c>
      <c r="I606" s="13">
        <v>0</v>
      </c>
      <c r="J606" s="13">
        <v>0</v>
      </c>
      <c r="K606" s="13">
        <v>0</v>
      </c>
      <c r="L606" s="13">
        <v>0</v>
      </c>
      <c r="M606" s="12">
        <f>(SUM(G606:L606))</f>
        <v>0</v>
      </c>
      <c r="N606" s="13">
        <v>1600</v>
      </c>
      <c r="O606" s="13">
        <v>0</v>
      </c>
      <c r="P606" s="13">
        <v>3000</v>
      </c>
      <c r="Q606" s="14">
        <f>(SUM(M606:P606))</f>
        <v>4600</v>
      </c>
      <c r="R606" s="13">
        <f>Q606+100</f>
        <v>4700</v>
      </c>
      <c r="S606" s="13">
        <f>Q606+200</f>
        <v>4800</v>
      </c>
      <c r="T606" s="13" t="s">
        <v>3746</v>
      </c>
      <c r="U606" s="15" t="s">
        <v>3754</v>
      </c>
    </row>
    <row r="608" spans="1:21" ht="21.95" customHeight="1">
      <c r="A608" s="62">
        <v>24</v>
      </c>
      <c r="B608" s="13">
        <v>6325</v>
      </c>
      <c r="C608" s="9" t="s">
        <v>3755</v>
      </c>
      <c r="D608" s="9" t="s">
        <v>312</v>
      </c>
      <c r="E608" s="71" t="s">
        <v>964</v>
      </c>
      <c r="F608" s="13">
        <v>0</v>
      </c>
      <c r="G608" s="13">
        <v>0</v>
      </c>
      <c r="H608" s="13">
        <v>0</v>
      </c>
      <c r="I608" s="13">
        <v>0</v>
      </c>
      <c r="J608" s="13">
        <v>0</v>
      </c>
      <c r="K608" s="13">
        <v>0</v>
      </c>
      <c r="L608" s="13">
        <v>0</v>
      </c>
      <c r="M608" s="12">
        <f>(SUM(G608:L608))</f>
        <v>0</v>
      </c>
      <c r="N608" s="13">
        <v>0</v>
      </c>
      <c r="O608" s="13">
        <v>0</v>
      </c>
      <c r="P608" s="13">
        <v>3000</v>
      </c>
      <c r="Q608" s="14">
        <f>(SUM(M608:P608))</f>
        <v>3000</v>
      </c>
      <c r="R608" s="13">
        <f>Q608+100</f>
        <v>3100</v>
      </c>
      <c r="S608" s="13">
        <f>Q608+200</f>
        <v>3200</v>
      </c>
      <c r="T608" s="13" t="s">
        <v>3746</v>
      </c>
      <c r="U608" s="15" t="s">
        <v>3756</v>
      </c>
    </row>
    <row r="609" spans="1:22">
      <c r="F609" s="3" t="s">
        <v>3757</v>
      </c>
      <c r="G609" s="4">
        <v>45566</v>
      </c>
      <c r="H609" s="4">
        <v>45597</v>
      </c>
      <c r="I609" s="4">
        <v>45627</v>
      </c>
      <c r="J609" s="4">
        <v>45658</v>
      </c>
      <c r="K609" s="4">
        <v>45689</v>
      </c>
      <c r="L609" s="4">
        <v>45717</v>
      </c>
      <c r="M609" s="3" t="s">
        <v>6</v>
      </c>
      <c r="N609" s="4">
        <v>45748</v>
      </c>
      <c r="O609" s="3" t="s">
        <v>7</v>
      </c>
      <c r="P609" s="3" t="s">
        <v>8</v>
      </c>
      <c r="Q609" s="7" t="s">
        <v>3758</v>
      </c>
    </row>
    <row r="610" spans="1:22" ht="21.95" customHeight="1">
      <c r="A610" s="75">
        <v>30</v>
      </c>
      <c r="B610" s="13">
        <v>6324</v>
      </c>
      <c r="C610" s="9" t="s">
        <v>3759</v>
      </c>
      <c r="D610" s="9" t="s">
        <v>312</v>
      </c>
      <c r="E610" s="71" t="s">
        <v>1028</v>
      </c>
      <c r="F610" s="13">
        <v>2300</v>
      </c>
      <c r="G610" s="13">
        <v>0</v>
      </c>
      <c r="H610" s="13">
        <v>0</v>
      </c>
      <c r="I610" s="13">
        <v>0</v>
      </c>
      <c r="J610" s="13">
        <v>0</v>
      </c>
      <c r="K610" s="13">
        <v>0</v>
      </c>
      <c r="L610" s="13">
        <v>0</v>
      </c>
      <c r="M610" s="12">
        <f t="shared" ref="M610:M666" si="2">(SUM(G610:L610))</f>
        <v>0</v>
      </c>
      <c r="N610" s="13">
        <v>2300</v>
      </c>
      <c r="O610" s="13">
        <v>0</v>
      </c>
      <c r="P610" s="13">
        <v>3000</v>
      </c>
      <c r="Q610" s="14">
        <f t="shared" ref="Q610:Q666" si="3">(SUM(M610:P610))</f>
        <v>5300</v>
      </c>
      <c r="R610" s="13">
        <f t="shared" ref="R610:R632" si="4">Q610+100</f>
        <v>5400</v>
      </c>
      <c r="S610" s="13">
        <f>Q610+200</f>
        <v>5500</v>
      </c>
      <c r="T610" s="13" t="s">
        <v>3746</v>
      </c>
      <c r="U610" s="15" t="s">
        <v>475</v>
      </c>
    </row>
    <row r="611" spans="1:22" ht="21.95" customHeight="1">
      <c r="A611" s="74">
        <v>39</v>
      </c>
      <c r="B611" s="13">
        <v>6534</v>
      </c>
      <c r="C611" s="9" t="s">
        <v>121</v>
      </c>
      <c r="D611" s="9" t="s">
        <v>3760</v>
      </c>
      <c r="E611" s="71" t="s">
        <v>1028</v>
      </c>
      <c r="F611" s="13">
        <v>2300</v>
      </c>
      <c r="G611" s="13">
        <v>0</v>
      </c>
      <c r="H611" s="13">
        <v>0</v>
      </c>
      <c r="I611" s="13">
        <v>0</v>
      </c>
      <c r="J611" s="13">
        <v>0</v>
      </c>
      <c r="K611" s="13">
        <v>0</v>
      </c>
      <c r="L611" s="13">
        <v>2300</v>
      </c>
      <c r="M611" s="12">
        <f t="shared" si="2"/>
        <v>2300</v>
      </c>
      <c r="N611" s="13">
        <v>2300</v>
      </c>
      <c r="O611" s="13">
        <v>0</v>
      </c>
      <c r="P611" s="13">
        <v>3000</v>
      </c>
      <c r="Q611" s="14">
        <f t="shared" si="3"/>
        <v>7600</v>
      </c>
      <c r="R611" s="13">
        <f t="shared" si="4"/>
        <v>7700</v>
      </c>
      <c r="S611" s="13">
        <f t="shared" ref="S611:S632" si="5">Q611+200</f>
        <v>7800</v>
      </c>
      <c r="T611" s="13" t="s">
        <v>3746</v>
      </c>
      <c r="U611" s="23" t="s">
        <v>3761</v>
      </c>
    </row>
    <row r="612" spans="1:22" ht="21.95" customHeight="1">
      <c r="A612" s="42">
        <v>25</v>
      </c>
      <c r="B612" s="13">
        <v>6117</v>
      </c>
      <c r="C612" s="63" t="s">
        <v>3762</v>
      </c>
      <c r="D612" s="63" t="s">
        <v>935</v>
      </c>
      <c r="E612" s="66" t="s">
        <v>1407</v>
      </c>
      <c r="F612" s="60">
        <v>2300</v>
      </c>
      <c r="G612" s="60">
        <v>0</v>
      </c>
      <c r="H612" s="60">
        <v>0</v>
      </c>
      <c r="I612" s="60">
        <v>0</v>
      </c>
      <c r="J612" s="60">
        <v>0</v>
      </c>
      <c r="K612" s="60">
        <v>0</v>
      </c>
      <c r="L612" s="60">
        <v>0</v>
      </c>
      <c r="M612" s="12">
        <f t="shared" si="2"/>
        <v>0</v>
      </c>
      <c r="N612" s="60">
        <v>2300</v>
      </c>
      <c r="O612" s="13">
        <v>0</v>
      </c>
      <c r="P612" s="13">
        <v>3000</v>
      </c>
      <c r="Q612" s="14">
        <f t="shared" si="3"/>
        <v>5300</v>
      </c>
      <c r="R612" s="13">
        <f t="shared" si="4"/>
        <v>5400</v>
      </c>
      <c r="S612" s="13">
        <f t="shared" si="5"/>
        <v>5500</v>
      </c>
      <c r="T612" s="13" t="s">
        <v>3746</v>
      </c>
      <c r="U612" s="61" t="s">
        <v>3763</v>
      </c>
    </row>
    <row r="613" spans="1:22" ht="21.95" customHeight="1">
      <c r="A613" s="42">
        <v>30</v>
      </c>
      <c r="B613" s="8">
        <v>6297</v>
      </c>
      <c r="C613" s="59" t="s">
        <v>3764</v>
      </c>
      <c r="D613" s="59" t="s">
        <v>3765</v>
      </c>
      <c r="E613" s="66" t="s">
        <v>1407</v>
      </c>
      <c r="F613" s="60">
        <v>2300</v>
      </c>
      <c r="G613" s="60">
        <v>0</v>
      </c>
      <c r="H613" s="60">
        <v>0</v>
      </c>
      <c r="I613" s="60">
        <v>0</v>
      </c>
      <c r="J613" s="60">
        <v>0</v>
      </c>
      <c r="K613" s="60">
        <v>0</v>
      </c>
      <c r="L613" s="60">
        <v>2300</v>
      </c>
      <c r="M613" s="12">
        <f t="shared" si="2"/>
        <v>2300</v>
      </c>
      <c r="N613" s="60">
        <v>2300</v>
      </c>
      <c r="O613" s="13">
        <v>0</v>
      </c>
      <c r="P613" s="13">
        <v>3000</v>
      </c>
      <c r="Q613" s="14">
        <f t="shared" si="3"/>
        <v>7600</v>
      </c>
      <c r="R613" s="13">
        <f t="shared" si="4"/>
        <v>7700</v>
      </c>
      <c r="S613" s="13">
        <f t="shared" si="5"/>
        <v>7800</v>
      </c>
      <c r="T613" s="13" t="s">
        <v>3746</v>
      </c>
      <c r="U613" s="51" t="s">
        <v>856</v>
      </c>
      <c r="V613" s="80"/>
    </row>
    <row r="614" spans="1:22" ht="21.95" customHeight="1">
      <c r="A614" s="42">
        <v>32</v>
      </c>
      <c r="B614" s="13">
        <v>6452</v>
      </c>
      <c r="C614" s="63" t="s">
        <v>121</v>
      </c>
      <c r="D614" s="63" t="s">
        <v>760</v>
      </c>
      <c r="E614" s="66" t="s">
        <v>1407</v>
      </c>
      <c r="F614" s="60">
        <v>2300</v>
      </c>
      <c r="G614" s="60">
        <v>0</v>
      </c>
      <c r="H614" s="60">
        <v>0</v>
      </c>
      <c r="I614" s="60">
        <v>0</v>
      </c>
      <c r="J614" s="60">
        <v>0</v>
      </c>
      <c r="K614" s="60">
        <v>0</v>
      </c>
      <c r="L614" s="60">
        <v>0</v>
      </c>
      <c r="M614" s="12">
        <f t="shared" si="2"/>
        <v>0</v>
      </c>
      <c r="N614" s="60">
        <v>2300</v>
      </c>
      <c r="O614" s="13">
        <v>0</v>
      </c>
      <c r="P614" s="13">
        <v>3000</v>
      </c>
      <c r="Q614" s="14">
        <f t="shared" si="3"/>
        <v>5300</v>
      </c>
      <c r="R614" s="13">
        <f t="shared" si="4"/>
        <v>5400</v>
      </c>
      <c r="S614" s="13">
        <f t="shared" si="5"/>
        <v>5500</v>
      </c>
      <c r="T614" s="13" t="s">
        <v>3746</v>
      </c>
      <c r="U614" s="51" t="s">
        <v>761</v>
      </c>
      <c r="V614" s="80"/>
    </row>
    <row r="615" spans="1:22" ht="21.95" customHeight="1">
      <c r="A615" s="74">
        <v>2</v>
      </c>
      <c r="B615" s="13">
        <v>3039</v>
      </c>
      <c r="C615" s="9" t="s">
        <v>3766</v>
      </c>
      <c r="D615" s="9" t="s">
        <v>1140</v>
      </c>
      <c r="E615" s="66" t="s">
        <v>1501</v>
      </c>
      <c r="F615" s="44">
        <v>2000</v>
      </c>
      <c r="G615" s="13">
        <v>0</v>
      </c>
      <c r="H615" s="13">
        <v>0</v>
      </c>
      <c r="I615" s="13">
        <v>0</v>
      </c>
      <c r="J615" s="13">
        <v>0</v>
      </c>
      <c r="K615" s="13">
        <v>0</v>
      </c>
      <c r="L615" s="13">
        <v>0</v>
      </c>
      <c r="M615" s="12">
        <f t="shared" si="2"/>
        <v>0</v>
      </c>
      <c r="N615" s="44">
        <v>2000</v>
      </c>
      <c r="O615" s="13">
        <v>0</v>
      </c>
      <c r="P615" s="13">
        <v>3000</v>
      </c>
      <c r="Q615" s="14">
        <f t="shared" si="3"/>
        <v>5000</v>
      </c>
      <c r="R615" s="13">
        <f t="shared" si="4"/>
        <v>5100</v>
      </c>
      <c r="S615" s="13">
        <f t="shared" si="5"/>
        <v>5200</v>
      </c>
      <c r="T615" s="13" t="s">
        <v>3746</v>
      </c>
      <c r="U615" s="72" t="s">
        <v>3767</v>
      </c>
    </row>
    <row r="616" spans="1:22" ht="21.95" customHeight="1">
      <c r="A616" s="74">
        <v>12</v>
      </c>
      <c r="B616" s="13">
        <v>4768</v>
      </c>
      <c r="C616" s="9" t="s">
        <v>1275</v>
      </c>
      <c r="D616" s="9" t="s">
        <v>3768</v>
      </c>
      <c r="E616" s="66" t="s">
        <v>1501</v>
      </c>
      <c r="F616" s="44">
        <v>2400</v>
      </c>
      <c r="G616" s="13">
        <v>0</v>
      </c>
      <c r="H616" s="13">
        <v>0</v>
      </c>
      <c r="I616" s="13">
        <v>0</v>
      </c>
      <c r="J616" s="13">
        <v>0</v>
      </c>
      <c r="K616" s="13">
        <v>0</v>
      </c>
      <c r="L616" s="13">
        <v>0</v>
      </c>
      <c r="M616" s="12">
        <f t="shared" si="2"/>
        <v>0</v>
      </c>
      <c r="N616" s="44">
        <v>2400</v>
      </c>
      <c r="O616" s="13">
        <v>0</v>
      </c>
      <c r="P616" s="13">
        <v>3000</v>
      </c>
      <c r="Q616" s="14">
        <f t="shared" si="3"/>
        <v>5400</v>
      </c>
      <c r="R616" s="13">
        <f t="shared" si="4"/>
        <v>5500</v>
      </c>
      <c r="S616" s="13">
        <f t="shared" si="5"/>
        <v>5600</v>
      </c>
      <c r="T616" s="13" t="s">
        <v>3746</v>
      </c>
      <c r="U616" s="15" t="s">
        <v>3769</v>
      </c>
    </row>
    <row r="617" spans="1:22" ht="21.95" customHeight="1">
      <c r="A617" s="42">
        <v>13</v>
      </c>
      <c r="B617" s="13">
        <v>4878</v>
      </c>
      <c r="C617" s="9" t="s">
        <v>3770</v>
      </c>
      <c r="D617" s="9" t="s">
        <v>3771</v>
      </c>
      <c r="E617" s="66" t="s">
        <v>1501</v>
      </c>
      <c r="F617" s="44">
        <v>2400</v>
      </c>
      <c r="G617" s="13">
        <v>0</v>
      </c>
      <c r="H617" s="13">
        <v>0</v>
      </c>
      <c r="I617" s="13">
        <v>0</v>
      </c>
      <c r="J617" s="13">
        <v>0</v>
      </c>
      <c r="K617" s="13">
        <v>0</v>
      </c>
      <c r="L617" s="13">
        <v>0</v>
      </c>
      <c r="M617" s="12">
        <f t="shared" si="2"/>
        <v>0</v>
      </c>
      <c r="N617" s="44">
        <v>2400</v>
      </c>
      <c r="O617" s="13">
        <v>0</v>
      </c>
      <c r="P617" s="13">
        <v>3000</v>
      </c>
      <c r="Q617" s="14">
        <f t="shared" si="3"/>
        <v>5400</v>
      </c>
      <c r="R617" s="13">
        <f t="shared" si="4"/>
        <v>5500</v>
      </c>
      <c r="S617" s="13">
        <f t="shared" si="5"/>
        <v>5600</v>
      </c>
      <c r="T617" s="13" t="s">
        <v>3746</v>
      </c>
      <c r="U617" s="267" t="s">
        <v>3772</v>
      </c>
    </row>
    <row r="618" spans="1:22" ht="21.95" customHeight="1">
      <c r="A618" s="74">
        <v>18</v>
      </c>
      <c r="B618" s="13">
        <v>6330</v>
      </c>
      <c r="C618" s="9" t="s">
        <v>2146</v>
      </c>
      <c r="D618" s="9" t="s">
        <v>312</v>
      </c>
      <c r="E618" s="66" t="s">
        <v>1501</v>
      </c>
      <c r="F618" s="44">
        <v>2400</v>
      </c>
      <c r="G618" s="13">
        <v>0</v>
      </c>
      <c r="H618" s="13">
        <v>0</v>
      </c>
      <c r="I618" s="13">
        <v>0</v>
      </c>
      <c r="J618" s="13">
        <v>0</v>
      </c>
      <c r="K618" s="13">
        <v>0</v>
      </c>
      <c r="L618" s="13">
        <v>0</v>
      </c>
      <c r="M618" s="12">
        <f t="shared" si="2"/>
        <v>0</v>
      </c>
      <c r="N618" s="44">
        <v>2400</v>
      </c>
      <c r="O618" s="13">
        <v>0</v>
      </c>
      <c r="P618" s="13">
        <v>3000</v>
      </c>
      <c r="Q618" s="14">
        <f t="shared" si="3"/>
        <v>5400</v>
      </c>
      <c r="R618" s="13">
        <f t="shared" si="4"/>
        <v>5500</v>
      </c>
      <c r="S618" s="13">
        <f t="shared" si="5"/>
        <v>5600</v>
      </c>
      <c r="T618" s="13" t="s">
        <v>3746</v>
      </c>
      <c r="U618" s="15" t="s">
        <v>475</v>
      </c>
    </row>
    <row r="619" spans="1:22" ht="21.95" customHeight="1">
      <c r="A619" s="42">
        <v>19</v>
      </c>
      <c r="B619" s="13">
        <v>6331</v>
      </c>
      <c r="C619" s="9" t="s">
        <v>3773</v>
      </c>
      <c r="D619" s="9" t="s">
        <v>312</v>
      </c>
      <c r="E619" s="66" t="s">
        <v>1501</v>
      </c>
      <c r="F619" s="44">
        <v>2400</v>
      </c>
      <c r="G619" s="13">
        <v>0</v>
      </c>
      <c r="H619" s="13">
        <v>0</v>
      </c>
      <c r="I619" s="13">
        <v>0</v>
      </c>
      <c r="J619" s="13">
        <v>0</v>
      </c>
      <c r="K619" s="13">
        <v>0</v>
      </c>
      <c r="L619" s="13">
        <v>0</v>
      </c>
      <c r="M619" s="12">
        <f t="shared" si="2"/>
        <v>0</v>
      </c>
      <c r="N619" s="44">
        <v>2400</v>
      </c>
      <c r="O619" s="13">
        <v>0</v>
      </c>
      <c r="P619" s="13">
        <v>3000</v>
      </c>
      <c r="Q619" s="14">
        <f t="shared" si="3"/>
        <v>5400</v>
      </c>
      <c r="R619" s="13">
        <f t="shared" si="4"/>
        <v>5500</v>
      </c>
      <c r="S619" s="13">
        <f t="shared" si="5"/>
        <v>5600</v>
      </c>
      <c r="T619" s="13" t="s">
        <v>3746</v>
      </c>
      <c r="U619" s="15" t="s">
        <v>475</v>
      </c>
    </row>
    <row r="620" spans="1:22" ht="21.95" customHeight="1">
      <c r="A620" s="74">
        <v>20</v>
      </c>
      <c r="B620" s="13">
        <v>6336</v>
      </c>
      <c r="C620" s="9" t="s">
        <v>3774</v>
      </c>
      <c r="D620" s="9" t="s">
        <v>3775</v>
      </c>
      <c r="E620" s="66" t="s">
        <v>1501</v>
      </c>
      <c r="F620" s="44">
        <v>2400</v>
      </c>
      <c r="G620" s="13">
        <v>0</v>
      </c>
      <c r="H620" s="13">
        <v>0</v>
      </c>
      <c r="I620" s="13">
        <v>0</v>
      </c>
      <c r="J620" s="13">
        <v>0</v>
      </c>
      <c r="K620" s="13">
        <v>0</v>
      </c>
      <c r="L620" s="13">
        <v>0</v>
      </c>
      <c r="M620" s="12">
        <f t="shared" si="2"/>
        <v>0</v>
      </c>
      <c r="N620" s="44">
        <v>2400</v>
      </c>
      <c r="O620" s="13">
        <v>0</v>
      </c>
      <c r="P620" s="13">
        <v>3000</v>
      </c>
      <c r="Q620" s="14">
        <f t="shared" si="3"/>
        <v>5400</v>
      </c>
      <c r="R620" s="13">
        <f t="shared" si="4"/>
        <v>5500</v>
      </c>
      <c r="S620" s="13">
        <f t="shared" si="5"/>
        <v>5600</v>
      </c>
      <c r="T620" s="13" t="s">
        <v>3746</v>
      </c>
      <c r="U620" s="15" t="s">
        <v>3776</v>
      </c>
    </row>
    <row r="621" spans="1:22" ht="21.95" customHeight="1">
      <c r="A621" s="74">
        <v>24</v>
      </c>
      <c r="B621" s="13">
        <v>6479</v>
      </c>
      <c r="C621" s="9" t="s">
        <v>221</v>
      </c>
      <c r="D621" s="9" t="s">
        <v>1248</v>
      </c>
      <c r="E621" s="66" t="s">
        <v>1501</v>
      </c>
      <c r="F621" s="44">
        <v>2400</v>
      </c>
      <c r="G621" s="13">
        <v>0</v>
      </c>
      <c r="H621" s="13">
        <v>0</v>
      </c>
      <c r="I621" s="13">
        <v>0</v>
      </c>
      <c r="J621" s="13">
        <v>0</v>
      </c>
      <c r="K621" s="13">
        <v>0</v>
      </c>
      <c r="L621" s="13">
        <v>0</v>
      </c>
      <c r="M621" s="12">
        <f t="shared" si="2"/>
        <v>0</v>
      </c>
      <c r="N621" s="44">
        <v>2400</v>
      </c>
      <c r="O621" s="13">
        <v>0</v>
      </c>
      <c r="P621" s="13">
        <v>3000</v>
      </c>
      <c r="Q621" s="14">
        <f t="shared" si="3"/>
        <v>5400</v>
      </c>
      <c r="R621" s="13">
        <f t="shared" si="4"/>
        <v>5500</v>
      </c>
      <c r="S621" s="13">
        <f t="shared" si="5"/>
        <v>5600</v>
      </c>
      <c r="T621" s="13" t="s">
        <v>3746</v>
      </c>
      <c r="U621" s="23" t="s">
        <v>1249</v>
      </c>
    </row>
    <row r="622" spans="1:22" ht="21.95" customHeight="1">
      <c r="A622" s="42">
        <v>11</v>
      </c>
      <c r="B622" s="13">
        <v>4005</v>
      </c>
      <c r="C622" s="9" t="s">
        <v>1550</v>
      </c>
      <c r="D622" s="9" t="s">
        <v>832</v>
      </c>
      <c r="E622" s="66" t="s">
        <v>1551</v>
      </c>
      <c r="F622" s="44">
        <v>1100</v>
      </c>
      <c r="G622" s="13">
        <v>0</v>
      </c>
      <c r="H622" s="13">
        <v>0</v>
      </c>
      <c r="I622" s="13">
        <v>0</v>
      </c>
      <c r="J622" s="13">
        <v>0</v>
      </c>
      <c r="K622" s="13">
        <v>0</v>
      </c>
      <c r="L622" s="13">
        <v>0</v>
      </c>
      <c r="M622" s="12">
        <f t="shared" si="2"/>
        <v>0</v>
      </c>
      <c r="N622" s="44">
        <v>1100</v>
      </c>
      <c r="O622" s="13">
        <v>1000</v>
      </c>
      <c r="P622" s="13">
        <v>3000</v>
      </c>
      <c r="Q622" s="14">
        <f t="shared" si="3"/>
        <v>5100</v>
      </c>
      <c r="R622" s="13">
        <f t="shared" si="4"/>
        <v>5200</v>
      </c>
      <c r="S622" s="13">
        <f t="shared" si="5"/>
        <v>5300</v>
      </c>
      <c r="T622" s="13" t="s">
        <v>3746</v>
      </c>
      <c r="U622" s="15" t="s">
        <v>1552</v>
      </c>
      <c r="V622" s="80"/>
    </row>
    <row r="623" spans="1:22" ht="21.95" customHeight="1">
      <c r="A623" s="93">
        <v>6</v>
      </c>
      <c r="B623" s="13">
        <v>2050</v>
      </c>
      <c r="C623" s="9" t="s">
        <v>3777</v>
      </c>
      <c r="D623" s="9" t="s">
        <v>180</v>
      </c>
      <c r="E623" s="66" t="s">
        <v>1689</v>
      </c>
      <c r="F623" s="13">
        <v>300</v>
      </c>
      <c r="G623" s="13">
        <v>0</v>
      </c>
      <c r="H623" s="13">
        <v>0</v>
      </c>
      <c r="I623" s="13">
        <v>0</v>
      </c>
      <c r="J623" s="13">
        <v>0</v>
      </c>
      <c r="K623" s="13">
        <v>0</v>
      </c>
      <c r="L623" s="13">
        <v>0</v>
      </c>
      <c r="M623" s="12">
        <f t="shared" si="2"/>
        <v>0</v>
      </c>
      <c r="N623" s="13">
        <v>300</v>
      </c>
      <c r="O623" s="13">
        <v>0</v>
      </c>
      <c r="P623" s="13">
        <v>3000</v>
      </c>
      <c r="Q623" s="14">
        <f t="shared" si="3"/>
        <v>3300</v>
      </c>
      <c r="R623" s="13">
        <f t="shared" si="4"/>
        <v>3400</v>
      </c>
      <c r="S623" s="13">
        <f t="shared" si="5"/>
        <v>3500</v>
      </c>
      <c r="T623" s="13" t="s">
        <v>3746</v>
      </c>
      <c r="U623" s="15" t="s">
        <v>232</v>
      </c>
    </row>
    <row r="624" spans="1:22" ht="21.95" customHeight="1">
      <c r="A624" s="93">
        <v>17</v>
      </c>
      <c r="B624" s="13">
        <v>6119</v>
      </c>
      <c r="C624" s="9" t="s">
        <v>3778</v>
      </c>
      <c r="D624" s="9" t="s">
        <v>3779</v>
      </c>
      <c r="E624" s="66" t="s">
        <v>1689</v>
      </c>
      <c r="F624" s="13">
        <v>2400</v>
      </c>
      <c r="G624" s="13">
        <v>0</v>
      </c>
      <c r="H624" s="13">
        <v>0</v>
      </c>
      <c r="I624" s="13">
        <v>0</v>
      </c>
      <c r="J624" s="13">
        <v>0</v>
      </c>
      <c r="K624" s="13">
        <v>0</v>
      </c>
      <c r="L624" s="13">
        <v>0</v>
      </c>
      <c r="M624" s="12">
        <f t="shared" si="2"/>
        <v>0</v>
      </c>
      <c r="N624" s="13">
        <v>2400</v>
      </c>
      <c r="O624" s="13">
        <v>0</v>
      </c>
      <c r="P624" s="13">
        <v>3000</v>
      </c>
      <c r="Q624" s="14">
        <f t="shared" si="3"/>
        <v>5400</v>
      </c>
      <c r="R624" s="13">
        <f t="shared" si="4"/>
        <v>5500</v>
      </c>
      <c r="S624" s="13">
        <f t="shared" si="5"/>
        <v>5600</v>
      </c>
      <c r="T624" s="13" t="s">
        <v>3746</v>
      </c>
      <c r="U624" s="15" t="s">
        <v>3780</v>
      </c>
    </row>
    <row r="625" spans="1:22" ht="21.95" customHeight="1">
      <c r="A625" s="13">
        <v>15</v>
      </c>
      <c r="B625" s="8">
        <v>5035</v>
      </c>
      <c r="C625" s="41" t="s">
        <v>3781</v>
      </c>
      <c r="D625" s="10" t="s">
        <v>3124</v>
      </c>
      <c r="E625" s="66" t="s">
        <v>1782</v>
      </c>
      <c r="F625" s="180">
        <v>2200</v>
      </c>
      <c r="G625" s="180">
        <v>0</v>
      </c>
      <c r="H625" s="180">
        <v>0</v>
      </c>
      <c r="I625" s="180">
        <v>0</v>
      </c>
      <c r="J625" s="180">
        <v>0</v>
      </c>
      <c r="K625" s="180">
        <v>0</v>
      </c>
      <c r="L625" s="180">
        <v>0</v>
      </c>
      <c r="M625" s="12">
        <f t="shared" si="2"/>
        <v>0</v>
      </c>
      <c r="N625" s="180">
        <v>2200</v>
      </c>
      <c r="O625" s="13">
        <v>0</v>
      </c>
      <c r="P625" s="13">
        <v>3000</v>
      </c>
      <c r="Q625" s="14">
        <f t="shared" si="3"/>
        <v>5200</v>
      </c>
      <c r="R625" s="13">
        <f t="shared" si="4"/>
        <v>5300</v>
      </c>
      <c r="S625" s="13">
        <f t="shared" si="5"/>
        <v>5400</v>
      </c>
      <c r="T625" s="13" t="s">
        <v>3746</v>
      </c>
      <c r="U625" s="37" t="s">
        <v>3782</v>
      </c>
    </row>
    <row r="626" spans="1:22" ht="21.95" customHeight="1">
      <c r="A626" s="93">
        <v>32</v>
      </c>
      <c r="B626" s="13">
        <v>6471</v>
      </c>
      <c r="C626" s="9" t="s">
        <v>3783</v>
      </c>
      <c r="D626" s="9" t="s">
        <v>3784</v>
      </c>
      <c r="E626" s="66" t="s">
        <v>1782</v>
      </c>
      <c r="F626" s="13">
        <v>2400</v>
      </c>
      <c r="G626" s="13">
        <v>0</v>
      </c>
      <c r="H626" s="13">
        <v>0</v>
      </c>
      <c r="I626" s="13">
        <v>0</v>
      </c>
      <c r="J626" s="13">
        <v>0</v>
      </c>
      <c r="K626" s="13">
        <v>0</v>
      </c>
      <c r="L626" s="13">
        <v>0</v>
      </c>
      <c r="M626" s="12">
        <f t="shared" si="2"/>
        <v>0</v>
      </c>
      <c r="N626" s="13">
        <v>2400</v>
      </c>
      <c r="O626" s="13">
        <v>0</v>
      </c>
      <c r="P626" s="13">
        <v>3000</v>
      </c>
      <c r="Q626" s="14">
        <f t="shared" si="3"/>
        <v>5400</v>
      </c>
      <c r="R626" s="13">
        <f t="shared" si="4"/>
        <v>5500</v>
      </c>
      <c r="S626" s="13">
        <f t="shared" si="5"/>
        <v>5600</v>
      </c>
      <c r="T626" s="13" t="s">
        <v>3746</v>
      </c>
      <c r="U626" s="23" t="s">
        <v>3785</v>
      </c>
    </row>
    <row r="627" spans="1:22" ht="21.95" customHeight="1">
      <c r="A627" s="93">
        <v>5</v>
      </c>
      <c r="B627" s="13">
        <v>1865</v>
      </c>
      <c r="C627" s="9" t="s">
        <v>3786</v>
      </c>
      <c r="D627" s="9" t="s">
        <v>305</v>
      </c>
      <c r="E627" s="66" t="s">
        <v>1857</v>
      </c>
      <c r="F627" s="44">
        <v>2500</v>
      </c>
      <c r="G627" s="13">
        <v>0</v>
      </c>
      <c r="H627" s="13">
        <v>0</v>
      </c>
      <c r="I627" s="13">
        <v>0</v>
      </c>
      <c r="J627" s="13">
        <v>0</v>
      </c>
      <c r="K627" s="13">
        <v>0</v>
      </c>
      <c r="L627" s="13">
        <v>0</v>
      </c>
      <c r="M627" s="12">
        <f t="shared" si="2"/>
        <v>0</v>
      </c>
      <c r="N627" s="44">
        <v>2500</v>
      </c>
      <c r="O627" s="13">
        <v>0</v>
      </c>
      <c r="P627" s="13">
        <v>3000</v>
      </c>
      <c r="Q627" s="14">
        <f t="shared" si="3"/>
        <v>5500</v>
      </c>
      <c r="R627" s="13">
        <f t="shared" si="4"/>
        <v>5600</v>
      </c>
      <c r="S627" s="13">
        <f t="shared" si="5"/>
        <v>5700</v>
      </c>
      <c r="T627" s="13" t="s">
        <v>3746</v>
      </c>
      <c r="U627" s="15" t="s">
        <v>3787</v>
      </c>
    </row>
    <row r="628" spans="1:22" ht="21.95" customHeight="1">
      <c r="A628" s="1">
        <v>30</v>
      </c>
      <c r="B628" s="8">
        <v>6526</v>
      </c>
      <c r="C628" s="9" t="s">
        <v>3788</v>
      </c>
      <c r="D628" s="10" t="s">
        <v>113</v>
      </c>
      <c r="E628" s="11" t="s">
        <v>255</v>
      </c>
      <c r="F628" s="8">
        <v>2200</v>
      </c>
      <c r="G628" s="8">
        <v>0</v>
      </c>
      <c r="H628" s="8">
        <v>0</v>
      </c>
      <c r="I628" s="8">
        <v>0</v>
      </c>
      <c r="J628" s="8">
        <v>0</v>
      </c>
      <c r="K628" s="8">
        <v>2200</v>
      </c>
      <c r="L628" s="8">
        <v>2200</v>
      </c>
      <c r="M628" s="12">
        <f t="shared" si="2"/>
        <v>4400</v>
      </c>
      <c r="N628" s="8">
        <v>2200</v>
      </c>
      <c r="O628" s="13">
        <v>0</v>
      </c>
      <c r="P628" s="13">
        <v>3000</v>
      </c>
      <c r="Q628" s="14">
        <f t="shared" si="3"/>
        <v>9600</v>
      </c>
      <c r="R628" s="13">
        <f t="shared" si="4"/>
        <v>9700</v>
      </c>
      <c r="S628" s="13">
        <f t="shared" si="5"/>
        <v>9800</v>
      </c>
      <c r="T628" s="13" t="s">
        <v>3746</v>
      </c>
      <c r="U628" s="15" t="s">
        <v>560</v>
      </c>
      <c r="V628" t="s">
        <v>3789</v>
      </c>
    </row>
    <row r="629" spans="1:22" ht="21.95" customHeight="1">
      <c r="A629" s="25">
        <v>8</v>
      </c>
      <c r="B629" s="13">
        <v>6172</v>
      </c>
      <c r="C629" s="9" t="s">
        <v>433</v>
      </c>
      <c r="D629" s="9" t="s">
        <v>751</v>
      </c>
      <c r="E629" s="11" t="s">
        <v>432</v>
      </c>
      <c r="F629" s="13">
        <v>2200</v>
      </c>
      <c r="G629" s="13">
        <v>0</v>
      </c>
      <c r="H629" s="13">
        <v>0</v>
      </c>
      <c r="I629" s="13">
        <v>0</v>
      </c>
      <c r="J629" s="13">
        <v>0</v>
      </c>
      <c r="K629" s="13">
        <v>0</v>
      </c>
      <c r="L629" s="13">
        <v>0</v>
      </c>
      <c r="M629" s="12">
        <f t="shared" si="2"/>
        <v>0</v>
      </c>
      <c r="N629" s="13">
        <v>2200</v>
      </c>
      <c r="O629" s="13">
        <v>0</v>
      </c>
      <c r="P629" s="13">
        <v>3000</v>
      </c>
      <c r="Q629" s="14">
        <f t="shared" si="3"/>
        <v>5200</v>
      </c>
      <c r="R629" s="13">
        <f t="shared" si="4"/>
        <v>5300</v>
      </c>
      <c r="S629" s="13">
        <f t="shared" si="5"/>
        <v>5400</v>
      </c>
      <c r="T629" s="13" t="s">
        <v>3746</v>
      </c>
      <c r="U629" s="15" t="s">
        <v>3790</v>
      </c>
    </row>
    <row r="630" spans="1:22" ht="21.95" customHeight="1">
      <c r="A630" s="25">
        <v>16</v>
      </c>
      <c r="B630" s="13">
        <v>6243</v>
      </c>
      <c r="C630" s="9" t="s">
        <v>495</v>
      </c>
      <c r="D630" s="9" t="s">
        <v>496</v>
      </c>
      <c r="E630" s="11" t="s">
        <v>432</v>
      </c>
      <c r="F630" s="13">
        <v>1700</v>
      </c>
      <c r="G630" s="13">
        <v>0</v>
      </c>
      <c r="H630" s="13">
        <v>0</v>
      </c>
      <c r="I630" s="13">
        <v>200</v>
      </c>
      <c r="J630" s="13">
        <v>1700</v>
      </c>
      <c r="K630" s="13">
        <v>1700</v>
      </c>
      <c r="L630" s="13">
        <v>1700</v>
      </c>
      <c r="M630" s="12">
        <f t="shared" si="2"/>
        <v>5300</v>
      </c>
      <c r="N630" s="13">
        <v>1700</v>
      </c>
      <c r="O630" s="13">
        <v>0</v>
      </c>
      <c r="P630" s="13">
        <v>3000</v>
      </c>
      <c r="Q630" s="14">
        <f t="shared" si="3"/>
        <v>10000</v>
      </c>
      <c r="R630" s="13">
        <f t="shared" si="4"/>
        <v>10100</v>
      </c>
      <c r="S630" s="13">
        <f t="shared" si="5"/>
        <v>10200</v>
      </c>
      <c r="T630" s="13" t="s">
        <v>3746</v>
      </c>
      <c r="U630" s="15" t="s">
        <v>3791</v>
      </c>
    </row>
    <row r="631" spans="1:22" ht="21.95" customHeight="1">
      <c r="A631" s="74">
        <v>2</v>
      </c>
      <c r="B631" s="19">
        <v>4868</v>
      </c>
      <c r="C631" s="20" t="s">
        <v>565</v>
      </c>
      <c r="D631" s="21" t="s">
        <v>3601</v>
      </c>
      <c r="E631" s="38" t="s">
        <v>502</v>
      </c>
      <c r="F631" s="19">
        <v>200</v>
      </c>
      <c r="G631" s="19">
        <v>0</v>
      </c>
      <c r="H631" s="19">
        <v>0</v>
      </c>
      <c r="I631" s="19">
        <v>200</v>
      </c>
      <c r="J631" s="19">
        <v>200</v>
      </c>
      <c r="K631" s="19">
        <v>200</v>
      </c>
      <c r="L631" s="19">
        <v>200</v>
      </c>
      <c r="M631" s="12">
        <f t="shared" si="2"/>
        <v>800</v>
      </c>
      <c r="N631" s="19">
        <v>200</v>
      </c>
      <c r="O631" s="13">
        <v>0</v>
      </c>
      <c r="P631" s="13">
        <v>3000</v>
      </c>
      <c r="Q631" s="14">
        <f t="shared" si="3"/>
        <v>4000</v>
      </c>
      <c r="R631" s="13">
        <f t="shared" si="4"/>
        <v>4100</v>
      </c>
      <c r="S631" s="13">
        <f t="shared" si="5"/>
        <v>4200</v>
      </c>
      <c r="T631" s="13" t="s">
        <v>3746</v>
      </c>
      <c r="U631" s="23" t="s">
        <v>3743</v>
      </c>
    </row>
    <row r="632" spans="1:22" ht="21.95" customHeight="1">
      <c r="A632" s="49">
        <v>10</v>
      </c>
      <c r="B632" s="13">
        <v>6174</v>
      </c>
      <c r="C632" s="172" t="s">
        <v>3792</v>
      </c>
      <c r="D632" s="63" t="s">
        <v>3793</v>
      </c>
      <c r="E632" s="58" t="s">
        <v>720</v>
      </c>
      <c r="F632" s="44">
        <v>2300</v>
      </c>
      <c r="G632" s="268">
        <v>0</v>
      </c>
      <c r="H632" s="268">
        <v>0</v>
      </c>
      <c r="I632" s="268">
        <v>0</v>
      </c>
      <c r="J632" s="268">
        <v>0</v>
      </c>
      <c r="K632" s="268">
        <v>200</v>
      </c>
      <c r="L632" s="268">
        <v>2200</v>
      </c>
      <c r="M632" s="12">
        <f t="shared" si="2"/>
        <v>2400</v>
      </c>
      <c r="N632" s="44">
        <v>2300</v>
      </c>
      <c r="O632" s="13">
        <v>0</v>
      </c>
      <c r="P632" s="13">
        <v>3000</v>
      </c>
      <c r="Q632" s="14">
        <f t="shared" si="3"/>
        <v>7700</v>
      </c>
      <c r="R632" s="13">
        <f t="shared" si="4"/>
        <v>7800</v>
      </c>
      <c r="S632" s="13">
        <f t="shared" si="5"/>
        <v>7900</v>
      </c>
      <c r="T632" s="13" t="s">
        <v>3746</v>
      </c>
      <c r="U632" s="29" t="s">
        <v>3794</v>
      </c>
    </row>
    <row r="633" spans="1:22" ht="27.75" customHeight="1">
      <c r="A633" s="13">
        <v>10</v>
      </c>
      <c r="B633" s="13">
        <v>625</v>
      </c>
      <c r="C633" s="9" t="s">
        <v>3795</v>
      </c>
      <c r="D633" s="9" t="s">
        <v>3796</v>
      </c>
      <c r="E633" s="66" t="s">
        <v>3797</v>
      </c>
      <c r="F633" s="13">
        <v>2700</v>
      </c>
      <c r="G633" s="13">
        <v>0</v>
      </c>
      <c r="H633" s="13">
        <v>0</v>
      </c>
      <c r="I633" s="13">
        <v>0</v>
      </c>
      <c r="J633" s="13">
        <v>0</v>
      </c>
      <c r="K633" s="13">
        <v>0</v>
      </c>
      <c r="L633" s="13">
        <v>2700</v>
      </c>
      <c r="M633" s="12">
        <f t="shared" si="2"/>
        <v>2700</v>
      </c>
      <c r="N633" s="13">
        <v>2700</v>
      </c>
      <c r="O633" s="13">
        <v>0</v>
      </c>
      <c r="P633" s="13"/>
      <c r="Q633" s="14">
        <f t="shared" si="3"/>
        <v>5400</v>
      </c>
      <c r="R633" s="13"/>
      <c r="S633" s="13"/>
      <c r="T633" s="13" t="s">
        <v>3746</v>
      </c>
      <c r="U633" s="24" t="s">
        <v>3798</v>
      </c>
    </row>
    <row r="634" spans="1:22" ht="21.95" customHeight="1">
      <c r="A634" s="62">
        <v>21</v>
      </c>
      <c r="B634" s="13">
        <v>6549</v>
      </c>
      <c r="C634" s="9" t="s">
        <v>1826</v>
      </c>
      <c r="D634" s="9" t="s">
        <v>3799</v>
      </c>
      <c r="E634" s="53" t="s">
        <v>793</v>
      </c>
      <c r="F634" s="13">
        <v>2300</v>
      </c>
      <c r="G634" s="13">
        <v>0</v>
      </c>
      <c r="H634" s="13">
        <v>0</v>
      </c>
      <c r="I634" s="13">
        <v>0</v>
      </c>
      <c r="J634" s="13">
        <v>0</v>
      </c>
      <c r="K634" s="13">
        <v>2300</v>
      </c>
      <c r="L634" s="13">
        <v>2300</v>
      </c>
      <c r="M634" s="12">
        <f t="shared" si="2"/>
        <v>4600</v>
      </c>
      <c r="N634" s="13">
        <v>2300</v>
      </c>
      <c r="O634" s="13">
        <v>0</v>
      </c>
      <c r="P634" s="13">
        <v>3000</v>
      </c>
      <c r="Q634" s="14">
        <f t="shared" si="3"/>
        <v>9900</v>
      </c>
      <c r="R634" s="13">
        <f t="shared" ref="R634:R666" si="6">Q634+100</f>
        <v>10000</v>
      </c>
      <c r="S634" s="13">
        <f t="shared" ref="S634:S666" si="7">Q634+200</f>
        <v>10100</v>
      </c>
      <c r="T634" s="13" t="s">
        <v>3746</v>
      </c>
      <c r="U634" s="23" t="s">
        <v>3800</v>
      </c>
    </row>
    <row r="635" spans="1:22" ht="21.95" customHeight="1">
      <c r="A635" s="60">
        <v>16</v>
      </c>
      <c r="B635" s="13">
        <v>5046</v>
      </c>
      <c r="C635" s="64" t="s">
        <v>3801</v>
      </c>
      <c r="D635" s="9" t="s">
        <v>3802</v>
      </c>
      <c r="E635" s="66" t="s">
        <v>878</v>
      </c>
      <c r="F635" s="13">
        <v>2300</v>
      </c>
      <c r="G635" s="13">
        <v>0</v>
      </c>
      <c r="H635" s="13">
        <v>0</v>
      </c>
      <c r="I635" s="13">
        <v>0</v>
      </c>
      <c r="J635" s="13">
        <v>0</v>
      </c>
      <c r="K635" s="13">
        <v>0</v>
      </c>
      <c r="L635" s="13">
        <v>2300</v>
      </c>
      <c r="M635" s="12">
        <f t="shared" si="2"/>
        <v>2300</v>
      </c>
      <c r="N635" s="13">
        <v>2300</v>
      </c>
      <c r="O635" s="13">
        <v>0</v>
      </c>
      <c r="P635" s="13">
        <v>3000</v>
      </c>
      <c r="Q635" s="14">
        <f t="shared" si="3"/>
        <v>7600</v>
      </c>
      <c r="R635" s="13">
        <f t="shared" si="6"/>
        <v>7700</v>
      </c>
      <c r="S635" s="13">
        <f t="shared" si="7"/>
        <v>7800</v>
      </c>
      <c r="T635" s="13" t="s">
        <v>3746</v>
      </c>
      <c r="U635" s="24" t="s">
        <v>3803</v>
      </c>
    </row>
    <row r="636" spans="1:22" ht="21.95" customHeight="1">
      <c r="A636" s="13">
        <v>21</v>
      </c>
      <c r="B636" s="19">
        <v>6291</v>
      </c>
      <c r="C636" s="21" t="s">
        <v>3804</v>
      </c>
      <c r="D636" s="50" t="s">
        <v>3765</v>
      </c>
      <c r="E636" s="66" t="s">
        <v>878</v>
      </c>
      <c r="F636" s="12">
        <v>2300</v>
      </c>
      <c r="G636" s="12">
        <v>0</v>
      </c>
      <c r="H636" s="12">
        <v>0</v>
      </c>
      <c r="I636" s="12">
        <v>0</v>
      </c>
      <c r="J636" s="12">
        <v>0</v>
      </c>
      <c r="K636" s="12">
        <v>0</v>
      </c>
      <c r="L636" s="12">
        <v>2300</v>
      </c>
      <c r="M636" s="12">
        <f t="shared" si="2"/>
        <v>2300</v>
      </c>
      <c r="N636" s="12">
        <v>2300</v>
      </c>
      <c r="O636" s="13">
        <v>0</v>
      </c>
      <c r="P636" s="13">
        <v>3000</v>
      </c>
      <c r="Q636" s="14">
        <f t="shared" si="3"/>
        <v>7600</v>
      </c>
      <c r="R636" s="13">
        <f t="shared" si="6"/>
        <v>7700</v>
      </c>
      <c r="S636" s="13">
        <f t="shared" si="7"/>
        <v>7800</v>
      </c>
      <c r="T636" s="13" t="s">
        <v>3746</v>
      </c>
      <c r="U636" s="51" t="s">
        <v>856</v>
      </c>
    </row>
    <row r="637" spans="1:22" ht="21.95" customHeight="1">
      <c r="A637" s="13">
        <v>14</v>
      </c>
      <c r="B637" s="19">
        <v>6150</v>
      </c>
      <c r="C637" s="21" t="s">
        <v>932</v>
      </c>
      <c r="D637" s="21" t="s">
        <v>933</v>
      </c>
      <c r="E637" s="71" t="s">
        <v>2704</v>
      </c>
      <c r="F637" s="13">
        <v>2300</v>
      </c>
      <c r="G637" s="13">
        <v>0</v>
      </c>
      <c r="H637" s="13">
        <v>0</v>
      </c>
      <c r="I637" s="13">
        <v>0</v>
      </c>
      <c r="J637" s="13">
        <v>0</v>
      </c>
      <c r="K637" s="13">
        <v>0</v>
      </c>
      <c r="L637" s="13">
        <v>2300</v>
      </c>
      <c r="M637" s="12">
        <f t="shared" si="2"/>
        <v>2300</v>
      </c>
      <c r="N637" s="13">
        <v>2300</v>
      </c>
      <c r="O637" s="13">
        <v>3000</v>
      </c>
      <c r="P637" s="13">
        <v>3000</v>
      </c>
      <c r="Q637" s="14">
        <f t="shared" si="3"/>
        <v>10600</v>
      </c>
      <c r="R637" s="13">
        <f t="shared" si="6"/>
        <v>10700</v>
      </c>
      <c r="S637" s="13">
        <f t="shared" si="7"/>
        <v>10800</v>
      </c>
      <c r="T637" s="13" t="s">
        <v>3746</v>
      </c>
      <c r="U637" s="46" t="s">
        <v>934</v>
      </c>
    </row>
    <row r="638" spans="1:22" ht="21.95" customHeight="1">
      <c r="A638" s="13">
        <v>15</v>
      </c>
      <c r="B638" s="19">
        <v>6151</v>
      </c>
      <c r="C638" s="21" t="s">
        <v>935</v>
      </c>
      <c r="D638" s="21" t="s">
        <v>933</v>
      </c>
      <c r="E638" s="71" t="s">
        <v>2704</v>
      </c>
      <c r="F638" s="13">
        <v>1400</v>
      </c>
      <c r="G638" s="13">
        <v>0</v>
      </c>
      <c r="H638" s="13">
        <v>0</v>
      </c>
      <c r="I638" s="13">
        <v>0</v>
      </c>
      <c r="J638" s="13">
        <v>0</v>
      </c>
      <c r="K638" s="13">
        <v>0</v>
      </c>
      <c r="L638" s="13">
        <v>1400</v>
      </c>
      <c r="M638" s="12">
        <f t="shared" si="2"/>
        <v>1400</v>
      </c>
      <c r="N638" s="13">
        <v>1400</v>
      </c>
      <c r="O638" s="13">
        <v>3000</v>
      </c>
      <c r="P638" s="13">
        <v>3000</v>
      </c>
      <c r="Q638" s="14">
        <f t="shared" si="3"/>
        <v>8800</v>
      </c>
      <c r="R638" s="13">
        <f t="shared" si="6"/>
        <v>8900</v>
      </c>
      <c r="S638" s="13">
        <f t="shared" si="7"/>
        <v>9000</v>
      </c>
      <c r="T638" s="13" t="s">
        <v>3746</v>
      </c>
      <c r="U638" s="45" t="s">
        <v>934</v>
      </c>
    </row>
    <row r="639" spans="1:22" ht="21.95" customHeight="1">
      <c r="A639" s="13">
        <v>16</v>
      </c>
      <c r="B639" s="19">
        <v>6173</v>
      </c>
      <c r="C639" s="20" t="s">
        <v>3805</v>
      </c>
      <c r="D639" s="21" t="s">
        <v>751</v>
      </c>
      <c r="E639" s="71" t="s">
        <v>2704</v>
      </c>
      <c r="F639" s="32">
        <v>2200</v>
      </c>
      <c r="G639" s="32">
        <v>0</v>
      </c>
      <c r="H639" s="32">
        <v>0</v>
      </c>
      <c r="I639" s="32">
        <v>0</v>
      </c>
      <c r="J639" s="32">
        <v>0</v>
      </c>
      <c r="K639" s="32">
        <v>0</v>
      </c>
      <c r="L639" s="32">
        <v>0</v>
      </c>
      <c r="M639" s="12">
        <f t="shared" si="2"/>
        <v>0</v>
      </c>
      <c r="N639" s="32">
        <v>2200</v>
      </c>
      <c r="O639" s="13">
        <v>0</v>
      </c>
      <c r="P639" s="13">
        <v>3000</v>
      </c>
      <c r="Q639" s="14">
        <f t="shared" si="3"/>
        <v>5200</v>
      </c>
      <c r="R639" s="13">
        <f t="shared" si="6"/>
        <v>5300</v>
      </c>
      <c r="S639" s="13">
        <f t="shared" si="7"/>
        <v>5400</v>
      </c>
      <c r="T639" s="13" t="s">
        <v>3746</v>
      </c>
      <c r="U639" s="46" t="s">
        <v>3790</v>
      </c>
    </row>
    <row r="640" spans="1:22" ht="21.95" customHeight="1">
      <c r="A640" s="13">
        <v>31</v>
      </c>
      <c r="B640" s="13">
        <v>6183</v>
      </c>
      <c r="C640" s="9" t="s">
        <v>3806</v>
      </c>
      <c r="D640" s="9" t="s">
        <v>3807</v>
      </c>
      <c r="E640" s="66" t="s">
        <v>878</v>
      </c>
      <c r="F640" s="13">
        <v>2300</v>
      </c>
      <c r="G640" s="13">
        <v>0</v>
      </c>
      <c r="H640" s="13">
        <v>0</v>
      </c>
      <c r="I640" s="13">
        <v>0</v>
      </c>
      <c r="J640" s="13">
        <v>0</v>
      </c>
      <c r="K640" s="13">
        <v>0</v>
      </c>
      <c r="L640" s="13">
        <v>0</v>
      </c>
      <c r="M640" s="12">
        <f t="shared" si="2"/>
        <v>0</v>
      </c>
      <c r="N640" s="13">
        <v>2300</v>
      </c>
      <c r="O640" s="13">
        <v>0</v>
      </c>
      <c r="P640" s="13">
        <v>3000</v>
      </c>
      <c r="Q640" s="14">
        <f t="shared" si="3"/>
        <v>5300</v>
      </c>
      <c r="R640" s="13">
        <f t="shared" si="6"/>
        <v>5400</v>
      </c>
      <c r="S640" s="13">
        <f t="shared" si="7"/>
        <v>5500</v>
      </c>
      <c r="T640" s="13" t="s">
        <v>3746</v>
      </c>
      <c r="U640" s="23" t="s">
        <v>3808</v>
      </c>
    </row>
    <row r="641" spans="1:22" ht="21.95" customHeight="1">
      <c r="A641" s="13">
        <v>33</v>
      </c>
      <c r="B641" s="13">
        <v>6254</v>
      </c>
      <c r="C641" s="9" t="s">
        <v>3809</v>
      </c>
      <c r="D641" s="9" t="s">
        <v>3378</v>
      </c>
      <c r="E641" s="66" t="s">
        <v>878</v>
      </c>
      <c r="F641" s="13">
        <v>2100</v>
      </c>
      <c r="G641" s="13">
        <v>0</v>
      </c>
      <c r="H641" s="13">
        <v>0</v>
      </c>
      <c r="I641" s="13">
        <v>0</v>
      </c>
      <c r="J641" s="13">
        <v>0</v>
      </c>
      <c r="K641" s="13">
        <v>0</v>
      </c>
      <c r="L641" s="13">
        <v>2100</v>
      </c>
      <c r="M641" s="12">
        <f t="shared" si="2"/>
        <v>2100</v>
      </c>
      <c r="N641" s="13">
        <v>2100</v>
      </c>
      <c r="O641" s="13">
        <v>0</v>
      </c>
      <c r="P641" s="13">
        <v>3000</v>
      </c>
      <c r="Q641" s="14">
        <f t="shared" si="3"/>
        <v>7200</v>
      </c>
      <c r="R641" s="13">
        <f t="shared" si="6"/>
        <v>7300</v>
      </c>
      <c r="S641" s="13">
        <f t="shared" si="7"/>
        <v>7400</v>
      </c>
      <c r="T641" s="13" t="s">
        <v>3746</v>
      </c>
      <c r="U641" s="15" t="s">
        <v>3379</v>
      </c>
    </row>
    <row r="642" spans="1:22" ht="21.95" customHeight="1">
      <c r="A642" s="60">
        <v>34</v>
      </c>
      <c r="B642" s="269">
        <v>6267</v>
      </c>
      <c r="C642" s="9" t="s">
        <v>3810</v>
      </c>
      <c r="D642" s="9" t="s">
        <v>3811</v>
      </c>
      <c r="E642" s="66" t="s">
        <v>878</v>
      </c>
      <c r="F642" s="13">
        <v>2300</v>
      </c>
      <c r="G642" s="13">
        <v>0</v>
      </c>
      <c r="H642" s="13">
        <v>0</v>
      </c>
      <c r="I642" s="13">
        <v>0</v>
      </c>
      <c r="J642" s="13">
        <v>0</v>
      </c>
      <c r="K642" s="13">
        <v>0</v>
      </c>
      <c r="L642" s="13">
        <v>0</v>
      </c>
      <c r="M642" s="12">
        <f t="shared" si="2"/>
        <v>0</v>
      </c>
      <c r="N642" s="13">
        <v>2300</v>
      </c>
      <c r="O642" s="13">
        <v>0</v>
      </c>
      <c r="P642" s="13">
        <v>3000</v>
      </c>
      <c r="Q642" s="14">
        <f t="shared" si="3"/>
        <v>5300</v>
      </c>
      <c r="R642" s="13">
        <f t="shared" si="6"/>
        <v>5400</v>
      </c>
      <c r="S642" s="13">
        <f t="shared" si="7"/>
        <v>5500</v>
      </c>
      <c r="T642" s="13" t="s">
        <v>3746</v>
      </c>
      <c r="U642" s="24" t="s">
        <v>3812</v>
      </c>
    </row>
    <row r="643" spans="1:22" ht="21.95" customHeight="1">
      <c r="A643" s="75">
        <v>18</v>
      </c>
      <c r="B643" s="76">
        <v>4822</v>
      </c>
      <c r="C643" s="246" t="s">
        <v>3813</v>
      </c>
      <c r="D643" s="87" t="s">
        <v>305</v>
      </c>
      <c r="E643" s="71" t="s">
        <v>1028</v>
      </c>
      <c r="F643" s="13">
        <v>200</v>
      </c>
      <c r="G643" s="13">
        <v>0</v>
      </c>
      <c r="H643" s="13">
        <v>0</v>
      </c>
      <c r="I643" s="13">
        <v>0</v>
      </c>
      <c r="J643" s="13">
        <v>0</v>
      </c>
      <c r="K643" s="13">
        <v>200</v>
      </c>
      <c r="L643" s="13">
        <v>200</v>
      </c>
      <c r="M643" s="12">
        <f t="shared" si="2"/>
        <v>400</v>
      </c>
      <c r="N643" s="13">
        <v>200</v>
      </c>
      <c r="O643" s="13">
        <v>0</v>
      </c>
      <c r="P643" s="13">
        <v>3000</v>
      </c>
      <c r="Q643" s="14">
        <f t="shared" si="3"/>
        <v>3600</v>
      </c>
      <c r="R643" s="13">
        <f t="shared" si="6"/>
        <v>3700</v>
      </c>
      <c r="S643" s="13">
        <f t="shared" si="7"/>
        <v>3800</v>
      </c>
      <c r="T643" s="13" t="s">
        <v>3746</v>
      </c>
      <c r="U643" s="77" t="s">
        <v>3814</v>
      </c>
    </row>
    <row r="644" spans="1:22" ht="21.95" customHeight="1">
      <c r="A644" s="74">
        <v>8</v>
      </c>
      <c r="B644" s="13">
        <v>4595</v>
      </c>
      <c r="C644" s="270" t="s">
        <v>3815</v>
      </c>
      <c r="D644" s="9" t="s">
        <v>3816</v>
      </c>
      <c r="E644" s="66" t="s">
        <v>1203</v>
      </c>
      <c r="F644" s="13">
        <v>2300</v>
      </c>
      <c r="G644" s="13">
        <v>0</v>
      </c>
      <c r="H644" s="13">
        <v>0</v>
      </c>
      <c r="I644" s="13">
        <v>0</v>
      </c>
      <c r="J644" s="13">
        <v>0</v>
      </c>
      <c r="K644" s="13">
        <v>0</v>
      </c>
      <c r="L644" s="13">
        <v>0</v>
      </c>
      <c r="M644" s="12">
        <f t="shared" si="2"/>
        <v>0</v>
      </c>
      <c r="N644" s="13">
        <v>2300</v>
      </c>
      <c r="O644" s="13">
        <v>0</v>
      </c>
      <c r="P644" s="13">
        <v>3000</v>
      </c>
      <c r="Q644" s="14">
        <f t="shared" si="3"/>
        <v>5300</v>
      </c>
      <c r="R644" s="13">
        <f t="shared" si="6"/>
        <v>5400</v>
      </c>
      <c r="S644" s="13">
        <f t="shared" si="7"/>
        <v>5500</v>
      </c>
      <c r="T644" s="13" t="s">
        <v>3746</v>
      </c>
      <c r="U644" s="77" t="s">
        <v>3817</v>
      </c>
    </row>
    <row r="645" spans="1:22" ht="21.95" customHeight="1">
      <c r="A645" s="74">
        <v>24</v>
      </c>
      <c r="B645" s="13">
        <v>6327</v>
      </c>
      <c r="C645" s="9" t="s">
        <v>3818</v>
      </c>
      <c r="D645" s="9" t="s">
        <v>312</v>
      </c>
      <c r="E645" s="66" t="s">
        <v>1203</v>
      </c>
      <c r="F645" s="13">
        <v>0</v>
      </c>
      <c r="G645" s="13">
        <v>0</v>
      </c>
      <c r="H645" s="13">
        <v>0</v>
      </c>
      <c r="I645" s="13">
        <v>0</v>
      </c>
      <c r="J645" s="13">
        <v>0</v>
      </c>
      <c r="K645" s="13">
        <v>0</v>
      </c>
      <c r="L645" s="13">
        <v>0</v>
      </c>
      <c r="M645" s="12">
        <f t="shared" si="2"/>
        <v>0</v>
      </c>
      <c r="N645" s="13">
        <v>0</v>
      </c>
      <c r="O645" s="13">
        <v>0</v>
      </c>
      <c r="P645" s="13">
        <v>3000</v>
      </c>
      <c r="Q645" s="14">
        <f t="shared" si="3"/>
        <v>3000</v>
      </c>
      <c r="R645" s="13">
        <f t="shared" si="6"/>
        <v>3100</v>
      </c>
      <c r="S645" s="13">
        <f t="shared" si="7"/>
        <v>3200</v>
      </c>
      <c r="T645" s="13" t="s">
        <v>3746</v>
      </c>
      <c r="U645" s="72" t="s">
        <v>3819</v>
      </c>
    </row>
    <row r="646" spans="1:22" ht="21.95" customHeight="1">
      <c r="A646" s="74">
        <v>29</v>
      </c>
      <c r="B646" s="13">
        <v>6551</v>
      </c>
      <c r="C646" s="271" t="s">
        <v>3820</v>
      </c>
      <c r="D646" s="9" t="s">
        <v>1671</v>
      </c>
      <c r="E646" s="66" t="s">
        <v>1203</v>
      </c>
      <c r="F646" s="13">
        <v>2200</v>
      </c>
      <c r="G646" s="13">
        <v>0</v>
      </c>
      <c r="H646" s="13">
        <v>0</v>
      </c>
      <c r="I646" s="13">
        <v>0</v>
      </c>
      <c r="J646" s="13">
        <v>0</v>
      </c>
      <c r="K646" s="13">
        <v>0</v>
      </c>
      <c r="L646" s="13">
        <v>0</v>
      </c>
      <c r="M646" s="12">
        <f t="shared" si="2"/>
        <v>0</v>
      </c>
      <c r="N646" s="13">
        <v>2200</v>
      </c>
      <c r="O646" s="13">
        <v>0</v>
      </c>
      <c r="P646" s="13">
        <v>3000</v>
      </c>
      <c r="Q646" s="14">
        <f t="shared" si="3"/>
        <v>5200</v>
      </c>
      <c r="R646" s="13">
        <f t="shared" si="6"/>
        <v>5300</v>
      </c>
      <c r="S646" s="13">
        <f t="shared" si="7"/>
        <v>5400</v>
      </c>
      <c r="T646" s="13" t="s">
        <v>3746</v>
      </c>
      <c r="U646" s="72" t="s">
        <v>3821</v>
      </c>
    </row>
    <row r="647" spans="1:22" ht="21.95" customHeight="1">
      <c r="A647" s="49">
        <v>16</v>
      </c>
      <c r="B647" s="13">
        <v>4875</v>
      </c>
      <c r="C647" s="9" t="s">
        <v>779</v>
      </c>
      <c r="D647" s="9" t="s">
        <v>1278</v>
      </c>
      <c r="E647" s="66" t="s">
        <v>1259</v>
      </c>
      <c r="F647" s="13">
        <v>1200</v>
      </c>
      <c r="G647" s="13">
        <v>0</v>
      </c>
      <c r="H647" s="13">
        <v>0</v>
      </c>
      <c r="I647" s="13">
        <v>0</v>
      </c>
      <c r="J647" s="13">
        <v>1200</v>
      </c>
      <c r="K647" s="13">
        <v>1200</v>
      </c>
      <c r="L647" s="13">
        <v>1200</v>
      </c>
      <c r="M647" s="12">
        <f t="shared" si="2"/>
        <v>3600</v>
      </c>
      <c r="N647" s="13">
        <v>1200</v>
      </c>
      <c r="O647" s="13">
        <v>3000</v>
      </c>
      <c r="P647" s="13">
        <v>3000</v>
      </c>
      <c r="Q647" s="14">
        <f t="shared" si="3"/>
        <v>10800</v>
      </c>
      <c r="R647" s="13">
        <f t="shared" si="6"/>
        <v>10900</v>
      </c>
      <c r="S647" s="13">
        <f t="shared" si="7"/>
        <v>11000</v>
      </c>
      <c r="T647" s="13" t="s">
        <v>3746</v>
      </c>
      <c r="U647" s="15" t="s">
        <v>3822</v>
      </c>
    </row>
    <row r="648" spans="1:22" ht="21.95" customHeight="1">
      <c r="A648" s="74">
        <v>11</v>
      </c>
      <c r="B648" s="13">
        <v>4244</v>
      </c>
      <c r="C648" s="9" t="s">
        <v>2291</v>
      </c>
      <c r="D648" s="9" t="s">
        <v>3823</v>
      </c>
      <c r="E648" s="66" t="s">
        <v>1327</v>
      </c>
      <c r="F648" s="13">
        <v>2300</v>
      </c>
      <c r="G648" s="13">
        <v>0</v>
      </c>
      <c r="H648" s="13">
        <v>0</v>
      </c>
      <c r="I648" s="13">
        <v>0</v>
      </c>
      <c r="J648" s="13">
        <v>0</v>
      </c>
      <c r="K648" s="13">
        <v>0</v>
      </c>
      <c r="L648" s="13">
        <v>0</v>
      </c>
      <c r="M648" s="12">
        <f t="shared" si="2"/>
        <v>0</v>
      </c>
      <c r="N648" s="13">
        <v>2300</v>
      </c>
      <c r="O648" s="13">
        <v>0</v>
      </c>
      <c r="P648" s="13">
        <v>3000</v>
      </c>
      <c r="Q648" s="14">
        <f t="shared" si="3"/>
        <v>5300</v>
      </c>
      <c r="R648" s="13">
        <f t="shared" si="6"/>
        <v>5400</v>
      </c>
      <c r="S648" s="13">
        <f t="shared" si="7"/>
        <v>5500</v>
      </c>
      <c r="T648" s="13" t="s">
        <v>3746</v>
      </c>
      <c r="U648" s="72" t="s">
        <v>3824</v>
      </c>
    </row>
    <row r="649" spans="1:22" ht="21.95" customHeight="1">
      <c r="A649" s="74">
        <v>28</v>
      </c>
      <c r="B649" s="13">
        <v>6273</v>
      </c>
      <c r="C649" s="9" t="s">
        <v>3825</v>
      </c>
      <c r="D649" s="9" t="s">
        <v>627</v>
      </c>
      <c r="E649" s="66" t="s">
        <v>1327</v>
      </c>
      <c r="F649" s="13">
        <v>2300</v>
      </c>
      <c r="G649" s="13">
        <v>0</v>
      </c>
      <c r="H649" s="13">
        <v>0</v>
      </c>
      <c r="I649" s="13">
        <v>0</v>
      </c>
      <c r="J649" s="13">
        <v>0</v>
      </c>
      <c r="K649" s="13">
        <v>0</v>
      </c>
      <c r="L649" s="13">
        <v>0</v>
      </c>
      <c r="M649" s="12">
        <f t="shared" si="2"/>
        <v>0</v>
      </c>
      <c r="N649" s="13">
        <v>2300</v>
      </c>
      <c r="O649" s="13">
        <v>0</v>
      </c>
      <c r="P649" s="13">
        <v>3000</v>
      </c>
      <c r="Q649" s="14">
        <f t="shared" si="3"/>
        <v>5300</v>
      </c>
      <c r="R649" s="13">
        <f t="shared" si="6"/>
        <v>5400</v>
      </c>
      <c r="S649" s="13">
        <f t="shared" si="7"/>
        <v>5500</v>
      </c>
      <c r="T649" s="13" t="s">
        <v>3746</v>
      </c>
      <c r="U649" s="15" t="s">
        <v>503</v>
      </c>
      <c r="V649" s="80"/>
    </row>
    <row r="650" spans="1:22" ht="21.95" customHeight="1">
      <c r="A650" s="74">
        <v>29</v>
      </c>
      <c r="B650" s="13">
        <v>6277</v>
      </c>
      <c r="C650" s="9" t="s">
        <v>3826</v>
      </c>
      <c r="D650" s="9" t="s">
        <v>501</v>
      </c>
      <c r="E650" s="66" t="s">
        <v>1327</v>
      </c>
      <c r="F650" s="13">
        <v>2300</v>
      </c>
      <c r="G650" s="13">
        <v>0</v>
      </c>
      <c r="H650" s="13">
        <v>0</v>
      </c>
      <c r="I650" s="13">
        <v>0</v>
      </c>
      <c r="J650" s="13">
        <v>0</v>
      </c>
      <c r="K650" s="13">
        <v>0</v>
      </c>
      <c r="L650" s="13">
        <v>0</v>
      </c>
      <c r="M650" s="12">
        <f t="shared" si="2"/>
        <v>0</v>
      </c>
      <c r="N650" s="13">
        <v>2300</v>
      </c>
      <c r="O650" s="13">
        <v>0</v>
      </c>
      <c r="P650" s="13">
        <v>3000</v>
      </c>
      <c r="Q650" s="14">
        <f t="shared" si="3"/>
        <v>5300</v>
      </c>
      <c r="R650" s="13">
        <f t="shared" si="6"/>
        <v>5400</v>
      </c>
      <c r="S650" s="13">
        <f t="shared" si="7"/>
        <v>5500</v>
      </c>
      <c r="T650" s="13" t="s">
        <v>3746</v>
      </c>
      <c r="U650" s="15" t="s">
        <v>503</v>
      </c>
      <c r="V650" s="80"/>
    </row>
    <row r="651" spans="1:22" ht="21.95" customHeight="1">
      <c r="A651" s="42">
        <v>19</v>
      </c>
      <c r="B651" s="13">
        <v>4806</v>
      </c>
      <c r="C651" s="9" t="s">
        <v>3827</v>
      </c>
      <c r="D651" s="9" t="s">
        <v>1117</v>
      </c>
      <c r="E651" s="66" t="s">
        <v>1407</v>
      </c>
      <c r="F651" s="13">
        <v>2300</v>
      </c>
      <c r="G651" s="13">
        <v>0</v>
      </c>
      <c r="H651" s="13">
        <v>0</v>
      </c>
      <c r="I651" s="13">
        <v>0</v>
      </c>
      <c r="J651" s="13">
        <v>0</v>
      </c>
      <c r="K651" s="13">
        <v>0</v>
      </c>
      <c r="L651" s="13">
        <v>2300</v>
      </c>
      <c r="M651" s="12">
        <f t="shared" si="2"/>
        <v>2300</v>
      </c>
      <c r="N651" s="13">
        <v>2300</v>
      </c>
      <c r="O651" s="13">
        <v>0</v>
      </c>
      <c r="P651" s="13">
        <v>3000</v>
      </c>
      <c r="Q651" s="14">
        <f t="shared" si="3"/>
        <v>7600</v>
      </c>
      <c r="R651" s="13">
        <f t="shared" si="6"/>
        <v>7700</v>
      </c>
      <c r="S651" s="13">
        <f t="shared" si="7"/>
        <v>7800</v>
      </c>
      <c r="T651" s="13" t="s">
        <v>3746</v>
      </c>
      <c r="U651" s="15" t="s">
        <v>3828</v>
      </c>
    </row>
    <row r="652" spans="1:22" ht="21.95" customHeight="1">
      <c r="A652" s="42">
        <v>17</v>
      </c>
      <c r="B652" s="13">
        <v>3087</v>
      </c>
      <c r="C652" s="9" t="s">
        <v>898</v>
      </c>
      <c r="D652" s="9" t="s">
        <v>443</v>
      </c>
      <c r="E652" s="66" t="s">
        <v>1551</v>
      </c>
      <c r="F652" s="44">
        <v>2400</v>
      </c>
      <c r="G652" s="13">
        <v>0</v>
      </c>
      <c r="H652" s="13">
        <v>0</v>
      </c>
      <c r="I652" s="13">
        <v>0</v>
      </c>
      <c r="J652" s="13">
        <v>0</v>
      </c>
      <c r="K652" s="13">
        <v>0</v>
      </c>
      <c r="L652" s="13">
        <v>0</v>
      </c>
      <c r="M652" s="12">
        <f t="shared" si="2"/>
        <v>0</v>
      </c>
      <c r="N652" s="44">
        <v>2400</v>
      </c>
      <c r="O652" s="13">
        <v>0</v>
      </c>
      <c r="P652" s="13">
        <v>3000</v>
      </c>
      <c r="Q652" s="14">
        <f t="shared" si="3"/>
        <v>5400</v>
      </c>
      <c r="R652" s="13">
        <f t="shared" si="6"/>
        <v>5500</v>
      </c>
      <c r="S652" s="13">
        <f t="shared" si="7"/>
        <v>5600</v>
      </c>
      <c r="T652" s="13" t="s">
        <v>3746</v>
      </c>
      <c r="U652" s="81" t="s">
        <v>3829</v>
      </c>
    </row>
    <row r="653" spans="1:22" ht="21.95" customHeight="1">
      <c r="A653" s="42">
        <v>22</v>
      </c>
      <c r="B653" s="269">
        <v>6465</v>
      </c>
      <c r="C653" s="9" t="s">
        <v>640</v>
      </c>
      <c r="D653" s="9" t="s">
        <v>3830</v>
      </c>
      <c r="E653" s="66" t="s">
        <v>1551</v>
      </c>
      <c r="F653" s="44">
        <v>1700</v>
      </c>
      <c r="G653" s="13">
        <v>0</v>
      </c>
      <c r="H653" s="13">
        <v>0</v>
      </c>
      <c r="I653" s="13">
        <v>0</v>
      </c>
      <c r="J653" s="13">
        <v>0</v>
      </c>
      <c r="K653" s="13">
        <v>0</v>
      </c>
      <c r="L653" s="13">
        <v>0</v>
      </c>
      <c r="M653" s="12">
        <f t="shared" si="2"/>
        <v>0</v>
      </c>
      <c r="N653" s="44">
        <v>1700</v>
      </c>
      <c r="O653" s="13">
        <v>0</v>
      </c>
      <c r="P653" s="13">
        <v>3000</v>
      </c>
      <c r="Q653" s="14">
        <f t="shared" si="3"/>
        <v>4700</v>
      </c>
      <c r="R653" s="13">
        <f t="shared" si="6"/>
        <v>4800</v>
      </c>
      <c r="S653" s="13">
        <f t="shared" si="7"/>
        <v>4900</v>
      </c>
      <c r="T653" s="13" t="s">
        <v>3746</v>
      </c>
      <c r="U653" s="23" t="s">
        <v>3831</v>
      </c>
      <c r="V653" s="80"/>
    </row>
    <row r="654" spans="1:22" ht="21.95" customHeight="1">
      <c r="A654" s="75">
        <v>12</v>
      </c>
      <c r="B654" s="13">
        <v>4975</v>
      </c>
      <c r="C654" s="9" t="s">
        <v>3832</v>
      </c>
      <c r="D654" s="9" t="s">
        <v>665</v>
      </c>
      <c r="E654" s="71" t="s">
        <v>3833</v>
      </c>
      <c r="F654" s="44">
        <v>2400</v>
      </c>
      <c r="G654" s="13">
        <v>0</v>
      </c>
      <c r="H654" s="13">
        <v>0</v>
      </c>
      <c r="I654" s="13">
        <v>0</v>
      </c>
      <c r="J654" s="13">
        <v>0</v>
      </c>
      <c r="K654" s="13">
        <v>0</v>
      </c>
      <c r="L654" s="13">
        <v>0</v>
      </c>
      <c r="M654" s="12">
        <f t="shared" si="2"/>
        <v>0</v>
      </c>
      <c r="N654" s="44">
        <v>2400</v>
      </c>
      <c r="O654" s="13">
        <v>0</v>
      </c>
      <c r="P654" s="13">
        <v>3000</v>
      </c>
      <c r="Q654" s="14">
        <f t="shared" si="3"/>
        <v>5400</v>
      </c>
      <c r="R654" s="13">
        <f t="shared" si="6"/>
        <v>5500</v>
      </c>
      <c r="S654" s="13">
        <f t="shared" si="7"/>
        <v>5600</v>
      </c>
      <c r="T654" s="13" t="s">
        <v>3746</v>
      </c>
      <c r="U654" s="72" t="s">
        <v>3834</v>
      </c>
    </row>
    <row r="655" spans="1:22" ht="21.95" customHeight="1">
      <c r="A655" s="75">
        <v>20</v>
      </c>
      <c r="B655" s="13">
        <v>6543</v>
      </c>
      <c r="C655" s="9" t="s">
        <v>258</v>
      </c>
      <c r="D655" s="9" t="s">
        <v>3835</v>
      </c>
      <c r="E655" s="71" t="s">
        <v>3741</v>
      </c>
      <c r="F655" s="44">
        <v>1900</v>
      </c>
      <c r="G655" s="13">
        <v>0</v>
      </c>
      <c r="H655" s="13">
        <v>0</v>
      </c>
      <c r="I655" s="13">
        <v>0</v>
      </c>
      <c r="J655" s="13">
        <v>0</v>
      </c>
      <c r="K655" s="13">
        <v>0</v>
      </c>
      <c r="L655" s="13">
        <v>0</v>
      </c>
      <c r="M655" s="12">
        <f t="shared" si="2"/>
        <v>0</v>
      </c>
      <c r="N655" s="44">
        <v>1900</v>
      </c>
      <c r="O655" s="13">
        <v>0</v>
      </c>
      <c r="P655" s="13">
        <v>3000</v>
      </c>
      <c r="Q655" s="14">
        <f t="shared" si="3"/>
        <v>4900</v>
      </c>
      <c r="R655" s="13">
        <f t="shared" si="6"/>
        <v>5000</v>
      </c>
      <c r="S655" s="13">
        <f t="shared" si="7"/>
        <v>5100</v>
      </c>
      <c r="T655" s="13" t="s">
        <v>3746</v>
      </c>
      <c r="U655" s="15" t="s">
        <v>3836</v>
      </c>
    </row>
    <row r="656" spans="1:22" ht="21.95" customHeight="1">
      <c r="A656" s="75">
        <v>5</v>
      </c>
      <c r="B656" s="13">
        <v>6079</v>
      </c>
      <c r="C656" s="9" t="s">
        <v>3837</v>
      </c>
      <c r="D656" s="63" t="s">
        <v>619</v>
      </c>
      <c r="E656" s="71" t="s">
        <v>1602</v>
      </c>
      <c r="F656" s="44">
        <v>2400</v>
      </c>
      <c r="G656" s="60">
        <v>0</v>
      </c>
      <c r="H656" s="60">
        <v>0</v>
      </c>
      <c r="I656" s="60">
        <v>0</v>
      </c>
      <c r="J656" s="60">
        <v>0</v>
      </c>
      <c r="K656" s="60">
        <v>0</v>
      </c>
      <c r="L656" s="60">
        <v>0</v>
      </c>
      <c r="M656" s="12">
        <f t="shared" si="2"/>
        <v>0</v>
      </c>
      <c r="N656" s="44">
        <v>2400</v>
      </c>
      <c r="O656" s="13">
        <v>0</v>
      </c>
      <c r="P656" s="13">
        <v>3000</v>
      </c>
      <c r="Q656" s="14">
        <f t="shared" si="3"/>
        <v>5400</v>
      </c>
      <c r="R656" s="13">
        <f t="shared" si="6"/>
        <v>5500</v>
      </c>
      <c r="S656" s="13">
        <f t="shared" si="7"/>
        <v>5600</v>
      </c>
      <c r="T656" s="13" t="s">
        <v>3746</v>
      </c>
      <c r="U656" s="51" t="s">
        <v>3838</v>
      </c>
    </row>
    <row r="657" spans="1:23" ht="21.95" customHeight="1">
      <c r="A657" s="75">
        <v>11</v>
      </c>
      <c r="B657" s="13">
        <v>4013</v>
      </c>
      <c r="C657" s="9" t="s">
        <v>3839</v>
      </c>
      <c r="D657" s="9" t="s">
        <v>2097</v>
      </c>
      <c r="E657" s="71" t="s">
        <v>1602</v>
      </c>
      <c r="F657" s="44">
        <v>300</v>
      </c>
      <c r="G657" s="13">
        <v>0</v>
      </c>
      <c r="H657" s="13">
        <v>0</v>
      </c>
      <c r="I657" s="13">
        <v>0</v>
      </c>
      <c r="J657" s="13">
        <v>0</v>
      </c>
      <c r="K657" s="13">
        <v>0</v>
      </c>
      <c r="L657" s="13">
        <v>0</v>
      </c>
      <c r="M657" s="12">
        <f t="shared" si="2"/>
        <v>0</v>
      </c>
      <c r="N657" s="44">
        <v>300</v>
      </c>
      <c r="O657" s="13">
        <v>0</v>
      </c>
      <c r="P657" s="13">
        <v>3000</v>
      </c>
      <c r="Q657" s="14">
        <f t="shared" si="3"/>
        <v>3300</v>
      </c>
      <c r="R657" s="13">
        <f t="shared" si="6"/>
        <v>3400</v>
      </c>
      <c r="S657" s="13">
        <f t="shared" si="7"/>
        <v>3500</v>
      </c>
      <c r="T657" s="13" t="s">
        <v>3746</v>
      </c>
      <c r="U657" s="65" t="s">
        <v>3840</v>
      </c>
    </row>
    <row r="658" spans="1:23" ht="21.95" customHeight="1">
      <c r="A658" s="75">
        <v>19</v>
      </c>
      <c r="B658" s="13">
        <v>6391</v>
      </c>
      <c r="C658" s="63" t="s">
        <v>3841</v>
      </c>
      <c r="D658" s="63" t="s">
        <v>3842</v>
      </c>
      <c r="E658" s="71" t="s">
        <v>1602</v>
      </c>
      <c r="F658" s="44">
        <v>1400</v>
      </c>
      <c r="G658" s="60">
        <v>0</v>
      </c>
      <c r="H658" s="60">
        <v>0</v>
      </c>
      <c r="I658" s="60">
        <v>0</v>
      </c>
      <c r="J658" s="60">
        <v>0</v>
      </c>
      <c r="K658" s="60">
        <v>0</v>
      </c>
      <c r="L658" s="60">
        <v>0</v>
      </c>
      <c r="M658" s="12">
        <f t="shared" si="2"/>
        <v>0</v>
      </c>
      <c r="N658" s="44">
        <v>1400</v>
      </c>
      <c r="O658" s="13">
        <v>0</v>
      </c>
      <c r="P658" s="13">
        <v>3000</v>
      </c>
      <c r="Q658" s="14">
        <f t="shared" si="3"/>
        <v>4400</v>
      </c>
      <c r="R658" s="13">
        <f t="shared" si="6"/>
        <v>4500</v>
      </c>
      <c r="S658" s="13">
        <f t="shared" si="7"/>
        <v>4600</v>
      </c>
      <c r="T658" s="13" t="s">
        <v>3746</v>
      </c>
      <c r="U658" s="61" t="s">
        <v>1582</v>
      </c>
    </row>
    <row r="659" spans="1:23" ht="21.95" customHeight="1">
      <c r="A659" s="93">
        <v>25</v>
      </c>
      <c r="B659" s="272">
        <v>6419</v>
      </c>
      <c r="C659" s="21" t="s">
        <v>3843</v>
      </c>
      <c r="D659" s="21" t="s">
        <v>3844</v>
      </c>
      <c r="E659" s="66" t="s">
        <v>1689</v>
      </c>
      <c r="F659" s="19">
        <v>1700</v>
      </c>
      <c r="G659" s="19">
        <v>0</v>
      </c>
      <c r="H659" s="19">
        <v>0</v>
      </c>
      <c r="I659" s="19">
        <v>0</v>
      </c>
      <c r="J659" s="19">
        <v>0</v>
      </c>
      <c r="K659" s="19">
        <v>0</v>
      </c>
      <c r="L659" s="19">
        <v>1700</v>
      </c>
      <c r="M659" s="12">
        <f t="shared" si="2"/>
        <v>1700</v>
      </c>
      <c r="N659" s="19">
        <v>1700</v>
      </c>
      <c r="O659" s="13">
        <v>0</v>
      </c>
      <c r="P659" s="13">
        <v>3000</v>
      </c>
      <c r="Q659" s="14">
        <f t="shared" si="3"/>
        <v>6400</v>
      </c>
      <c r="R659" s="13">
        <f t="shared" si="6"/>
        <v>6500</v>
      </c>
      <c r="S659" s="13">
        <f t="shared" si="7"/>
        <v>6600</v>
      </c>
      <c r="T659" s="13" t="s">
        <v>3746</v>
      </c>
      <c r="U659" s="39" t="s">
        <v>3845</v>
      </c>
      <c r="V659" s="80"/>
    </row>
    <row r="660" spans="1:23" ht="21.75" customHeight="1">
      <c r="A660" s="13">
        <v>33</v>
      </c>
      <c r="B660" s="13">
        <v>6484</v>
      </c>
      <c r="C660" s="273" t="s">
        <v>3846</v>
      </c>
      <c r="D660" s="9" t="s">
        <v>3847</v>
      </c>
      <c r="E660" s="66" t="s">
        <v>1782</v>
      </c>
      <c r="F660" s="13">
        <v>2400</v>
      </c>
      <c r="G660" s="13">
        <v>0</v>
      </c>
      <c r="H660" s="13">
        <v>0</v>
      </c>
      <c r="I660" s="13">
        <v>0</v>
      </c>
      <c r="J660" s="13">
        <v>0</v>
      </c>
      <c r="K660" s="13">
        <v>0</v>
      </c>
      <c r="L660" s="13">
        <v>0</v>
      </c>
      <c r="M660" s="12">
        <f t="shared" si="2"/>
        <v>0</v>
      </c>
      <c r="N660" s="13">
        <v>2400</v>
      </c>
      <c r="O660" s="13">
        <v>0</v>
      </c>
      <c r="P660" s="13">
        <v>3000</v>
      </c>
      <c r="Q660" s="14">
        <f t="shared" si="3"/>
        <v>5400</v>
      </c>
      <c r="R660" s="13">
        <f t="shared" si="6"/>
        <v>5500</v>
      </c>
      <c r="S660" s="13">
        <f t="shared" si="7"/>
        <v>5600</v>
      </c>
      <c r="T660" s="13" t="s">
        <v>3746</v>
      </c>
      <c r="U660" s="23" t="s">
        <v>3848</v>
      </c>
    </row>
    <row r="661" spans="1:23" ht="21.95" customHeight="1">
      <c r="A661" s="93">
        <v>26</v>
      </c>
      <c r="B661" s="19">
        <v>6131</v>
      </c>
      <c r="C661" s="21" t="s">
        <v>689</v>
      </c>
      <c r="D661" s="21" t="s">
        <v>2307</v>
      </c>
      <c r="E661" s="66" t="s">
        <v>1857</v>
      </c>
      <c r="F661" s="44">
        <v>2500</v>
      </c>
      <c r="G661" s="19">
        <v>0</v>
      </c>
      <c r="H661" s="19">
        <v>0</v>
      </c>
      <c r="I661" s="19">
        <v>0</v>
      </c>
      <c r="J661" s="19">
        <v>0</v>
      </c>
      <c r="K661" s="19">
        <v>0</v>
      </c>
      <c r="L661" s="19">
        <v>0</v>
      </c>
      <c r="M661" s="12">
        <f t="shared" si="2"/>
        <v>0</v>
      </c>
      <c r="N661" s="44">
        <v>2500</v>
      </c>
      <c r="O661" s="13">
        <v>0</v>
      </c>
      <c r="P661" s="13">
        <v>3000</v>
      </c>
      <c r="Q661" s="14">
        <f t="shared" si="3"/>
        <v>5500</v>
      </c>
      <c r="R661" s="13">
        <f t="shared" si="6"/>
        <v>5600</v>
      </c>
      <c r="S661" s="13">
        <f t="shared" si="7"/>
        <v>5700</v>
      </c>
      <c r="T661" s="13" t="s">
        <v>3746</v>
      </c>
      <c r="U661" s="97" t="s">
        <v>3849</v>
      </c>
    </row>
    <row r="662" spans="1:23" ht="21.95" customHeight="1">
      <c r="A662" s="93">
        <v>28</v>
      </c>
      <c r="B662" s="19">
        <v>6205</v>
      </c>
      <c r="C662" s="21" t="s">
        <v>3850</v>
      </c>
      <c r="D662" s="21" t="s">
        <v>3851</v>
      </c>
      <c r="E662" s="66" t="s">
        <v>1857</v>
      </c>
      <c r="F662" s="44">
        <v>2500</v>
      </c>
      <c r="G662" s="170">
        <v>0</v>
      </c>
      <c r="H662" s="170">
        <v>0</v>
      </c>
      <c r="I662" s="170">
        <v>0</v>
      </c>
      <c r="J662" s="170">
        <v>0</v>
      </c>
      <c r="K662" s="170">
        <v>0</v>
      </c>
      <c r="L662" s="170">
        <v>0</v>
      </c>
      <c r="M662" s="12">
        <f t="shared" si="2"/>
        <v>0</v>
      </c>
      <c r="N662" s="44">
        <v>2500</v>
      </c>
      <c r="O662" s="13">
        <v>0</v>
      </c>
      <c r="P662" s="13">
        <v>3000</v>
      </c>
      <c r="Q662" s="14">
        <f t="shared" si="3"/>
        <v>5500</v>
      </c>
      <c r="R662" s="13">
        <f t="shared" si="6"/>
        <v>5600</v>
      </c>
      <c r="S662" s="13">
        <f t="shared" si="7"/>
        <v>5700</v>
      </c>
      <c r="T662" s="13" t="s">
        <v>3746</v>
      </c>
      <c r="U662" s="97" t="s">
        <v>3754</v>
      </c>
    </row>
    <row r="663" spans="1:23" ht="21.95" customHeight="1">
      <c r="A663" s="93">
        <v>3</v>
      </c>
      <c r="B663" s="13">
        <v>1971</v>
      </c>
      <c r="C663" s="9" t="s">
        <v>1994</v>
      </c>
      <c r="D663" s="9" t="s">
        <v>1353</v>
      </c>
      <c r="E663" s="66" t="s">
        <v>1992</v>
      </c>
      <c r="F663" s="44">
        <v>300</v>
      </c>
      <c r="G663" s="13">
        <v>0</v>
      </c>
      <c r="H663" s="13">
        <v>0</v>
      </c>
      <c r="I663" s="13">
        <v>200</v>
      </c>
      <c r="J663" s="13">
        <v>200</v>
      </c>
      <c r="K663" s="13">
        <v>200</v>
      </c>
      <c r="L663" s="13">
        <v>200</v>
      </c>
      <c r="M663" s="12">
        <f t="shared" si="2"/>
        <v>800</v>
      </c>
      <c r="N663" s="44">
        <v>300</v>
      </c>
      <c r="O663" s="13">
        <v>0</v>
      </c>
      <c r="P663" s="13">
        <v>3000</v>
      </c>
      <c r="Q663" s="14">
        <f t="shared" si="3"/>
        <v>4100</v>
      </c>
      <c r="R663" s="13">
        <f t="shared" si="6"/>
        <v>4200</v>
      </c>
      <c r="S663" s="13">
        <f t="shared" si="7"/>
        <v>4300</v>
      </c>
      <c r="T663" s="13" t="s">
        <v>3746</v>
      </c>
      <c r="U663" s="23" t="s">
        <v>3852</v>
      </c>
    </row>
    <row r="664" spans="1:23" ht="21.95" customHeight="1">
      <c r="A664" s="93">
        <v>12</v>
      </c>
      <c r="B664" s="13">
        <v>6107</v>
      </c>
      <c r="C664" s="9" t="s">
        <v>3853</v>
      </c>
      <c r="D664" s="9" t="s">
        <v>3854</v>
      </c>
      <c r="E664" s="66" t="s">
        <v>1992</v>
      </c>
      <c r="F664" s="44">
        <v>2500</v>
      </c>
      <c r="G664" s="13">
        <v>0</v>
      </c>
      <c r="H664" s="13">
        <v>0</v>
      </c>
      <c r="I664" s="13">
        <v>0</v>
      </c>
      <c r="J664" s="13">
        <v>0</v>
      </c>
      <c r="K664" s="13">
        <v>0</v>
      </c>
      <c r="L664" s="13">
        <v>0</v>
      </c>
      <c r="M664" s="12">
        <f t="shared" si="2"/>
        <v>0</v>
      </c>
      <c r="N664" s="44">
        <v>2500</v>
      </c>
      <c r="O664" s="13">
        <v>0</v>
      </c>
      <c r="P664" s="13">
        <v>3000</v>
      </c>
      <c r="Q664" s="14">
        <f t="shared" si="3"/>
        <v>5500</v>
      </c>
      <c r="R664" s="13">
        <f t="shared" si="6"/>
        <v>5600</v>
      </c>
      <c r="S664" s="13">
        <f t="shared" si="7"/>
        <v>5700</v>
      </c>
      <c r="T664" s="13" t="s">
        <v>3746</v>
      </c>
      <c r="U664" s="72" t="s">
        <v>3855</v>
      </c>
    </row>
    <row r="665" spans="1:23" ht="21.95" customHeight="1">
      <c r="A665" s="74">
        <v>21</v>
      </c>
      <c r="B665" s="13">
        <v>4882</v>
      </c>
      <c r="C665" s="9" t="s">
        <v>3856</v>
      </c>
      <c r="D665" s="9" t="s">
        <v>3771</v>
      </c>
      <c r="E665" s="71" t="s">
        <v>2053</v>
      </c>
      <c r="F665" s="44">
        <v>2700</v>
      </c>
      <c r="G665" s="13">
        <v>0</v>
      </c>
      <c r="H665" s="13">
        <v>0</v>
      </c>
      <c r="I665" s="13">
        <v>0</v>
      </c>
      <c r="J665" s="13">
        <v>0</v>
      </c>
      <c r="K665" s="13">
        <v>0</v>
      </c>
      <c r="L665" s="13">
        <v>0</v>
      </c>
      <c r="M665" s="12">
        <f t="shared" si="2"/>
        <v>0</v>
      </c>
      <c r="N665" s="44">
        <v>2700</v>
      </c>
      <c r="O665" s="13">
        <v>0</v>
      </c>
      <c r="P665" s="13">
        <v>5000</v>
      </c>
      <c r="Q665" s="14">
        <f t="shared" si="3"/>
        <v>7700</v>
      </c>
      <c r="R665" s="13">
        <f t="shared" si="6"/>
        <v>7800</v>
      </c>
      <c r="S665" s="13">
        <f t="shared" si="7"/>
        <v>7900</v>
      </c>
      <c r="T665" s="13" t="s">
        <v>3746</v>
      </c>
      <c r="U665" s="15" t="s">
        <v>3857</v>
      </c>
    </row>
    <row r="666" spans="1:23" ht="21.95" customHeight="1">
      <c r="A666" s="13">
        <v>28</v>
      </c>
      <c r="B666" s="19">
        <v>6120</v>
      </c>
      <c r="C666" s="21" t="s">
        <v>3858</v>
      </c>
      <c r="D666" s="21" t="s">
        <v>935</v>
      </c>
      <c r="E666" s="71" t="s">
        <v>2053</v>
      </c>
      <c r="F666" s="44">
        <v>2700</v>
      </c>
      <c r="G666" s="19">
        <v>0</v>
      </c>
      <c r="H666" s="19">
        <v>0</v>
      </c>
      <c r="I666" s="19">
        <v>0</v>
      </c>
      <c r="J666" s="19">
        <v>0</v>
      </c>
      <c r="K666" s="19">
        <v>0</v>
      </c>
      <c r="L666" s="19">
        <v>0</v>
      </c>
      <c r="M666" s="12">
        <f t="shared" si="2"/>
        <v>0</v>
      </c>
      <c r="N666" s="44">
        <v>2700</v>
      </c>
      <c r="O666" s="13">
        <v>0</v>
      </c>
      <c r="P666" s="13">
        <v>5000</v>
      </c>
      <c r="Q666" s="14">
        <f t="shared" si="3"/>
        <v>7700</v>
      </c>
      <c r="R666" s="13">
        <f t="shared" si="6"/>
        <v>7800</v>
      </c>
      <c r="S666" s="13">
        <f t="shared" si="7"/>
        <v>7900</v>
      </c>
      <c r="T666" s="13" t="s">
        <v>3746</v>
      </c>
      <c r="U666" s="46" t="s">
        <v>3859</v>
      </c>
    </row>
    <row r="667" spans="1:23" ht="21.95" customHeight="1">
      <c r="A667" s="25">
        <v>10</v>
      </c>
      <c r="B667" s="25">
        <v>6087</v>
      </c>
      <c r="C667" s="26" t="s">
        <v>3860</v>
      </c>
      <c r="D667" s="27" t="s">
        <v>3861</v>
      </c>
      <c r="E667" s="11" t="s">
        <v>363</v>
      </c>
      <c r="F667" s="30">
        <v>2200</v>
      </c>
      <c r="G667" s="30">
        <v>0</v>
      </c>
      <c r="H667" s="30">
        <v>0</v>
      </c>
      <c r="I667" s="30">
        <v>0</v>
      </c>
      <c r="J667" s="30">
        <v>0</v>
      </c>
      <c r="K667" s="30">
        <v>0</v>
      </c>
      <c r="L667" s="30">
        <v>2200</v>
      </c>
      <c r="M667" s="30">
        <v>2200</v>
      </c>
      <c r="N667" s="12">
        <f>(SUM(G667:M667))</f>
        <v>4400</v>
      </c>
      <c r="O667" s="30">
        <v>2200</v>
      </c>
      <c r="P667" s="13">
        <v>0</v>
      </c>
      <c r="Q667" s="13">
        <v>3000</v>
      </c>
      <c r="R667" s="14">
        <f>(SUM(N667:Q667))</f>
        <v>9600</v>
      </c>
      <c r="S667" s="13">
        <f>R667+100</f>
        <v>9700</v>
      </c>
      <c r="T667" s="13">
        <f>R667+200</f>
        <v>9800</v>
      </c>
      <c r="U667" s="13" t="s">
        <v>3862</v>
      </c>
      <c r="V667" s="29" t="s">
        <v>3863</v>
      </c>
      <c r="W667" s="55">
        <v>45754</v>
      </c>
    </row>
    <row r="668" spans="1:23" ht="21.95" customHeight="1">
      <c r="A668" s="25">
        <v>11</v>
      </c>
      <c r="B668" s="25">
        <v>6088</v>
      </c>
      <c r="C668" s="26" t="s">
        <v>3864</v>
      </c>
      <c r="D668" s="27" t="s">
        <v>3861</v>
      </c>
      <c r="E668" s="11" t="s">
        <v>363</v>
      </c>
      <c r="F668" s="30">
        <v>1800</v>
      </c>
      <c r="G668" s="30">
        <v>0</v>
      </c>
      <c r="H668" s="30">
        <v>0</v>
      </c>
      <c r="I668" s="30">
        <v>0</v>
      </c>
      <c r="J668" s="30">
        <v>0</v>
      </c>
      <c r="K668" s="30">
        <v>0</v>
      </c>
      <c r="L668" s="30">
        <v>1800</v>
      </c>
      <c r="M668" s="30">
        <v>1800</v>
      </c>
      <c r="N668" s="12">
        <f>(SUM(G668:M668))</f>
        <v>3600</v>
      </c>
      <c r="O668" s="30">
        <v>1800</v>
      </c>
      <c r="P668" s="13">
        <v>0</v>
      </c>
      <c r="Q668" s="13">
        <v>3000</v>
      </c>
      <c r="R668" s="14">
        <f>(SUM(N668:Q668))</f>
        <v>8400</v>
      </c>
      <c r="S668" s="13">
        <f>R668+100</f>
        <v>8500</v>
      </c>
      <c r="T668" s="13">
        <f>R668+200</f>
        <v>8600</v>
      </c>
      <c r="U668" s="13" t="s">
        <v>3862</v>
      </c>
      <c r="V668" s="29" t="s">
        <v>3863</v>
      </c>
    </row>
    <row r="669" spans="1:23" ht="21.95" customHeight="1">
      <c r="A669" s="75">
        <v>31</v>
      </c>
      <c r="B669" s="13">
        <v>6226</v>
      </c>
      <c r="C669" s="63" t="s">
        <v>3865</v>
      </c>
      <c r="D669" s="63" t="s">
        <v>1174</v>
      </c>
      <c r="E669" s="71" t="s">
        <v>1602</v>
      </c>
      <c r="F669" s="44">
        <v>2400</v>
      </c>
      <c r="G669" s="60">
        <v>0</v>
      </c>
      <c r="H669" s="60">
        <v>0</v>
      </c>
      <c r="I669" s="60">
        <v>0</v>
      </c>
      <c r="J669" s="60">
        <v>0</v>
      </c>
      <c r="K669" s="60">
        <v>0</v>
      </c>
      <c r="L669" s="60">
        <v>0</v>
      </c>
      <c r="M669" s="44">
        <v>2400</v>
      </c>
      <c r="N669" s="12">
        <f>(SUM(G669:M669))</f>
        <v>2400</v>
      </c>
      <c r="O669" s="44">
        <v>2400</v>
      </c>
      <c r="P669" s="13">
        <v>0</v>
      </c>
      <c r="Q669" s="13">
        <v>3000</v>
      </c>
      <c r="R669" s="14">
        <f>(SUM(N669:Q669))</f>
        <v>7800</v>
      </c>
      <c r="S669" s="13">
        <f>R669+100</f>
        <v>7900</v>
      </c>
      <c r="T669" s="13">
        <f>R669+200</f>
        <v>8000</v>
      </c>
      <c r="U669" s="13" t="s">
        <v>3862</v>
      </c>
      <c r="V669" s="51" t="s">
        <v>3866</v>
      </c>
      <c r="W669" s="80"/>
    </row>
    <row r="670" spans="1:23" ht="21.95" customHeight="1">
      <c r="A670" s="75">
        <v>32</v>
      </c>
      <c r="B670" s="13">
        <v>6332</v>
      </c>
      <c r="C670" s="63" t="s">
        <v>1195</v>
      </c>
      <c r="D670" s="63" t="s">
        <v>1086</v>
      </c>
      <c r="E670" s="71" t="s">
        <v>1602</v>
      </c>
      <c r="F670" s="44">
        <v>2400</v>
      </c>
      <c r="G670" s="60">
        <v>0</v>
      </c>
      <c r="H670" s="60">
        <v>0</v>
      </c>
      <c r="I670" s="60">
        <v>0</v>
      </c>
      <c r="J670" s="60">
        <v>0</v>
      </c>
      <c r="K670" s="60">
        <v>0</v>
      </c>
      <c r="L670" s="60">
        <v>0</v>
      </c>
      <c r="M670" s="44">
        <v>2400</v>
      </c>
      <c r="N670" s="12">
        <f>(SUM(G670:M670))</f>
        <v>2400</v>
      </c>
      <c r="O670" s="44">
        <v>2400</v>
      </c>
      <c r="P670" s="13">
        <v>0</v>
      </c>
      <c r="Q670" s="13">
        <v>3000</v>
      </c>
      <c r="R670" s="14">
        <f>(SUM(N670:Q670))</f>
        <v>7800</v>
      </c>
      <c r="S670" s="13">
        <f>R670+100</f>
        <v>7900</v>
      </c>
      <c r="T670" s="13">
        <f>R670+200</f>
        <v>8000</v>
      </c>
      <c r="U670" s="13" t="s">
        <v>3862</v>
      </c>
      <c r="V670" s="61"/>
    </row>
    <row r="671" spans="1:23" ht="21.95" customHeight="1">
      <c r="A671" s="75">
        <v>22</v>
      </c>
      <c r="B671" s="13">
        <v>4876</v>
      </c>
      <c r="C671" s="9" t="s">
        <v>3867</v>
      </c>
      <c r="D671" s="9" t="s">
        <v>3868</v>
      </c>
      <c r="E671" s="71" t="s">
        <v>1602</v>
      </c>
      <c r="F671" s="44">
        <v>2400</v>
      </c>
      <c r="G671" s="13">
        <v>0</v>
      </c>
      <c r="H671" s="13">
        <v>0</v>
      </c>
      <c r="I671" s="13">
        <v>0</v>
      </c>
      <c r="J671" s="13">
        <v>2300</v>
      </c>
      <c r="K671" s="13">
        <v>2300</v>
      </c>
      <c r="L671" s="13">
        <v>2300</v>
      </c>
      <c r="M671" s="44">
        <v>2400</v>
      </c>
      <c r="N671" s="12">
        <f>(SUM(G671:M671))</f>
        <v>9300</v>
      </c>
      <c r="O671" s="44">
        <v>2400</v>
      </c>
      <c r="P671" s="13">
        <v>3000</v>
      </c>
      <c r="Q671" s="13">
        <v>3000</v>
      </c>
      <c r="R671" s="14">
        <f>(SUM(N671:Q671))</f>
        <v>17700</v>
      </c>
      <c r="S671" s="13">
        <f>R671+100</f>
        <v>17800</v>
      </c>
      <c r="T671" s="13">
        <f>R671+200</f>
        <v>17900</v>
      </c>
      <c r="U671" s="13" t="s">
        <v>3862</v>
      </c>
      <c r="V671" s="72" t="s">
        <v>3869</v>
      </c>
    </row>
    <row r="672" spans="1:23" ht="23.25">
      <c r="C672" s="274">
        <v>45776</v>
      </c>
      <c r="F672" s="3" t="s">
        <v>3757</v>
      </c>
      <c r="G672" s="4">
        <v>45536</v>
      </c>
      <c r="H672" s="4">
        <v>45566</v>
      </c>
      <c r="I672" s="4">
        <v>45597</v>
      </c>
      <c r="J672" s="4">
        <v>45627</v>
      </c>
      <c r="K672" s="4">
        <v>45658</v>
      </c>
      <c r="L672" s="4">
        <v>45689</v>
      </c>
      <c r="M672" s="4">
        <v>45717</v>
      </c>
      <c r="N672" s="3" t="s">
        <v>6</v>
      </c>
      <c r="O672" s="4">
        <v>45748</v>
      </c>
      <c r="P672" s="3" t="s">
        <v>7</v>
      </c>
      <c r="Q672" s="3" t="s">
        <v>8</v>
      </c>
      <c r="R672" s="7" t="s">
        <v>3758</v>
      </c>
    </row>
    <row r="673" spans="1:23" ht="21.95" customHeight="1">
      <c r="A673" s="93">
        <v>20</v>
      </c>
      <c r="B673" s="13">
        <v>6422</v>
      </c>
      <c r="C673" s="9" t="s">
        <v>3870</v>
      </c>
      <c r="D673" s="9" t="s">
        <v>2091</v>
      </c>
      <c r="E673" s="66" t="s">
        <v>1940</v>
      </c>
      <c r="F673" s="44">
        <v>2500</v>
      </c>
      <c r="G673" s="13">
        <v>0</v>
      </c>
      <c r="H673" s="13">
        <v>0</v>
      </c>
      <c r="I673" s="13">
        <v>0</v>
      </c>
      <c r="J673" s="13">
        <v>0</v>
      </c>
      <c r="K673" s="13">
        <v>0</v>
      </c>
      <c r="L673" s="13">
        <v>0</v>
      </c>
      <c r="M673" s="44">
        <v>2500</v>
      </c>
      <c r="N673" s="12">
        <f t="shared" ref="N673:N678" si="8">(SUM(G673:M673))</f>
        <v>2500</v>
      </c>
      <c r="O673" s="44">
        <v>2500</v>
      </c>
      <c r="P673" s="13">
        <v>0</v>
      </c>
      <c r="Q673" s="13">
        <v>3000</v>
      </c>
      <c r="R673" s="14">
        <f t="shared" ref="R673:R678" si="9">(SUM(N673:Q673))</f>
        <v>8000</v>
      </c>
      <c r="S673" s="13">
        <f t="shared" ref="S673:S678" si="10">R673+100</f>
        <v>8100</v>
      </c>
      <c r="T673" s="13">
        <f t="shared" ref="T673:T678" si="11">R673+200</f>
        <v>8200</v>
      </c>
      <c r="U673" s="13" t="s">
        <v>3862</v>
      </c>
      <c r="V673" s="23" t="s">
        <v>3563</v>
      </c>
    </row>
    <row r="674" spans="1:23" ht="21.95" customHeight="1">
      <c r="A674" s="93">
        <v>21</v>
      </c>
      <c r="B674" s="13">
        <v>6486</v>
      </c>
      <c r="C674" s="9" t="s">
        <v>3871</v>
      </c>
      <c r="D674" s="9" t="s">
        <v>3872</v>
      </c>
      <c r="E674" s="66" t="s">
        <v>1940</v>
      </c>
      <c r="F674" s="44">
        <v>2500</v>
      </c>
      <c r="G674" s="13">
        <v>0</v>
      </c>
      <c r="H674" s="13">
        <v>0</v>
      </c>
      <c r="I674" s="13">
        <v>0</v>
      </c>
      <c r="J674" s="13">
        <v>0</v>
      </c>
      <c r="K674" s="13">
        <v>0</v>
      </c>
      <c r="L674" s="13">
        <v>0</v>
      </c>
      <c r="M674" s="44">
        <v>2500</v>
      </c>
      <c r="N674" s="12">
        <f t="shared" si="8"/>
        <v>2500</v>
      </c>
      <c r="O674" s="44">
        <v>2500</v>
      </c>
      <c r="P674" s="13">
        <v>0</v>
      </c>
      <c r="Q674" s="13">
        <v>3000</v>
      </c>
      <c r="R674" s="14">
        <f t="shared" si="9"/>
        <v>8000</v>
      </c>
      <c r="S674" s="13">
        <f t="shared" si="10"/>
        <v>8100</v>
      </c>
      <c r="T674" s="13">
        <f t="shared" si="11"/>
        <v>8200</v>
      </c>
      <c r="U674" s="13" t="s">
        <v>3862</v>
      </c>
      <c r="V674" s="23" t="s">
        <v>3873</v>
      </c>
      <c r="W674" t="s">
        <v>1605</v>
      </c>
    </row>
    <row r="675" spans="1:23" ht="21.95" customHeight="1">
      <c r="A675" s="74">
        <v>9</v>
      </c>
      <c r="B675" s="13">
        <v>1663</v>
      </c>
      <c r="C675" s="9" t="s">
        <v>3874</v>
      </c>
      <c r="D675" s="9" t="s">
        <v>305</v>
      </c>
      <c r="E675" s="71" t="s">
        <v>2053</v>
      </c>
      <c r="F675" s="44">
        <v>2700</v>
      </c>
      <c r="G675" s="13">
        <v>0</v>
      </c>
      <c r="H675" s="13">
        <v>0</v>
      </c>
      <c r="I675" s="13">
        <v>0</v>
      </c>
      <c r="J675" s="13">
        <v>0</v>
      </c>
      <c r="K675" s="13">
        <v>0</v>
      </c>
      <c r="L675" s="13">
        <v>0</v>
      </c>
      <c r="M675" s="44">
        <v>2700</v>
      </c>
      <c r="N675" s="12">
        <f t="shared" si="8"/>
        <v>2700</v>
      </c>
      <c r="O675" s="44">
        <v>2700</v>
      </c>
      <c r="P675" s="13">
        <v>0</v>
      </c>
      <c r="Q675" s="13">
        <v>5000</v>
      </c>
      <c r="R675" s="14">
        <f t="shared" si="9"/>
        <v>10400</v>
      </c>
      <c r="S675" s="13">
        <f t="shared" si="10"/>
        <v>10500</v>
      </c>
      <c r="T675" s="13">
        <f t="shared" si="11"/>
        <v>10600</v>
      </c>
      <c r="U675" s="13" t="s">
        <v>3862</v>
      </c>
      <c r="V675" s="24" t="s">
        <v>3875</v>
      </c>
    </row>
    <row r="676" spans="1:23" ht="21.95" customHeight="1">
      <c r="A676" s="93">
        <v>38</v>
      </c>
      <c r="B676" s="13">
        <v>6440</v>
      </c>
      <c r="C676" s="9" t="s">
        <v>3876</v>
      </c>
      <c r="D676" s="9" t="s">
        <v>3796</v>
      </c>
      <c r="E676" s="71" t="s">
        <v>2154</v>
      </c>
      <c r="F676" s="44">
        <v>2700</v>
      </c>
      <c r="G676" s="13">
        <v>2400</v>
      </c>
      <c r="H676" s="13">
        <v>2300</v>
      </c>
      <c r="I676" s="13">
        <v>2500</v>
      </c>
      <c r="J676" s="13">
        <v>2500</v>
      </c>
      <c r="K676" s="13">
        <v>2500</v>
      </c>
      <c r="L676" s="13">
        <v>2500</v>
      </c>
      <c r="M676" s="44">
        <v>2700</v>
      </c>
      <c r="N676" s="12">
        <f t="shared" si="8"/>
        <v>17400</v>
      </c>
      <c r="O676" s="44">
        <v>2700</v>
      </c>
      <c r="P676" s="13">
        <v>0</v>
      </c>
      <c r="Q676" s="13">
        <v>5000</v>
      </c>
      <c r="R676" s="14">
        <f t="shared" si="9"/>
        <v>25100</v>
      </c>
      <c r="S676" s="13">
        <f t="shared" si="10"/>
        <v>25200</v>
      </c>
      <c r="T676" s="13">
        <f t="shared" si="11"/>
        <v>25300</v>
      </c>
      <c r="U676" s="13" t="s">
        <v>3862</v>
      </c>
      <c r="V676" s="24" t="s">
        <v>3798</v>
      </c>
      <c r="W676" t="s">
        <v>3877</v>
      </c>
    </row>
    <row r="677" spans="1:23" ht="21.95" customHeight="1">
      <c r="A677" s="93">
        <v>44</v>
      </c>
      <c r="B677" s="13">
        <v>6552</v>
      </c>
      <c r="C677" s="9" t="s">
        <v>3878</v>
      </c>
      <c r="D677" s="9" t="s">
        <v>3718</v>
      </c>
      <c r="E677" s="71" t="s">
        <v>2154</v>
      </c>
      <c r="F677" s="44">
        <v>2700</v>
      </c>
      <c r="G677" s="13">
        <v>0</v>
      </c>
      <c r="H677" s="13">
        <v>0</v>
      </c>
      <c r="I677" s="13">
        <v>0</v>
      </c>
      <c r="J677" s="13">
        <v>0</v>
      </c>
      <c r="K677" s="13">
        <v>0</v>
      </c>
      <c r="L677" s="13">
        <v>2500</v>
      </c>
      <c r="M677" s="44">
        <v>2700</v>
      </c>
      <c r="N677" s="12">
        <f t="shared" si="8"/>
        <v>5200</v>
      </c>
      <c r="O677" s="44">
        <v>2700</v>
      </c>
      <c r="P677" s="13">
        <v>0</v>
      </c>
      <c r="Q677" s="13">
        <v>5000</v>
      </c>
      <c r="R677" s="14">
        <f t="shared" si="9"/>
        <v>12900</v>
      </c>
      <c r="S677" s="13">
        <f t="shared" si="10"/>
        <v>13000</v>
      </c>
      <c r="T677" s="13">
        <f t="shared" si="11"/>
        <v>13100</v>
      </c>
      <c r="U677" s="13" t="s">
        <v>3862</v>
      </c>
      <c r="V677" s="23" t="s">
        <v>3879</v>
      </c>
    </row>
    <row r="678" spans="1:23" ht="21.95" customHeight="1">
      <c r="A678" s="42">
        <v>12</v>
      </c>
      <c r="B678" s="13">
        <v>6085</v>
      </c>
      <c r="C678" s="9" t="s">
        <v>3880</v>
      </c>
      <c r="D678" s="9" t="s">
        <v>2007</v>
      </c>
      <c r="E678" s="66" t="s">
        <v>1551</v>
      </c>
      <c r="F678" s="44">
        <v>1700</v>
      </c>
      <c r="G678" s="13">
        <v>0</v>
      </c>
      <c r="H678" s="13">
        <v>0</v>
      </c>
      <c r="I678" s="13">
        <v>0</v>
      </c>
      <c r="J678" s="13">
        <v>0</v>
      </c>
      <c r="K678" s="13">
        <v>0</v>
      </c>
      <c r="L678" s="13">
        <v>0</v>
      </c>
      <c r="M678" s="44">
        <v>1700</v>
      </c>
      <c r="N678" s="12">
        <f t="shared" si="8"/>
        <v>1700</v>
      </c>
      <c r="O678" s="44">
        <v>1700</v>
      </c>
      <c r="P678" s="13">
        <v>0</v>
      </c>
      <c r="Q678" s="13">
        <v>3000</v>
      </c>
      <c r="R678" s="14">
        <f t="shared" si="9"/>
        <v>6400</v>
      </c>
      <c r="S678" s="13">
        <f t="shared" si="10"/>
        <v>6500</v>
      </c>
      <c r="T678" s="13">
        <f t="shared" si="11"/>
        <v>6600</v>
      </c>
      <c r="U678" s="13" t="s">
        <v>3862</v>
      </c>
      <c r="V678" s="15" t="s">
        <v>2008</v>
      </c>
      <c r="W678" s="80"/>
    </row>
    <row r="679" spans="1:23" ht="21.95" customHeight="1">
      <c r="A679" s="75">
        <v>2</v>
      </c>
      <c r="B679" s="13">
        <v>2086</v>
      </c>
      <c r="C679" s="16" t="s">
        <v>3881</v>
      </c>
      <c r="D679" s="63" t="s">
        <v>3882</v>
      </c>
      <c r="E679" s="71" t="s">
        <v>1602</v>
      </c>
      <c r="F679" s="44">
        <v>2400</v>
      </c>
      <c r="G679" s="60">
        <v>0</v>
      </c>
      <c r="H679" s="60">
        <v>0</v>
      </c>
      <c r="I679" s="60">
        <v>0</v>
      </c>
      <c r="J679" s="60">
        <v>0</v>
      </c>
      <c r="K679" s="60">
        <v>0</v>
      </c>
      <c r="L679" s="60">
        <v>0</v>
      </c>
      <c r="M679" s="44">
        <v>0</v>
      </c>
      <c r="N679" s="12">
        <f>(SUM(G679:M679))</f>
        <v>0</v>
      </c>
      <c r="O679" s="44">
        <v>0</v>
      </c>
      <c r="P679" s="60">
        <v>0</v>
      </c>
      <c r="Q679" s="13">
        <v>3000</v>
      </c>
      <c r="R679" s="14">
        <f>(SUM(N679:Q679))</f>
        <v>3000</v>
      </c>
      <c r="S679" s="13">
        <f>R679+100</f>
        <v>3100</v>
      </c>
      <c r="T679" s="13">
        <f>R679+200</f>
        <v>3200</v>
      </c>
      <c r="U679" s="13" t="s">
        <v>3862</v>
      </c>
      <c r="V679" s="91" t="s">
        <v>903</v>
      </c>
    </row>
    <row r="680" spans="1:23" ht="21.95" customHeight="1">
      <c r="A680" s="42">
        <v>30</v>
      </c>
      <c r="B680" s="13">
        <v>6591</v>
      </c>
      <c r="C680" s="63" t="s">
        <v>3883</v>
      </c>
      <c r="D680" s="63" t="s">
        <v>3884</v>
      </c>
      <c r="E680" s="66" t="s">
        <v>1407</v>
      </c>
      <c r="F680" s="60">
        <v>2300</v>
      </c>
      <c r="G680" s="60">
        <v>0</v>
      </c>
      <c r="H680" s="60">
        <v>2300</v>
      </c>
      <c r="I680" s="60">
        <v>2300</v>
      </c>
      <c r="J680" s="60">
        <v>2300</v>
      </c>
      <c r="K680" s="12">
        <f>(SUM(G680:J680))</f>
        <v>6900</v>
      </c>
      <c r="L680" s="60">
        <v>2300</v>
      </c>
      <c r="M680" s="13">
        <v>1500</v>
      </c>
      <c r="N680" s="13">
        <v>0</v>
      </c>
      <c r="O680" s="14">
        <f t="shared" ref="O680" si="12">(SUM(K680:N680))</f>
        <v>10700</v>
      </c>
      <c r="P680" s="13">
        <f t="shared" ref="P680" si="13">O680+100</f>
        <v>10800</v>
      </c>
      <c r="Q680" s="13">
        <f t="shared" ref="Q680" si="14">O680+200</f>
        <v>10900</v>
      </c>
      <c r="R680" s="13" t="s">
        <v>3862</v>
      </c>
      <c r="S680" s="51" t="s">
        <v>951</v>
      </c>
      <c r="T680" s="80"/>
    </row>
    <row r="681" spans="1:23" ht="21.95" customHeight="1">
      <c r="A681" s="42">
        <v>5</v>
      </c>
      <c r="B681" s="13">
        <v>4154</v>
      </c>
      <c r="C681" s="9" t="s">
        <v>3885</v>
      </c>
      <c r="D681" s="9" t="s">
        <v>305</v>
      </c>
      <c r="E681" s="66" t="s">
        <v>1407</v>
      </c>
      <c r="F681" s="13">
        <v>2300</v>
      </c>
      <c r="G681" s="13">
        <v>0</v>
      </c>
      <c r="H681" s="13">
        <v>0</v>
      </c>
      <c r="I681" s="13">
        <v>2300</v>
      </c>
      <c r="J681" s="13">
        <v>2300</v>
      </c>
      <c r="K681" s="12">
        <f>(SUM(G681:J681))</f>
        <v>4600</v>
      </c>
      <c r="L681" s="13">
        <v>2300</v>
      </c>
      <c r="M681" s="13">
        <v>0</v>
      </c>
      <c r="N681" s="13">
        <v>3000</v>
      </c>
      <c r="O681" s="14">
        <f>(SUM(K681:N681))</f>
        <v>9900</v>
      </c>
      <c r="P681" s="13">
        <f>O681+100</f>
        <v>10000</v>
      </c>
      <c r="Q681" s="13">
        <f>O681+200</f>
        <v>10100</v>
      </c>
      <c r="R681" s="13" t="s">
        <v>3862</v>
      </c>
      <c r="S681" s="15" t="s">
        <v>3886</v>
      </c>
    </row>
    <row r="682" spans="1:23" ht="21.95" customHeight="1">
      <c r="A682" s="42">
        <v>25</v>
      </c>
      <c r="B682" s="13">
        <v>6180</v>
      </c>
      <c r="C682" s="63" t="s">
        <v>3887</v>
      </c>
      <c r="D682" s="63" t="s">
        <v>1592</v>
      </c>
      <c r="E682" s="66" t="s">
        <v>1407</v>
      </c>
      <c r="F682" s="60">
        <v>2300</v>
      </c>
      <c r="G682" s="60">
        <v>200</v>
      </c>
      <c r="H682" s="60">
        <v>2300</v>
      </c>
      <c r="I682" s="60">
        <v>2300</v>
      </c>
      <c r="J682" s="60">
        <v>2300</v>
      </c>
      <c r="K682" s="12">
        <f>(SUM(G682:J682))</f>
        <v>7100</v>
      </c>
      <c r="L682" s="60">
        <v>2300</v>
      </c>
      <c r="M682" s="13">
        <v>0</v>
      </c>
      <c r="N682" s="13">
        <v>3000</v>
      </c>
      <c r="O682" s="14">
        <f>(SUM(K682:N682))</f>
        <v>12400</v>
      </c>
      <c r="P682" s="13">
        <f>O682+100</f>
        <v>12500</v>
      </c>
      <c r="Q682" s="13">
        <f>O682+200</f>
        <v>12600</v>
      </c>
      <c r="R682" s="13" t="s">
        <v>3862</v>
      </c>
      <c r="S682" s="29" t="s">
        <v>3888</v>
      </c>
    </row>
    <row r="683" spans="1:23" ht="21.95" customHeight="1">
      <c r="A683" s="93">
        <v>44</v>
      </c>
      <c r="B683" s="13">
        <v>6517</v>
      </c>
      <c r="C683" s="9" t="s">
        <v>3889</v>
      </c>
      <c r="D683" s="9" t="s">
        <v>2255</v>
      </c>
      <c r="E683" s="71" t="s">
        <v>2154</v>
      </c>
      <c r="F683" s="44">
        <v>2700</v>
      </c>
      <c r="G683" s="13">
        <v>0</v>
      </c>
      <c r="H683" s="13">
        <v>0</v>
      </c>
      <c r="I683" s="44">
        <v>0</v>
      </c>
      <c r="J683" s="44">
        <v>2700</v>
      </c>
      <c r="K683" s="12">
        <f>(SUM(G683:J683))</f>
        <v>2700</v>
      </c>
      <c r="L683" s="44">
        <v>2700</v>
      </c>
      <c r="M683" s="13">
        <v>0</v>
      </c>
      <c r="N683" s="13">
        <v>5000</v>
      </c>
      <c r="O683" s="14">
        <f>(SUM(K683:N683))</f>
        <v>10400</v>
      </c>
      <c r="P683" s="13">
        <f>O683+100</f>
        <v>10500</v>
      </c>
      <c r="Q683" s="13">
        <f>O683+200</f>
        <v>10600</v>
      </c>
      <c r="R683" s="13" t="s">
        <v>3862</v>
      </c>
      <c r="S683" s="23" t="s">
        <v>3890</v>
      </c>
      <c r="T683" t="s">
        <v>1455</v>
      </c>
    </row>
    <row r="684" spans="1:23">
      <c r="C684" s="55">
        <v>45779</v>
      </c>
    </row>
    <row r="685" spans="1:23" ht="21.95" customHeight="1">
      <c r="A685" s="13">
        <v>2</v>
      </c>
      <c r="B685" s="13">
        <v>906</v>
      </c>
      <c r="C685" s="9" t="s">
        <v>3891</v>
      </c>
      <c r="D685" s="9" t="s">
        <v>3892</v>
      </c>
      <c r="E685" s="71" t="s">
        <v>2053</v>
      </c>
      <c r="F685" s="44">
        <v>2700</v>
      </c>
      <c r="G685" s="13">
        <v>0</v>
      </c>
      <c r="H685" s="13">
        <v>0</v>
      </c>
      <c r="I685" s="44">
        <v>0</v>
      </c>
      <c r="J685" s="44">
        <v>0</v>
      </c>
      <c r="K685" s="12">
        <f t="shared" ref="K685" si="15">(SUM(G685:J685))</f>
        <v>0</v>
      </c>
      <c r="L685" s="44">
        <v>2700</v>
      </c>
      <c r="M685" s="13">
        <v>0</v>
      </c>
      <c r="N685" s="13">
        <v>0</v>
      </c>
      <c r="O685" s="14">
        <f t="shared" ref="O685" si="16">(SUM(K685:N685))</f>
        <v>2700</v>
      </c>
      <c r="P685" s="13">
        <f t="shared" ref="P685" si="17">O685+100</f>
        <v>2800</v>
      </c>
      <c r="Q685" s="13">
        <f t="shared" ref="Q685" si="18">O685+200</f>
        <v>2900</v>
      </c>
      <c r="R685" s="13" t="s">
        <v>3893</v>
      </c>
      <c r="S685" s="23" t="s">
        <v>3894</v>
      </c>
    </row>
    <row r="686" spans="1:23" ht="21.95" customHeight="1">
      <c r="A686" s="93">
        <v>2</v>
      </c>
      <c r="B686" s="13">
        <v>1886</v>
      </c>
      <c r="C686" s="9" t="s">
        <v>1082</v>
      </c>
      <c r="D686" s="9" t="s">
        <v>3895</v>
      </c>
      <c r="E686" s="66" t="s">
        <v>1992</v>
      </c>
      <c r="F686" s="44">
        <v>2300</v>
      </c>
      <c r="G686" s="13">
        <v>0</v>
      </c>
      <c r="H686" s="13">
        <v>0</v>
      </c>
      <c r="I686" s="44">
        <v>0</v>
      </c>
      <c r="J686" s="44">
        <v>0</v>
      </c>
      <c r="K686" s="12">
        <f>(SUM(G686:J686))</f>
        <v>0</v>
      </c>
      <c r="L686" s="44">
        <v>2300</v>
      </c>
      <c r="M686" s="13">
        <v>0</v>
      </c>
      <c r="N686" s="13">
        <v>3000</v>
      </c>
      <c r="O686" s="14">
        <f>(SUM(K686:N686))</f>
        <v>5300</v>
      </c>
      <c r="P686" s="13">
        <f>O686+100</f>
        <v>5400</v>
      </c>
      <c r="Q686" s="13">
        <f>O686+200</f>
        <v>5500</v>
      </c>
      <c r="R686" s="13" t="s">
        <v>3893</v>
      </c>
      <c r="S686" s="77" t="s">
        <v>3896</v>
      </c>
    </row>
    <row r="687" spans="1:23" ht="21.95" customHeight="1">
      <c r="A687" s="93">
        <v>22</v>
      </c>
      <c r="B687" s="13">
        <v>6494</v>
      </c>
      <c r="C687" s="9" t="s">
        <v>2030</v>
      </c>
      <c r="D687" s="9" t="s">
        <v>1278</v>
      </c>
      <c r="E687" s="66" t="s">
        <v>1992</v>
      </c>
      <c r="F687" s="44">
        <v>1600</v>
      </c>
      <c r="G687" s="13">
        <v>0</v>
      </c>
      <c r="H687" s="13">
        <v>0</v>
      </c>
      <c r="I687" s="44">
        <v>0</v>
      </c>
      <c r="J687" s="44">
        <v>0</v>
      </c>
      <c r="K687" s="12">
        <f>(SUM(G687:J687))</f>
        <v>0</v>
      </c>
      <c r="L687" s="44">
        <v>1600</v>
      </c>
      <c r="M687" s="13">
        <v>0</v>
      </c>
      <c r="N687" s="13">
        <v>0</v>
      </c>
      <c r="O687" s="14">
        <f>(SUM(K687:N687))</f>
        <v>1600</v>
      </c>
      <c r="P687" s="13">
        <f>O687+100</f>
        <v>1700</v>
      </c>
      <c r="Q687" s="13">
        <f>O687+200</f>
        <v>1800</v>
      </c>
      <c r="R687" s="13" t="s">
        <v>3893</v>
      </c>
      <c r="S687" s="23" t="s">
        <v>3897</v>
      </c>
      <c r="T687" t="s">
        <v>3898</v>
      </c>
    </row>
    <row r="688" spans="1:23">
      <c r="C688" s="55">
        <v>45786</v>
      </c>
    </row>
    <row r="689" spans="1:20" ht="21.95" customHeight="1">
      <c r="A689" s="25">
        <v>8</v>
      </c>
      <c r="B689" s="13">
        <v>6184</v>
      </c>
      <c r="C689" s="9" t="s">
        <v>1441</v>
      </c>
      <c r="D689" s="9" t="s">
        <v>3899</v>
      </c>
      <c r="E689" s="11" t="s">
        <v>432</v>
      </c>
      <c r="F689" s="13">
        <v>2200</v>
      </c>
      <c r="G689" s="13">
        <v>0</v>
      </c>
      <c r="H689" s="13">
        <v>0</v>
      </c>
      <c r="I689" s="13">
        <v>2200</v>
      </c>
      <c r="J689" s="13">
        <v>2200</v>
      </c>
      <c r="K689" s="12">
        <f t="shared" ref="K689:K700" si="19">(SUM(G689:J689))</f>
        <v>4400</v>
      </c>
      <c r="L689" s="13">
        <v>2200</v>
      </c>
      <c r="M689" s="13">
        <v>0</v>
      </c>
      <c r="N689" s="13">
        <v>3000</v>
      </c>
      <c r="O689" s="14">
        <f t="shared" ref="O689:O700" si="20">(SUM(K689:N689))</f>
        <v>9600</v>
      </c>
      <c r="P689" s="13">
        <f t="shared" ref="P689:P700" si="21">O689+100</f>
        <v>9700</v>
      </c>
      <c r="Q689" s="13">
        <f t="shared" ref="Q689:Q700" si="22">O689+200</f>
        <v>9800</v>
      </c>
      <c r="R689" s="13" t="s">
        <v>3893</v>
      </c>
      <c r="S689" s="15" t="s">
        <v>3900</v>
      </c>
    </row>
    <row r="690" spans="1:20" ht="21.95" customHeight="1">
      <c r="A690" s="25">
        <v>10</v>
      </c>
      <c r="B690" s="13">
        <v>6199</v>
      </c>
      <c r="C690" s="9" t="s">
        <v>1798</v>
      </c>
      <c r="D690" s="9" t="s">
        <v>3901</v>
      </c>
      <c r="E690" s="11" t="s">
        <v>432</v>
      </c>
      <c r="F690" s="13">
        <v>2200</v>
      </c>
      <c r="G690" s="13">
        <v>0</v>
      </c>
      <c r="H690" s="13">
        <v>0</v>
      </c>
      <c r="I690" s="13">
        <v>2200</v>
      </c>
      <c r="J690" s="13">
        <v>2200</v>
      </c>
      <c r="K690" s="12">
        <f t="shared" si="19"/>
        <v>4400</v>
      </c>
      <c r="L690" s="13">
        <v>2200</v>
      </c>
      <c r="M690" s="13">
        <v>0</v>
      </c>
      <c r="N690" s="13">
        <v>3000</v>
      </c>
      <c r="O690" s="14">
        <f t="shared" si="20"/>
        <v>9600</v>
      </c>
      <c r="P690" s="13">
        <f t="shared" si="21"/>
        <v>9700</v>
      </c>
      <c r="Q690" s="13">
        <f t="shared" si="22"/>
        <v>9800</v>
      </c>
      <c r="R690" s="13" t="s">
        <v>3893</v>
      </c>
      <c r="S690" s="15" t="s">
        <v>3902</v>
      </c>
    </row>
    <row r="691" spans="1:20" ht="21.95" customHeight="1">
      <c r="A691" s="25">
        <v>15</v>
      </c>
      <c r="B691" s="13">
        <v>6240</v>
      </c>
      <c r="C691" s="9" t="s">
        <v>3903</v>
      </c>
      <c r="D691" s="9" t="s">
        <v>3745</v>
      </c>
      <c r="E691" s="11" t="s">
        <v>432</v>
      </c>
      <c r="F691" s="13">
        <v>1300</v>
      </c>
      <c r="G691" s="13">
        <v>0</v>
      </c>
      <c r="H691" s="13">
        <v>0</v>
      </c>
      <c r="I691" s="13">
        <v>1300</v>
      </c>
      <c r="J691" s="13">
        <v>1300</v>
      </c>
      <c r="K691" s="12">
        <f t="shared" si="19"/>
        <v>2600</v>
      </c>
      <c r="L691" s="13">
        <v>1300</v>
      </c>
      <c r="M691" s="13">
        <v>0</v>
      </c>
      <c r="N691" s="13">
        <v>3000</v>
      </c>
      <c r="O691" s="14">
        <f t="shared" si="20"/>
        <v>6900</v>
      </c>
      <c r="P691" s="13">
        <f t="shared" si="21"/>
        <v>7000</v>
      </c>
      <c r="Q691" s="13">
        <f t="shared" si="22"/>
        <v>7100</v>
      </c>
      <c r="R691" s="13" t="s">
        <v>3893</v>
      </c>
      <c r="S691" s="15" t="s">
        <v>3904</v>
      </c>
    </row>
    <row r="692" spans="1:20" ht="21.95" customHeight="1">
      <c r="A692" s="25">
        <v>17</v>
      </c>
      <c r="B692" s="13">
        <v>6302</v>
      </c>
      <c r="C692" s="31" t="s">
        <v>3905</v>
      </c>
      <c r="D692" s="9" t="s">
        <v>3906</v>
      </c>
      <c r="E692" s="11" t="s">
        <v>432</v>
      </c>
      <c r="F692" s="32">
        <v>1700</v>
      </c>
      <c r="G692" s="32">
        <v>0</v>
      </c>
      <c r="H692" s="32">
        <v>0</v>
      </c>
      <c r="I692" s="32">
        <v>1700</v>
      </c>
      <c r="J692" s="32">
        <v>1700</v>
      </c>
      <c r="K692" s="12">
        <f t="shared" si="19"/>
        <v>3400</v>
      </c>
      <c r="L692" s="32">
        <v>1700</v>
      </c>
      <c r="M692" s="13">
        <v>0</v>
      </c>
      <c r="N692" s="13">
        <v>3000</v>
      </c>
      <c r="O692" s="14">
        <f t="shared" si="20"/>
        <v>8100</v>
      </c>
      <c r="P692" s="13">
        <f t="shared" si="21"/>
        <v>8200</v>
      </c>
      <c r="Q692" s="13">
        <f t="shared" si="22"/>
        <v>8300</v>
      </c>
      <c r="R692" s="13" t="s">
        <v>3893</v>
      </c>
      <c r="S692" s="23" t="s">
        <v>3907</v>
      </c>
    </row>
    <row r="693" spans="1:20" ht="21.95" customHeight="1">
      <c r="A693" s="1">
        <v>18</v>
      </c>
      <c r="B693" s="8">
        <v>6706</v>
      </c>
      <c r="C693" s="9" t="s">
        <v>3908</v>
      </c>
      <c r="D693" s="10" t="s">
        <v>305</v>
      </c>
      <c r="E693" s="11" t="s">
        <v>16</v>
      </c>
      <c r="F693" s="8">
        <v>1000</v>
      </c>
      <c r="G693" s="8">
        <v>0</v>
      </c>
      <c r="H693" s="8">
        <v>0</v>
      </c>
      <c r="I693" s="8">
        <v>0</v>
      </c>
      <c r="J693" s="8">
        <v>1000</v>
      </c>
      <c r="K693" s="12">
        <f t="shared" si="19"/>
        <v>1000</v>
      </c>
      <c r="L693" s="8">
        <v>1000</v>
      </c>
      <c r="M693" s="13">
        <v>0</v>
      </c>
      <c r="N693" s="13">
        <v>2000</v>
      </c>
      <c r="O693" s="14">
        <f t="shared" si="20"/>
        <v>4000</v>
      </c>
      <c r="P693" s="13">
        <f t="shared" si="21"/>
        <v>4100</v>
      </c>
      <c r="Q693" s="13">
        <f t="shared" si="22"/>
        <v>4200</v>
      </c>
      <c r="R693" s="13" t="s">
        <v>3893</v>
      </c>
      <c r="S693" s="15" t="s">
        <v>3909</v>
      </c>
    </row>
    <row r="694" spans="1:20" ht="21.95" customHeight="1">
      <c r="A694" s="84">
        <v>13</v>
      </c>
      <c r="B694" s="8">
        <v>4596</v>
      </c>
      <c r="C694" s="10" t="s">
        <v>924</v>
      </c>
      <c r="D694" s="9" t="s">
        <v>3816</v>
      </c>
      <c r="E694" s="66" t="s">
        <v>1259</v>
      </c>
      <c r="F694" s="13">
        <v>2300</v>
      </c>
      <c r="G694" s="13">
        <v>0</v>
      </c>
      <c r="H694" s="13">
        <v>0</v>
      </c>
      <c r="I694" s="13">
        <v>2300</v>
      </c>
      <c r="J694" s="13">
        <v>2300</v>
      </c>
      <c r="K694" s="12">
        <f t="shared" si="19"/>
        <v>4600</v>
      </c>
      <c r="L694" s="13">
        <v>2300</v>
      </c>
      <c r="M694" s="13">
        <v>0</v>
      </c>
      <c r="N694" s="13">
        <v>3000</v>
      </c>
      <c r="O694" s="14">
        <f t="shared" si="20"/>
        <v>9900</v>
      </c>
      <c r="P694" s="13">
        <f t="shared" si="21"/>
        <v>10000</v>
      </c>
      <c r="Q694" s="13">
        <f t="shared" si="22"/>
        <v>10100</v>
      </c>
      <c r="R694" s="13" t="s">
        <v>3893</v>
      </c>
      <c r="S694" s="15" t="s">
        <v>3817</v>
      </c>
    </row>
    <row r="695" spans="1:20" ht="21.95" customHeight="1">
      <c r="A695" s="49">
        <v>28</v>
      </c>
      <c r="B695" s="269">
        <v>6439</v>
      </c>
      <c r="C695" s="9" t="s">
        <v>3910</v>
      </c>
      <c r="D695" s="9" t="s">
        <v>3796</v>
      </c>
      <c r="E695" s="66" t="s">
        <v>1259</v>
      </c>
      <c r="F695" s="13">
        <v>2300</v>
      </c>
      <c r="G695" s="13">
        <v>0</v>
      </c>
      <c r="H695" s="13">
        <v>0</v>
      </c>
      <c r="I695" s="13">
        <v>2300</v>
      </c>
      <c r="J695" s="13">
        <v>2300</v>
      </c>
      <c r="K695" s="12">
        <f t="shared" si="19"/>
        <v>4600</v>
      </c>
      <c r="L695" s="13">
        <v>2300</v>
      </c>
      <c r="M695" s="13">
        <v>0</v>
      </c>
      <c r="N695" s="13">
        <v>3000</v>
      </c>
      <c r="O695" s="14">
        <f t="shared" si="20"/>
        <v>9900</v>
      </c>
      <c r="P695" s="13">
        <f t="shared" si="21"/>
        <v>10000</v>
      </c>
      <c r="Q695" s="13">
        <f t="shared" si="22"/>
        <v>10100</v>
      </c>
      <c r="R695" s="13" t="s">
        <v>3893</v>
      </c>
      <c r="S695" s="83" t="s">
        <v>3911</v>
      </c>
    </row>
    <row r="696" spans="1:20" ht="21.95" customHeight="1">
      <c r="A696" s="13">
        <v>11</v>
      </c>
      <c r="B696" s="13">
        <v>4605</v>
      </c>
      <c r="C696" s="9" t="s">
        <v>3912</v>
      </c>
      <c r="D696" s="9" t="s">
        <v>2390</v>
      </c>
      <c r="E696" s="66" t="s">
        <v>1782</v>
      </c>
      <c r="F696" s="13">
        <v>2400</v>
      </c>
      <c r="G696" s="13">
        <v>0</v>
      </c>
      <c r="H696" s="13">
        <v>0</v>
      </c>
      <c r="I696" s="13">
        <v>0</v>
      </c>
      <c r="J696" s="13">
        <v>0</v>
      </c>
      <c r="K696" s="12">
        <f t="shared" si="19"/>
        <v>0</v>
      </c>
      <c r="L696" s="13">
        <v>2400</v>
      </c>
      <c r="M696" s="13">
        <v>0</v>
      </c>
      <c r="N696" s="13">
        <v>3000</v>
      </c>
      <c r="O696" s="14">
        <f t="shared" si="20"/>
        <v>5400</v>
      </c>
      <c r="P696" s="13">
        <f t="shared" si="21"/>
        <v>5500</v>
      </c>
      <c r="Q696" s="13">
        <f t="shared" si="22"/>
        <v>5600</v>
      </c>
      <c r="R696" s="13" t="s">
        <v>3893</v>
      </c>
      <c r="S696" s="72" t="s">
        <v>3913</v>
      </c>
    </row>
    <row r="697" spans="1:20" ht="21.95" customHeight="1">
      <c r="A697" s="13">
        <v>21</v>
      </c>
      <c r="B697" s="13">
        <v>6338</v>
      </c>
      <c r="C697" s="9" t="s">
        <v>3914</v>
      </c>
      <c r="D697" s="9" t="s">
        <v>2110</v>
      </c>
      <c r="E697" s="66" t="s">
        <v>1782</v>
      </c>
      <c r="F697" s="13">
        <v>1300</v>
      </c>
      <c r="G697" s="13">
        <v>0</v>
      </c>
      <c r="H697" s="13">
        <v>0</v>
      </c>
      <c r="I697" s="13">
        <v>0</v>
      </c>
      <c r="J697" s="13">
        <v>0</v>
      </c>
      <c r="K697" s="12">
        <f t="shared" si="19"/>
        <v>0</v>
      </c>
      <c r="L697" s="13">
        <v>1300</v>
      </c>
      <c r="M697" s="13">
        <v>0</v>
      </c>
      <c r="N697" s="13">
        <v>3000</v>
      </c>
      <c r="O697" s="14">
        <f t="shared" si="20"/>
        <v>4300</v>
      </c>
      <c r="P697" s="13">
        <f t="shared" si="21"/>
        <v>4400</v>
      </c>
      <c r="Q697" s="13">
        <f t="shared" si="22"/>
        <v>4500</v>
      </c>
      <c r="R697" s="13" t="s">
        <v>3893</v>
      </c>
      <c r="S697" s="23" t="s">
        <v>3915</v>
      </c>
      <c r="T697" t="s">
        <v>3916</v>
      </c>
    </row>
    <row r="698" spans="1:20" ht="21.95" customHeight="1">
      <c r="A698" s="93">
        <v>24</v>
      </c>
      <c r="B698" s="13">
        <v>6501</v>
      </c>
      <c r="C698" s="9" t="s">
        <v>3917</v>
      </c>
      <c r="D698" s="9" t="s">
        <v>310</v>
      </c>
      <c r="E698" s="66" t="s">
        <v>1992</v>
      </c>
      <c r="F698" s="44">
        <v>2500</v>
      </c>
      <c r="G698" s="13">
        <v>0</v>
      </c>
      <c r="H698" s="13">
        <v>0</v>
      </c>
      <c r="I698" s="44">
        <v>0</v>
      </c>
      <c r="J698" s="44">
        <v>2500</v>
      </c>
      <c r="K698" s="12">
        <f t="shared" si="19"/>
        <v>2500</v>
      </c>
      <c r="L698" s="44">
        <v>2500</v>
      </c>
      <c r="M698" s="13">
        <v>0</v>
      </c>
      <c r="N698" s="13">
        <v>0</v>
      </c>
      <c r="O698" s="14">
        <f t="shared" si="20"/>
        <v>5000</v>
      </c>
      <c r="P698" s="13">
        <f t="shared" si="21"/>
        <v>5100</v>
      </c>
      <c r="Q698" s="13">
        <f t="shared" si="22"/>
        <v>5200</v>
      </c>
      <c r="R698" s="13" t="s">
        <v>3893</v>
      </c>
      <c r="S698" s="23" t="s">
        <v>3918</v>
      </c>
    </row>
    <row r="699" spans="1:20" ht="21.95" customHeight="1">
      <c r="A699" s="74">
        <v>41</v>
      </c>
      <c r="B699" s="13">
        <v>6502</v>
      </c>
      <c r="C699" s="9" t="s">
        <v>3919</v>
      </c>
      <c r="D699" s="9" t="s">
        <v>310</v>
      </c>
      <c r="E699" s="71" t="s">
        <v>2053</v>
      </c>
      <c r="F699" s="44">
        <v>2700</v>
      </c>
      <c r="G699" s="13">
        <v>0</v>
      </c>
      <c r="H699" s="13">
        <v>0</v>
      </c>
      <c r="I699" s="44">
        <v>0</v>
      </c>
      <c r="J699" s="44">
        <v>2700</v>
      </c>
      <c r="K699" s="12">
        <f t="shared" si="19"/>
        <v>2700</v>
      </c>
      <c r="L699" s="44">
        <v>2700</v>
      </c>
      <c r="M699" s="13">
        <v>0</v>
      </c>
      <c r="N699" s="13">
        <v>0</v>
      </c>
      <c r="O699" s="14">
        <f t="shared" si="20"/>
        <v>5400</v>
      </c>
      <c r="P699" s="13">
        <f t="shared" si="21"/>
        <v>5500</v>
      </c>
      <c r="Q699" s="13">
        <f t="shared" si="22"/>
        <v>5600</v>
      </c>
      <c r="R699" s="13" t="s">
        <v>3893</v>
      </c>
      <c r="S699" s="23" t="s">
        <v>3918</v>
      </c>
    </row>
    <row r="700" spans="1:20" ht="21.95" customHeight="1">
      <c r="A700" s="78">
        <v>29</v>
      </c>
      <c r="B700" s="13">
        <v>6500</v>
      </c>
      <c r="C700" s="9" t="s">
        <v>3920</v>
      </c>
      <c r="D700" s="9" t="s">
        <v>310</v>
      </c>
      <c r="E700" s="71" t="s">
        <v>1127</v>
      </c>
      <c r="F700" s="13">
        <v>200</v>
      </c>
      <c r="G700" s="13">
        <v>0</v>
      </c>
      <c r="H700" s="13">
        <v>0</v>
      </c>
      <c r="I700" s="13">
        <v>0</v>
      </c>
      <c r="J700" s="13">
        <v>200</v>
      </c>
      <c r="K700" s="12">
        <f t="shared" si="19"/>
        <v>200</v>
      </c>
      <c r="L700" s="13">
        <v>200</v>
      </c>
      <c r="M700" s="13">
        <v>0</v>
      </c>
      <c r="N700" s="13">
        <v>0</v>
      </c>
      <c r="O700" s="14">
        <f t="shared" si="20"/>
        <v>400</v>
      </c>
      <c r="P700" s="13">
        <f t="shared" si="21"/>
        <v>500</v>
      </c>
      <c r="Q700" s="13">
        <f t="shared" si="22"/>
        <v>600</v>
      </c>
      <c r="R700" s="13" t="s">
        <v>3893</v>
      </c>
      <c r="S700" s="72"/>
    </row>
    <row r="701" spans="1:20">
      <c r="D701" s="55">
        <v>45794</v>
      </c>
    </row>
    <row r="702" spans="1:20" ht="21.95" customHeight="1">
      <c r="A702" s="25">
        <v>22</v>
      </c>
      <c r="B702" s="13">
        <v>6522</v>
      </c>
      <c r="C702" s="9" t="s">
        <v>118</v>
      </c>
      <c r="D702" s="9" t="s">
        <v>3921</v>
      </c>
      <c r="E702" s="38" t="s">
        <v>502</v>
      </c>
      <c r="F702" s="13">
        <v>2000</v>
      </c>
      <c r="G702" s="13">
        <v>0</v>
      </c>
      <c r="H702" s="13">
        <v>0</v>
      </c>
      <c r="I702" s="13">
        <v>0</v>
      </c>
      <c r="J702" s="13">
        <v>2000</v>
      </c>
      <c r="K702" s="12">
        <f t="shared" ref="K702:K709" si="23">(SUM(G702:J702))</f>
        <v>2000</v>
      </c>
      <c r="L702" s="13">
        <v>2000</v>
      </c>
      <c r="M702" s="13">
        <v>0</v>
      </c>
      <c r="N702" s="13">
        <v>3000</v>
      </c>
      <c r="O702" s="14">
        <f t="shared" ref="O702:O709" si="24">(SUM(K702:N702))</f>
        <v>7000</v>
      </c>
      <c r="P702" s="13">
        <f t="shared" ref="P702" si="25">O702+100</f>
        <v>7100</v>
      </c>
      <c r="Q702" s="13">
        <f t="shared" ref="Q702" si="26">O702+200</f>
        <v>7200</v>
      </c>
      <c r="R702" s="13" t="s">
        <v>3893</v>
      </c>
      <c r="S702" s="15" t="s">
        <v>3922</v>
      </c>
      <c r="T702" t="s">
        <v>257</v>
      </c>
    </row>
    <row r="703" spans="1:20" ht="21.95" customHeight="1">
      <c r="A703" s="25">
        <v>25</v>
      </c>
      <c r="B703" s="13">
        <v>6579</v>
      </c>
      <c r="C703" s="31" t="s">
        <v>3923</v>
      </c>
      <c r="D703" s="9" t="s">
        <v>3921</v>
      </c>
      <c r="E703" s="38" t="s">
        <v>502</v>
      </c>
      <c r="F703" s="22">
        <v>1200</v>
      </c>
      <c r="G703" s="22">
        <v>0</v>
      </c>
      <c r="H703" s="22">
        <v>0</v>
      </c>
      <c r="I703" s="22">
        <v>100</v>
      </c>
      <c r="J703" s="22">
        <v>1200</v>
      </c>
      <c r="K703" s="12">
        <f t="shared" si="23"/>
        <v>1300</v>
      </c>
      <c r="L703" s="22">
        <v>1200</v>
      </c>
      <c r="M703" s="13">
        <v>0</v>
      </c>
      <c r="N703" s="13">
        <v>3000</v>
      </c>
      <c r="O703" s="14">
        <f t="shared" si="24"/>
        <v>5500</v>
      </c>
      <c r="P703" s="13">
        <f>O703+100</f>
        <v>5600</v>
      </c>
      <c r="Q703" s="13">
        <f>O703+200</f>
        <v>5700</v>
      </c>
      <c r="R703" s="13" t="s">
        <v>3893</v>
      </c>
      <c r="S703" s="23" t="s">
        <v>3924</v>
      </c>
      <c r="T703" t="s">
        <v>1472</v>
      </c>
    </row>
    <row r="704" spans="1:20" ht="30" customHeight="1">
      <c r="A704" s="49">
        <v>24</v>
      </c>
      <c r="B704" s="8">
        <v>6574</v>
      </c>
      <c r="C704" s="10" t="s">
        <v>565</v>
      </c>
      <c r="D704" s="10" t="s">
        <v>310</v>
      </c>
      <c r="E704" s="58" t="s">
        <v>720</v>
      </c>
      <c r="F704" s="8">
        <v>1500</v>
      </c>
      <c r="G704" s="13">
        <v>0</v>
      </c>
      <c r="H704" s="13">
        <v>0</v>
      </c>
      <c r="I704" s="44">
        <v>0</v>
      </c>
      <c r="J704" s="44">
        <v>1500</v>
      </c>
      <c r="K704" s="12">
        <f t="shared" si="23"/>
        <v>1500</v>
      </c>
      <c r="L704" s="8">
        <v>1500</v>
      </c>
      <c r="M704" s="13">
        <v>0</v>
      </c>
      <c r="N704" s="13">
        <v>3000</v>
      </c>
      <c r="O704" s="14">
        <f t="shared" si="24"/>
        <v>6000</v>
      </c>
      <c r="P704" s="13"/>
      <c r="Q704" s="13"/>
      <c r="R704" s="13" t="s">
        <v>3893</v>
      </c>
      <c r="S704" s="56" t="s">
        <v>311</v>
      </c>
    </row>
    <row r="705" spans="1:22" ht="30" customHeight="1">
      <c r="A705" s="93">
        <v>13</v>
      </c>
      <c r="B705" s="269">
        <v>6108</v>
      </c>
      <c r="C705" s="9" t="s">
        <v>121</v>
      </c>
      <c r="D705" s="9" t="s">
        <v>3925</v>
      </c>
      <c r="E705" s="66" t="s">
        <v>3926</v>
      </c>
      <c r="F705" s="44">
        <v>2000</v>
      </c>
      <c r="G705" s="13">
        <v>0</v>
      </c>
      <c r="H705" s="13">
        <v>0</v>
      </c>
      <c r="I705" s="44">
        <v>0</v>
      </c>
      <c r="J705" s="44">
        <v>0</v>
      </c>
      <c r="K705" s="12">
        <f t="shared" si="23"/>
        <v>0</v>
      </c>
      <c r="L705" s="44">
        <v>2000</v>
      </c>
      <c r="M705" s="13">
        <v>0</v>
      </c>
      <c r="N705" s="13">
        <v>3000</v>
      </c>
      <c r="O705" s="14">
        <f t="shared" si="24"/>
        <v>5000</v>
      </c>
      <c r="P705" s="13">
        <f>O705+100</f>
        <v>5100</v>
      </c>
      <c r="Q705" s="13">
        <f>O705+200</f>
        <v>5200</v>
      </c>
      <c r="R705" s="13" t="s">
        <v>3893</v>
      </c>
      <c r="S705" s="72" t="s">
        <v>3927</v>
      </c>
    </row>
    <row r="706" spans="1:22" ht="30" customHeight="1">
      <c r="A706" s="93">
        <v>14</v>
      </c>
      <c r="B706" s="269">
        <v>6109</v>
      </c>
      <c r="C706" s="9" t="s">
        <v>3928</v>
      </c>
      <c r="D706" s="9" t="s">
        <v>3925</v>
      </c>
      <c r="E706" s="66" t="s">
        <v>3926</v>
      </c>
      <c r="F706" s="44">
        <v>2300</v>
      </c>
      <c r="G706" s="13">
        <v>0</v>
      </c>
      <c r="H706" s="13">
        <v>0</v>
      </c>
      <c r="I706" s="44">
        <v>0</v>
      </c>
      <c r="J706" s="44">
        <v>0</v>
      </c>
      <c r="K706" s="12">
        <f t="shared" si="23"/>
        <v>0</v>
      </c>
      <c r="L706" s="44">
        <v>2300</v>
      </c>
      <c r="M706" s="13">
        <v>0</v>
      </c>
      <c r="N706" s="13">
        <v>3000</v>
      </c>
      <c r="O706" s="14">
        <f t="shared" si="24"/>
        <v>5300</v>
      </c>
      <c r="P706" s="13">
        <f>O706+100</f>
        <v>5400</v>
      </c>
      <c r="Q706" s="13">
        <f>O706+200</f>
        <v>5500</v>
      </c>
      <c r="R706" s="13" t="s">
        <v>3893</v>
      </c>
      <c r="S706" s="72" t="s">
        <v>3929</v>
      </c>
    </row>
    <row r="707" spans="1:22" ht="30" customHeight="1">
      <c r="A707" s="93">
        <v>16</v>
      </c>
      <c r="B707" s="13">
        <v>6207</v>
      </c>
      <c r="C707" s="9" t="s">
        <v>3930</v>
      </c>
      <c r="D707" s="9" t="s">
        <v>3931</v>
      </c>
      <c r="E707" s="66" t="s">
        <v>1940</v>
      </c>
      <c r="F707" s="44">
        <v>2000</v>
      </c>
      <c r="G707" s="13">
        <v>900</v>
      </c>
      <c r="H707" s="13">
        <v>1900</v>
      </c>
      <c r="I707" s="44">
        <v>2000</v>
      </c>
      <c r="J707" s="44">
        <v>2000</v>
      </c>
      <c r="K707" s="12">
        <f t="shared" si="23"/>
        <v>6800</v>
      </c>
      <c r="L707" s="44">
        <v>2000</v>
      </c>
      <c r="M707" s="13">
        <v>0</v>
      </c>
      <c r="N707" s="13">
        <v>3000</v>
      </c>
      <c r="O707" s="14">
        <f t="shared" si="24"/>
        <v>11800</v>
      </c>
      <c r="P707" s="13">
        <f>O707+100</f>
        <v>11900</v>
      </c>
      <c r="Q707" s="13">
        <f>O707+200</f>
        <v>12000</v>
      </c>
      <c r="R707" s="13" t="s">
        <v>3893</v>
      </c>
      <c r="S707" s="72" t="s">
        <v>3932</v>
      </c>
    </row>
    <row r="708" spans="1:22" ht="30" customHeight="1">
      <c r="A708" s="93">
        <v>40</v>
      </c>
      <c r="B708" s="13">
        <v>6410</v>
      </c>
      <c r="C708" s="9" t="s">
        <v>41</v>
      </c>
      <c r="D708" s="9" t="s">
        <v>3933</v>
      </c>
      <c r="E708" s="71" t="s">
        <v>2154</v>
      </c>
      <c r="F708" s="44">
        <v>2400</v>
      </c>
      <c r="G708" s="13">
        <v>0</v>
      </c>
      <c r="H708" s="13">
        <v>0</v>
      </c>
      <c r="I708" s="44">
        <v>0</v>
      </c>
      <c r="J708" s="44">
        <v>2400</v>
      </c>
      <c r="K708" s="12">
        <f t="shared" si="23"/>
        <v>2400</v>
      </c>
      <c r="L708" s="44">
        <v>2400</v>
      </c>
      <c r="M708" s="13">
        <v>0</v>
      </c>
      <c r="N708" s="13">
        <v>5000</v>
      </c>
      <c r="O708" s="14">
        <f t="shared" si="24"/>
        <v>9800</v>
      </c>
      <c r="P708" s="13">
        <f>O708+100</f>
        <v>9900</v>
      </c>
      <c r="Q708" s="13">
        <f>O708+200</f>
        <v>10000</v>
      </c>
      <c r="R708" s="13" t="s">
        <v>3893</v>
      </c>
      <c r="S708" s="23" t="s">
        <v>3934</v>
      </c>
    </row>
    <row r="709" spans="1:22" ht="30" customHeight="1">
      <c r="A709" s="13">
        <v>29</v>
      </c>
      <c r="B709" s="13">
        <v>5018</v>
      </c>
      <c r="C709" s="9" t="s">
        <v>3935</v>
      </c>
      <c r="D709" s="9" t="s">
        <v>3933</v>
      </c>
      <c r="E709" s="71" t="s">
        <v>2154</v>
      </c>
      <c r="F709" s="44">
        <v>2700</v>
      </c>
      <c r="G709" s="13">
        <v>0</v>
      </c>
      <c r="H709" s="13">
        <v>0</v>
      </c>
      <c r="I709" s="44">
        <v>0</v>
      </c>
      <c r="J709" s="44">
        <v>2700</v>
      </c>
      <c r="K709" s="12">
        <f t="shared" si="23"/>
        <v>2700</v>
      </c>
      <c r="L709" s="44">
        <v>2700</v>
      </c>
      <c r="M709" s="13">
        <v>0</v>
      </c>
      <c r="N709" s="13">
        <v>5000</v>
      </c>
      <c r="O709" s="14">
        <f t="shared" si="24"/>
        <v>10400</v>
      </c>
      <c r="P709" s="13">
        <f>O709+100</f>
        <v>10500</v>
      </c>
      <c r="Q709" s="13">
        <f>O709+200</f>
        <v>10600</v>
      </c>
      <c r="R709" s="13" t="s">
        <v>3893</v>
      </c>
      <c r="S709" s="24" t="s">
        <v>3936</v>
      </c>
    </row>
    <row r="710" spans="1:22" ht="30" customHeight="1">
      <c r="A710" s="60">
        <v>26</v>
      </c>
      <c r="B710" s="13">
        <v>8494860</v>
      </c>
      <c r="C710" s="9" t="s">
        <v>3937</v>
      </c>
      <c r="D710" s="9" t="s">
        <v>3938</v>
      </c>
      <c r="E710" s="71" t="s">
        <v>2251</v>
      </c>
      <c r="F710" s="13">
        <v>2700</v>
      </c>
      <c r="G710" s="13">
        <v>0</v>
      </c>
      <c r="H710" s="13">
        <v>0</v>
      </c>
      <c r="I710" s="13">
        <v>2700</v>
      </c>
      <c r="J710" s="13">
        <v>2700</v>
      </c>
      <c r="K710" s="13">
        <v>2700</v>
      </c>
      <c r="L710" s="12">
        <f>(SUM(G710:K710))</f>
        <v>8100</v>
      </c>
      <c r="M710" s="13">
        <v>2700</v>
      </c>
      <c r="N710" s="13">
        <v>0</v>
      </c>
      <c r="O710" s="13">
        <v>5000</v>
      </c>
      <c r="P710" s="14">
        <f>(SUM(L710:O710))</f>
        <v>15800</v>
      </c>
      <c r="Q710" s="13">
        <f>P710+100</f>
        <v>15900</v>
      </c>
      <c r="R710" s="13">
        <f>P710+200</f>
        <v>16000</v>
      </c>
      <c r="S710" s="13" t="s">
        <v>3939</v>
      </c>
      <c r="T710" s="23" t="s">
        <v>1374</v>
      </c>
    </row>
    <row r="711" spans="1:22" ht="18.75">
      <c r="C711" s="286">
        <v>45839</v>
      </c>
      <c r="G711" t="s">
        <v>3940</v>
      </c>
      <c r="H711" t="s">
        <v>3941</v>
      </c>
    </row>
    <row r="712" spans="1:22" ht="30" customHeight="1">
      <c r="A712" s="1">
        <v>28</v>
      </c>
      <c r="B712" s="8">
        <v>6762</v>
      </c>
      <c r="C712" s="9" t="s">
        <v>3942</v>
      </c>
      <c r="D712" s="10" t="s">
        <v>3943</v>
      </c>
      <c r="E712" s="11" t="s">
        <v>16</v>
      </c>
      <c r="F712" s="8">
        <v>2200</v>
      </c>
      <c r="G712" s="8">
        <v>0</v>
      </c>
      <c r="H712" s="8">
        <v>0</v>
      </c>
      <c r="I712" s="8">
        <v>0</v>
      </c>
      <c r="J712" s="8">
        <v>0</v>
      </c>
      <c r="K712" s="8">
        <v>0</v>
      </c>
      <c r="L712" s="8">
        <v>2200</v>
      </c>
      <c r="M712" s="12">
        <f t="shared" ref="M712:M718" si="27">(SUM(G712:L712))</f>
        <v>2200</v>
      </c>
      <c r="N712" s="8">
        <v>2200</v>
      </c>
      <c r="O712" s="13">
        <v>0</v>
      </c>
      <c r="P712" s="13">
        <v>0</v>
      </c>
      <c r="Q712" s="14">
        <f t="shared" ref="Q712:Q718" si="28">(SUM(M712:P712))</f>
        <v>4400</v>
      </c>
      <c r="R712" s="13">
        <f t="shared" ref="R712:R718" si="29">Q712+100</f>
        <v>4500</v>
      </c>
      <c r="S712" s="13">
        <f t="shared" ref="S712:S718" si="30">Q712+200</f>
        <v>4600</v>
      </c>
      <c r="T712" s="13" t="s">
        <v>3944</v>
      </c>
      <c r="U712" s="15" t="s">
        <v>3945</v>
      </c>
      <c r="V712" t="s">
        <v>3946</v>
      </c>
    </row>
    <row r="713" spans="1:22" ht="30" customHeight="1">
      <c r="A713" s="78">
        <v>18</v>
      </c>
      <c r="B713" s="13">
        <v>4970</v>
      </c>
      <c r="C713" s="9" t="s">
        <v>3947</v>
      </c>
      <c r="D713" s="57" t="s">
        <v>3948</v>
      </c>
      <c r="E713" s="71" t="s">
        <v>1127</v>
      </c>
      <c r="F713" s="13">
        <v>2200</v>
      </c>
      <c r="G713" s="13">
        <v>0</v>
      </c>
      <c r="H713" s="13">
        <v>0</v>
      </c>
      <c r="I713" s="13">
        <v>0</v>
      </c>
      <c r="J713" s="13">
        <v>0</v>
      </c>
      <c r="K713" s="13">
        <v>2200</v>
      </c>
      <c r="L713" s="13">
        <v>2200</v>
      </c>
      <c r="M713" s="12">
        <f t="shared" si="27"/>
        <v>4400</v>
      </c>
      <c r="N713" s="13">
        <v>2200</v>
      </c>
      <c r="O713" s="13">
        <v>0</v>
      </c>
      <c r="P713" s="13">
        <v>3000</v>
      </c>
      <c r="Q713" s="14">
        <f t="shared" si="28"/>
        <v>9600</v>
      </c>
      <c r="R713" s="13">
        <f t="shared" si="29"/>
        <v>9700</v>
      </c>
      <c r="S713" s="13">
        <f t="shared" si="30"/>
        <v>9800</v>
      </c>
      <c r="T713" s="13" t="s">
        <v>3944</v>
      </c>
      <c r="U713" s="15" t="s">
        <v>594</v>
      </c>
    </row>
    <row r="714" spans="1:22" ht="30" customHeight="1">
      <c r="A714" s="42">
        <v>10</v>
      </c>
      <c r="B714" s="13">
        <v>4710</v>
      </c>
      <c r="C714" s="9" t="s">
        <v>3949</v>
      </c>
      <c r="D714" s="9" t="s">
        <v>3950</v>
      </c>
      <c r="E714" s="66" t="s">
        <v>1501</v>
      </c>
      <c r="F714" s="44">
        <v>1000</v>
      </c>
      <c r="G714" s="13">
        <v>0</v>
      </c>
      <c r="H714" s="13">
        <v>0</v>
      </c>
      <c r="I714" s="44">
        <v>0</v>
      </c>
      <c r="J714" s="44">
        <v>0</v>
      </c>
      <c r="K714" s="44">
        <v>0</v>
      </c>
      <c r="L714" s="44">
        <v>1000</v>
      </c>
      <c r="M714" s="12">
        <f t="shared" si="27"/>
        <v>1000</v>
      </c>
      <c r="N714" s="44">
        <v>1000</v>
      </c>
      <c r="O714" s="13">
        <v>0</v>
      </c>
      <c r="P714" s="13">
        <v>3000</v>
      </c>
      <c r="Q714" s="14">
        <f t="shared" si="28"/>
        <v>5000</v>
      </c>
      <c r="R714" s="13">
        <f t="shared" si="29"/>
        <v>5100</v>
      </c>
      <c r="S714" s="13">
        <f t="shared" si="30"/>
        <v>5200</v>
      </c>
      <c r="T714" s="13" t="s">
        <v>3944</v>
      </c>
      <c r="U714" s="15" t="s">
        <v>3951</v>
      </c>
    </row>
    <row r="715" spans="1:22" ht="30" customHeight="1">
      <c r="A715" s="75">
        <v>40</v>
      </c>
      <c r="B715" s="13">
        <v>6702</v>
      </c>
      <c r="C715" s="9" t="s">
        <v>3952</v>
      </c>
      <c r="D715" s="9" t="s">
        <v>3953</v>
      </c>
      <c r="E715" s="71" t="s">
        <v>1602</v>
      </c>
      <c r="F715" s="13">
        <v>2000</v>
      </c>
      <c r="G715" s="13">
        <v>0</v>
      </c>
      <c r="H715" s="13">
        <v>0</v>
      </c>
      <c r="I715" s="13">
        <v>0</v>
      </c>
      <c r="J715" s="13">
        <v>0</v>
      </c>
      <c r="K715" s="13">
        <v>2000</v>
      </c>
      <c r="L715" s="13">
        <v>2000</v>
      </c>
      <c r="M715" s="12">
        <f t="shared" si="27"/>
        <v>4000</v>
      </c>
      <c r="N715" s="13">
        <v>2000</v>
      </c>
      <c r="O715" s="13">
        <v>0</v>
      </c>
      <c r="P715" s="13">
        <v>0</v>
      </c>
      <c r="Q715" s="14">
        <f t="shared" si="28"/>
        <v>6000</v>
      </c>
      <c r="R715" s="13">
        <f t="shared" si="29"/>
        <v>6100</v>
      </c>
      <c r="S715" s="13">
        <f t="shared" si="30"/>
        <v>6200</v>
      </c>
      <c r="T715" s="13" t="s">
        <v>3944</v>
      </c>
      <c r="U715" s="23" t="s">
        <v>3954</v>
      </c>
    </row>
    <row r="716" spans="1:22" ht="30" customHeight="1">
      <c r="A716" s="74">
        <v>23</v>
      </c>
      <c r="B716" s="8">
        <v>4713</v>
      </c>
      <c r="C716" s="10" t="s">
        <v>3955</v>
      </c>
      <c r="D716" s="10" t="s">
        <v>3950</v>
      </c>
      <c r="E716" s="71" t="s">
        <v>2053</v>
      </c>
      <c r="F716" s="44">
        <v>2700</v>
      </c>
      <c r="G716" s="8">
        <v>0</v>
      </c>
      <c r="H716" s="8">
        <v>0</v>
      </c>
      <c r="I716" s="44">
        <v>0</v>
      </c>
      <c r="J716" s="44">
        <v>0</v>
      </c>
      <c r="K716" s="44">
        <v>0</v>
      </c>
      <c r="L716" s="44">
        <v>2700</v>
      </c>
      <c r="M716" s="12">
        <f t="shared" si="27"/>
        <v>2700</v>
      </c>
      <c r="N716" s="44">
        <v>2700</v>
      </c>
      <c r="O716" s="13">
        <v>0</v>
      </c>
      <c r="P716" s="13">
        <v>5000</v>
      </c>
      <c r="Q716" s="14">
        <f t="shared" si="28"/>
        <v>10400</v>
      </c>
      <c r="R716" s="13">
        <f t="shared" si="29"/>
        <v>10500</v>
      </c>
      <c r="S716" s="13">
        <f t="shared" si="30"/>
        <v>10600</v>
      </c>
      <c r="T716" s="13" t="s">
        <v>3956</v>
      </c>
      <c r="U716" s="56" t="s">
        <v>3957</v>
      </c>
    </row>
    <row r="717" spans="1:22" ht="30" customHeight="1">
      <c r="A717" s="74">
        <v>39</v>
      </c>
      <c r="B717" s="13">
        <v>6490</v>
      </c>
      <c r="C717" s="9" t="s">
        <v>3212</v>
      </c>
      <c r="D717" s="9" t="s">
        <v>3119</v>
      </c>
      <c r="E717" s="71" t="s">
        <v>2053</v>
      </c>
      <c r="F717" s="44">
        <v>2700</v>
      </c>
      <c r="G717" s="13">
        <v>0</v>
      </c>
      <c r="H717" s="13">
        <v>0</v>
      </c>
      <c r="I717" s="44">
        <v>0</v>
      </c>
      <c r="J717" s="44">
        <v>0</v>
      </c>
      <c r="K717" s="44">
        <v>0</v>
      </c>
      <c r="L717" s="44">
        <v>2700</v>
      </c>
      <c r="M717" s="12">
        <f t="shared" si="27"/>
        <v>2700</v>
      </c>
      <c r="N717" s="44">
        <v>2700</v>
      </c>
      <c r="O717" s="13">
        <v>0</v>
      </c>
      <c r="P717" s="13">
        <v>5000</v>
      </c>
      <c r="Q717" s="14">
        <f t="shared" si="28"/>
        <v>10400</v>
      </c>
      <c r="R717" s="13">
        <f t="shared" si="29"/>
        <v>10500</v>
      </c>
      <c r="S717" s="13">
        <f t="shared" si="30"/>
        <v>10600</v>
      </c>
      <c r="T717" s="13" t="s">
        <v>3956</v>
      </c>
      <c r="U717" s="23" t="s">
        <v>3958</v>
      </c>
    </row>
    <row r="718" spans="1:22" ht="30" customHeight="1">
      <c r="A718" s="13">
        <v>42</v>
      </c>
      <c r="B718" s="13">
        <v>6518</v>
      </c>
      <c r="C718" s="9" t="s">
        <v>3959</v>
      </c>
      <c r="D718" s="9" t="s">
        <v>1101</v>
      </c>
      <c r="E718" s="71" t="s">
        <v>2053</v>
      </c>
      <c r="F718" s="44">
        <v>2700</v>
      </c>
      <c r="G718" s="13">
        <v>0</v>
      </c>
      <c r="H718" s="13">
        <v>0</v>
      </c>
      <c r="I718" s="44">
        <v>0</v>
      </c>
      <c r="J718" s="44">
        <v>0</v>
      </c>
      <c r="K718" s="44">
        <v>0</v>
      </c>
      <c r="L718" s="44">
        <v>0</v>
      </c>
      <c r="M718" s="12">
        <f t="shared" si="27"/>
        <v>0</v>
      </c>
      <c r="N718" s="44">
        <v>2700</v>
      </c>
      <c r="O718" s="13">
        <v>0</v>
      </c>
      <c r="P718" s="13">
        <v>0</v>
      </c>
      <c r="Q718" s="14">
        <f t="shared" si="28"/>
        <v>2700</v>
      </c>
      <c r="R718" s="13">
        <f t="shared" si="29"/>
        <v>2800</v>
      </c>
      <c r="S718" s="13">
        <f t="shared" si="30"/>
        <v>2900</v>
      </c>
      <c r="T718" s="13" t="s">
        <v>3956</v>
      </c>
      <c r="U718" s="23" t="s">
        <v>651</v>
      </c>
      <c r="V718" t="s">
        <v>3960</v>
      </c>
    </row>
    <row r="719" spans="1:22" ht="23.25">
      <c r="C719" s="283">
        <v>45855</v>
      </c>
    </row>
    <row r="720" spans="1:22" ht="30" customHeight="1">
      <c r="A720" s="13">
        <v>39</v>
      </c>
      <c r="B720" s="13">
        <v>6713</v>
      </c>
      <c r="C720" s="9" t="s">
        <v>3961</v>
      </c>
      <c r="D720" s="9" t="s">
        <v>233</v>
      </c>
      <c r="E720" s="66" t="s">
        <v>1782</v>
      </c>
      <c r="F720" s="13">
        <v>2400</v>
      </c>
      <c r="G720" s="13">
        <v>0</v>
      </c>
      <c r="H720" s="13">
        <v>0</v>
      </c>
      <c r="I720" s="13">
        <v>0</v>
      </c>
      <c r="J720" s="12">
        <v>0</v>
      </c>
      <c r="K720" s="13">
        <v>0</v>
      </c>
      <c r="L720" s="12">
        <f t="shared" ref="L720" si="31">(SUM(G720:K720))</f>
        <v>0</v>
      </c>
      <c r="M720" s="13">
        <v>2400</v>
      </c>
      <c r="N720" s="13">
        <v>0</v>
      </c>
      <c r="O720" s="13">
        <v>3000</v>
      </c>
      <c r="P720" s="14">
        <f t="shared" ref="P720" si="32">(SUM(L720:O720))</f>
        <v>5400</v>
      </c>
      <c r="Q720" s="13">
        <f t="shared" ref="Q720" si="33">P720+100</f>
        <v>5500</v>
      </c>
      <c r="R720" s="13">
        <f t="shared" ref="R720" si="34">P720+200</f>
        <v>5600</v>
      </c>
      <c r="S720" s="13" t="s">
        <v>3944</v>
      </c>
      <c r="T720" s="15" t="s">
        <v>3962</v>
      </c>
    </row>
    <row r="722" spans="1:22" ht="30" customHeight="1">
      <c r="A722" s="13">
        <v>45</v>
      </c>
      <c r="B722" s="13">
        <v>6626082</v>
      </c>
      <c r="C722" s="9" t="s">
        <v>3963</v>
      </c>
      <c r="D722" s="9" t="s">
        <v>1212</v>
      </c>
      <c r="E722" s="66" t="s">
        <v>2324</v>
      </c>
      <c r="F722" s="13">
        <v>2400</v>
      </c>
      <c r="G722" s="13">
        <v>0</v>
      </c>
      <c r="H722" s="13">
        <v>0</v>
      </c>
      <c r="I722" s="13">
        <v>2400</v>
      </c>
      <c r="J722" s="13">
        <v>2400</v>
      </c>
      <c r="K722" s="13">
        <v>2400</v>
      </c>
      <c r="L722" s="12">
        <f t="shared" ref="L722:L723" si="35">(SUM(G722:K722))</f>
        <v>7200</v>
      </c>
      <c r="M722" s="13">
        <v>2400</v>
      </c>
      <c r="N722" s="13">
        <v>0</v>
      </c>
      <c r="O722" s="13">
        <v>5000</v>
      </c>
      <c r="P722" s="14">
        <f t="shared" ref="P722:P723" si="36">(SUM(L722:O722))</f>
        <v>14600</v>
      </c>
      <c r="Q722" s="13">
        <f t="shared" ref="Q722:Q723" si="37">P722+100</f>
        <v>14700</v>
      </c>
      <c r="R722" s="13">
        <f t="shared" ref="R722:R723" si="38">P722+200</f>
        <v>14800</v>
      </c>
      <c r="S722" s="13" t="s">
        <v>3956</v>
      </c>
      <c r="T722" s="65" t="s">
        <v>3964</v>
      </c>
    </row>
    <row r="723" spans="1:22" ht="30" customHeight="1">
      <c r="A723" s="13">
        <v>13</v>
      </c>
      <c r="B723" s="13">
        <v>8371529</v>
      </c>
      <c r="C723" s="9" t="s">
        <v>3965</v>
      </c>
      <c r="D723" s="9" t="s">
        <v>1877</v>
      </c>
      <c r="E723" s="71" t="s">
        <v>2251</v>
      </c>
      <c r="F723" s="13">
        <v>2700</v>
      </c>
      <c r="G723" s="13">
        <v>0</v>
      </c>
      <c r="H723" s="13">
        <v>0</v>
      </c>
      <c r="I723" s="13">
        <v>2700</v>
      </c>
      <c r="J723" s="13">
        <v>2700</v>
      </c>
      <c r="K723" s="13">
        <v>2700</v>
      </c>
      <c r="L723" s="12">
        <f t="shared" si="35"/>
        <v>8100</v>
      </c>
      <c r="M723" s="13">
        <v>2700</v>
      </c>
      <c r="N723" s="13">
        <v>0</v>
      </c>
      <c r="O723" s="13">
        <v>5000</v>
      </c>
      <c r="P723" s="14">
        <f t="shared" si="36"/>
        <v>15800</v>
      </c>
      <c r="Q723" s="13">
        <f t="shared" si="37"/>
        <v>15900</v>
      </c>
      <c r="R723" s="13">
        <f t="shared" si="38"/>
        <v>16000</v>
      </c>
      <c r="S723" s="13" t="s">
        <v>3956</v>
      </c>
      <c r="T723" s="23" t="s">
        <v>2557</v>
      </c>
    </row>
    <row r="724" spans="1:22" ht="21">
      <c r="C724" s="275">
        <v>45867</v>
      </c>
    </row>
    <row r="725" spans="1:22" ht="30" customHeight="1">
      <c r="A725" s="52">
        <v>23</v>
      </c>
      <c r="B725" s="19">
        <v>6578</v>
      </c>
      <c r="C725" s="21" t="s">
        <v>3966</v>
      </c>
      <c r="D725" s="50" t="s">
        <v>3921</v>
      </c>
      <c r="E725" s="53" t="s">
        <v>653</v>
      </c>
      <c r="F725" s="44">
        <v>2300</v>
      </c>
      <c r="G725" s="12">
        <v>0</v>
      </c>
      <c r="H725" s="44">
        <v>0</v>
      </c>
      <c r="I725" s="44">
        <v>2300</v>
      </c>
      <c r="J725" s="44">
        <v>2300</v>
      </c>
      <c r="K725" s="44">
        <v>2300</v>
      </c>
      <c r="L725" s="12">
        <f t="shared" ref="L725" si="39">(SUM(G725:K725))</f>
        <v>6900</v>
      </c>
      <c r="M725" s="44">
        <v>2300</v>
      </c>
      <c r="N725" s="13">
        <v>0</v>
      </c>
      <c r="O725" s="13">
        <v>3000</v>
      </c>
      <c r="P725" s="14">
        <f t="shared" ref="P725" si="40">(SUM(L725:O725))</f>
        <v>12200</v>
      </c>
      <c r="Q725" s="13">
        <f t="shared" ref="Q725" si="41">P725+100</f>
        <v>12300</v>
      </c>
      <c r="R725" s="13">
        <f t="shared" ref="R725" si="42">P725+200</f>
        <v>12400</v>
      </c>
      <c r="S725" s="13" t="s">
        <v>3944</v>
      </c>
      <c r="T725" s="51" t="s">
        <v>3924</v>
      </c>
      <c r="U725" t="s">
        <v>1472</v>
      </c>
    </row>
    <row r="726" spans="1:22" ht="21">
      <c r="C726" s="275">
        <v>45888</v>
      </c>
    </row>
    <row r="727" spans="1:22" ht="30" customHeight="1">
      <c r="A727" s="74">
        <v>41</v>
      </c>
      <c r="B727" s="13">
        <v>6608</v>
      </c>
      <c r="C727" s="9" t="s">
        <v>3967</v>
      </c>
      <c r="D727" s="9" t="s">
        <v>1474</v>
      </c>
      <c r="E727" s="71" t="s">
        <v>1028</v>
      </c>
      <c r="F727" s="13">
        <v>2300</v>
      </c>
      <c r="G727" s="13">
        <v>0</v>
      </c>
      <c r="H727" s="13">
        <v>0</v>
      </c>
      <c r="I727" s="13">
        <v>0</v>
      </c>
      <c r="J727" s="13">
        <v>0</v>
      </c>
      <c r="K727" s="13">
        <v>0</v>
      </c>
      <c r="L727" s="13">
        <v>2300</v>
      </c>
      <c r="M727" s="12">
        <f t="shared" ref="M727:M730" si="43">(SUM(G727:L727))</f>
        <v>2300</v>
      </c>
      <c r="N727" s="13">
        <v>2300</v>
      </c>
      <c r="O727" s="13">
        <v>0</v>
      </c>
      <c r="P727" s="13">
        <v>3000</v>
      </c>
      <c r="Q727" s="14">
        <f t="shared" ref="Q727:Q730" si="44">(SUM(M727:P727))</f>
        <v>7600</v>
      </c>
      <c r="R727" s="13">
        <f t="shared" ref="R727:R730" si="45">Q727+100</f>
        <v>7700</v>
      </c>
      <c r="S727" s="13">
        <f t="shared" ref="S727:S730" si="46">Q727+200</f>
        <v>7800</v>
      </c>
      <c r="T727" s="13" t="s">
        <v>3968</v>
      </c>
      <c r="U727" s="72" t="s">
        <v>1475</v>
      </c>
    </row>
    <row r="728" spans="1:22" ht="30" customHeight="1">
      <c r="A728" s="75">
        <v>42</v>
      </c>
      <c r="B728" s="13">
        <v>6609</v>
      </c>
      <c r="C728" s="9" t="s">
        <v>3969</v>
      </c>
      <c r="D728" s="9" t="s">
        <v>1474</v>
      </c>
      <c r="E728" s="71" t="s">
        <v>1028</v>
      </c>
      <c r="F728" s="13">
        <v>2300</v>
      </c>
      <c r="G728" s="13">
        <v>0</v>
      </c>
      <c r="H728" s="13">
        <v>0</v>
      </c>
      <c r="I728" s="13">
        <v>0</v>
      </c>
      <c r="J728" s="13">
        <v>0</v>
      </c>
      <c r="K728" s="13">
        <v>0</v>
      </c>
      <c r="L728" s="13">
        <v>2300</v>
      </c>
      <c r="M728" s="12">
        <f t="shared" si="43"/>
        <v>2300</v>
      </c>
      <c r="N728" s="13">
        <v>2300</v>
      </c>
      <c r="O728" s="13">
        <v>0</v>
      </c>
      <c r="P728" s="13">
        <v>3000</v>
      </c>
      <c r="Q728" s="14">
        <f t="shared" si="44"/>
        <v>7600</v>
      </c>
      <c r="R728" s="13">
        <f t="shared" si="45"/>
        <v>7700</v>
      </c>
      <c r="S728" s="13">
        <f t="shared" si="46"/>
        <v>7800</v>
      </c>
      <c r="T728" s="13" t="s">
        <v>3968</v>
      </c>
      <c r="U728" s="72" t="s">
        <v>1475</v>
      </c>
    </row>
    <row r="729" spans="1:22" ht="30" customHeight="1">
      <c r="A729" s="13">
        <v>32</v>
      </c>
      <c r="B729" s="19">
        <v>6658</v>
      </c>
      <c r="C729" s="21" t="s">
        <v>1020</v>
      </c>
      <c r="D729" s="50" t="s">
        <v>3970</v>
      </c>
      <c r="E729" s="53" t="s">
        <v>793</v>
      </c>
      <c r="F729" s="12">
        <v>2300</v>
      </c>
      <c r="G729" s="12">
        <v>0</v>
      </c>
      <c r="H729" s="12">
        <v>0</v>
      </c>
      <c r="I729" s="12">
        <v>0</v>
      </c>
      <c r="J729" s="12">
        <v>0</v>
      </c>
      <c r="K729" s="12">
        <v>2300</v>
      </c>
      <c r="L729" s="12">
        <v>2300</v>
      </c>
      <c r="M729" s="12">
        <f t="shared" si="43"/>
        <v>4600</v>
      </c>
      <c r="N729" s="12">
        <v>2300</v>
      </c>
      <c r="O729" s="13">
        <v>0</v>
      </c>
      <c r="P729" s="13">
        <v>3000</v>
      </c>
      <c r="Q729" s="14">
        <f t="shared" si="44"/>
        <v>9900</v>
      </c>
      <c r="R729" s="13">
        <f t="shared" si="45"/>
        <v>10000</v>
      </c>
      <c r="S729" s="13">
        <f t="shared" si="46"/>
        <v>10100</v>
      </c>
      <c r="T729" s="13" t="s">
        <v>3968</v>
      </c>
      <c r="U729" s="51" t="s">
        <v>3971</v>
      </c>
    </row>
    <row r="730" spans="1:22" ht="30" customHeight="1">
      <c r="A730" s="60">
        <v>18</v>
      </c>
      <c r="B730" s="19">
        <v>5096</v>
      </c>
      <c r="C730" s="21" t="s">
        <v>2640</v>
      </c>
      <c r="D730" s="21" t="s">
        <v>3527</v>
      </c>
      <c r="E730" s="66" t="s">
        <v>878</v>
      </c>
      <c r="F730" s="13">
        <v>2300</v>
      </c>
      <c r="G730" s="13">
        <v>0</v>
      </c>
      <c r="H730" s="13">
        <v>0</v>
      </c>
      <c r="I730" s="13">
        <v>0</v>
      </c>
      <c r="J730" s="13">
        <v>0</v>
      </c>
      <c r="K730" s="13">
        <v>0</v>
      </c>
      <c r="L730" s="13">
        <v>2300</v>
      </c>
      <c r="M730" s="12">
        <f t="shared" si="43"/>
        <v>2300</v>
      </c>
      <c r="N730" s="13">
        <v>2300</v>
      </c>
      <c r="O730" s="13">
        <v>0</v>
      </c>
      <c r="P730" s="13">
        <v>0</v>
      </c>
      <c r="Q730" s="14">
        <f t="shared" si="44"/>
        <v>4600</v>
      </c>
      <c r="R730" s="13">
        <f t="shared" si="45"/>
        <v>4700</v>
      </c>
      <c r="S730" s="13">
        <f t="shared" si="46"/>
        <v>4800</v>
      </c>
      <c r="T730" s="13" t="s">
        <v>3968</v>
      </c>
      <c r="U730" s="39" t="s">
        <v>3972</v>
      </c>
    </row>
    <row r="731" spans="1:22" ht="21">
      <c r="C731" s="275">
        <v>45904</v>
      </c>
    </row>
    <row r="732" spans="1:22" ht="30" customHeight="1">
      <c r="A732" s="13">
        <v>40</v>
      </c>
      <c r="B732" s="13">
        <v>6576224</v>
      </c>
      <c r="C732" s="9" t="s">
        <v>3961</v>
      </c>
      <c r="D732" s="9" t="s">
        <v>3973</v>
      </c>
      <c r="E732" s="66" t="s">
        <v>2324</v>
      </c>
      <c r="F732" s="13">
        <v>2700</v>
      </c>
      <c r="G732" s="13">
        <v>0</v>
      </c>
      <c r="H732" s="13">
        <v>0</v>
      </c>
      <c r="I732" s="13">
        <v>0</v>
      </c>
      <c r="J732" s="13">
        <v>0</v>
      </c>
      <c r="K732" s="13">
        <v>0</v>
      </c>
      <c r="L732" s="13">
        <v>0</v>
      </c>
      <c r="M732" s="13">
        <v>0</v>
      </c>
      <c r="N732" s="12">
        <f t="shared" ref="N732:N733" si="47">(SUM(G732:M732))</f>
        <v>0</v>
      </c>
      <c r="O732" s="13">
        <v>2700</v>
      </c>
      <c r="P732" s="13">
        <v>0</v>
      </c>
      <c r="Q732" s="13">
        <v>0</v>
      </c>
      <c r="R732" s="14">
        <f t="shared" ref="R732:R733" si="48">(SUM(N732:Q732))</f>
        <v>2700</v>
      </c>
      <c r="S732" s="13">
        <f t="shared" ref="S732:S733" si="49">R732+100</f>
        <v>2800</v>
      </c>
      <c r="T732" s="13">
        <f t="shared" ref="T732:T733" si="50">R732+200</f>
        <v>2900</v>
      </c>
      <c r="U732" s="13" t="s">
        <v>3974</v>
      </c>
      <c r="V732" s="23" t="s">
        <v>3975</v>
      </c>
    </row>
    <row r="733" spans="1:22" ht="30" customHeight="1">
      <c r="A733" s="13">
        <v>28</v>
      </c>
      <c r="B733" s="13">
        <v>6454950</v>
      </c>
      <c r="C733" s="9" t="s">
        <v>3976</v>
      </c>
      <c r="D733" s="9" t="s">
        <v>774</v>
      </c>
      <c r="E733" s="66" t="s">
        <v>2324</v>
      </c>
      <c r="F733" s="13">
        <v>2700</v>
      </c>
      <c r="G733" s="13">
        <v>0</v>
      </c>
      <c r="H733" s="13">
        <v>0</v>
      </c>
      <c r="I733" s="13">
        <v>0</v>
      </c>
      <c r="J733" s="13">
        <v>0</v>
      </c>
      <c r="K733" s="13">
        <v>0</v>
      </c>
      <c r="L733" s="13">
        <v>0</v>
      </c>
      <c r="M733" s="13">
        <v>0</v>
      </c>
      <c r="N733" s="12">
        <f t="shared" si="47"/>
        <v>0</v>
      </c>
      <c r="O733" s="13">
        <v>2700</v>
      </c>
      <c r="P733" s="13">
        <v>0</v>
      </c>
      <c r="Q733" s="13">
        <v>2700</v>
      </c>
      <c r="R733" s="14">
        <f t="shared" si="48"/>
        <v>5400</v>
      </c>
      <c r="S733" s="13">
        <f t="shared" si="49"/>
        <v>5500</v>
      </c>
      <c r="T733" s="13">
        <f t="shared" si="50"/>
        <v>5600</v>
      </c>
      <c r="U733" s="13" t="s">
        <v>3974</v>
      </c>
      <c r="V733" s="65" t="s">
        <v>3977</v>
      </c>
    </row>
    <row r="734" spans="1:22" ht="23.25">
      <c r="C734" s="276">
        <v>45916</v>
      </c>
      <c r="F734" s="3" t="s">
        <v>3757</v>
      </c>
      <c r="G734" s="4">
        <v>45689</v>
      </c>
      <c r="H734" s="4">
        <v>45717</v>
      </c>
      <c r="I734" s="4">
        <v>45748</v>
      </c>
      <c r="J734" s="4">
        <v>45778</v>
      </c>
      <c r="K734" s="4">
        <v>45809</v>
      </c>
      <c r="L734" s="4">
        <v>45839</v>
      </c>
      <c r="M734" s="4">
        <v>45870</v>
      </c>
      <c r="N734" s="3" t="s">
        <v>6</v>
      </c>
      <c r="O734" s="4">
        <v>45901</v>
      </c>
      <c r="P734" s="3" t="s">
        <v>7</v>
      </c>
      <c r="Q734" s="3" t="s">
        <v>8</v>
      </c>
      <c r="R734" s="5" t="s">
        <v>9</v>
      </c>
      <c r="S734" s="3" t="s">
        <v>10</v>
      </c>
      <c r="T734" s="3" t="s">
        <v>11</v>
      </c>
      <c r="U734" s="3" t="s">
        <v>12</v>
      </c>
      <c r="V734" s="6" t="s">
        <v>13</v>
      </c>
    </row>
    <row r="735" spans="1:22" ht="30" customHeight="1">
      <c r="A735" s="13">
        <v>27</v>
      </c>
      <c r="B735" s="13">
        <v>6432</v>
      </c>
      <c r="C735" s="9" t="s">
        <v>3978</v>
      </c>
      <c r="D735" s="9" t="s">
        <v>3701</v>
      </c>
      <c r="E735" s="66" t="s">
        <v>1782</v>
      </c>
      <c r="F735" s="13">
        <v>2400</v>
      </c>
      <c r="G735" s="13">
        <v>0</v>
      </c>
      <c r="H735" s="13">
        <v>0</v>
      </c>
      <c r="I735" s="13">
        <v>0</v>
      </c>
      <c r="J735" s="13">
        <v>0</v>
      </c>
      <c r="K735" s="13">
        <v>0</v>
      </c>
      <c r="L735" s="13">
        <v>0</v>
      </c>
      <c r="M735" s="13">
        <v>0</v>
      </c>
      <c r="N735" s="12">
        <f t="shared" ref="N735:N736" si="51">(SUM(G735:M735))</f>
        <v>0</v>
      </c>
      <c r="O735" s="13">
        <v>2400</v>
      </c>
      <c r="P735" s="13">
        <v>0</v>
      </c>
      <c r="Q735" s="13">
        <v>0</v>
      </c>
      <c r="R735" s="14">
        <f t="shared" ref="R735:R736" si="52">(SUM(N735:Q735))</f>
        <v>2400</v>
      </c>
      <c r="S735" s="13">
        <f t="shared" ref="S735:S736" si="53">R735+100</f>
        <v>2500</v>
      </c>
      <c r="T735" s="13">
        <f t="shared" ref="T735:T736" si="54">R735+200</f>
        <v>2600</v>
      </c>
      <c r="U735" s="13" t="s">
        <v>3974</v>
      </c>
      <c r="V735" s="23" t="s">
        <v>543</v>
      </c>
    </row>
    <row r="736" spans="1:22" ht="30" customHeight="1">
      <c r="A736" s="93">
        <v>21</v>
      </c>
      <c r="B736" s="13">
        <v>6469</v>
      </c>
      <c r="C736" s="9" t="s">
        <v>597</v>
      </c>
      <c r="D736" s="9" t="s">
        <v>3830</v>
      </c>
      <c r="E736" s="66" t="s">
        <v>1782</v>
      </c>
      <c r="F736" s="44">
        <v>2500</v>
      </c>
      <c r="G736" s="13">
        <v>0</v>
      </c>
      <c r="H736" s="44">
        <v>0</v>
      </c>
      <c r="I736" s="44">
        <v>0</v>
      </c>
      <c r="J736" s="44">
        <v>800</v>
      </c>
      <c r="K736" s="44">
        <v>2500</v>
      </c>
      <c r="L736" s="44">
        <v>2500</v>
      </c>
      <c r="M736" s="44">
        <v>2500</v>
      </c>
      <c r="N736" s="12">
        <f t="shared" si="51"/>
        <v>8300</v>
      </c>
      <c r="O736" s="44">
        <v>2500</v>
      </c>
      <c r="P736" s="13">
        <v>0</v>
      </c>
      <c r="Q736" s="13">
        <v>3000</v>
      </c>
      <c r="R736" s="14">
        <f t="shared" si="52"/>
        <v>13800</v>
      </c>
      <c r="S736" s="13">
        <f t="shared" si="53"/>
        <v>13900</v>
      </c>
      <c r="T736" s="13">
        <f t="shared" si="54"/>
        <v>14000</v>
      </c>
      <c r="U736" s="13" t="s">
        <v>3974</v>
      </c>
      <c r="V736" s="23" t="s">
        <v>3831</v>
      </c>
    </row>
    <row r="737" spans="1:22" ht="30.75" customHeight="1">
      <c r="A737" s="13">
        <v>37</v>
      </c>
      <c r="B737" s="13">
        <v>6703</v>
      </c>
      <c r="C737" s="9" t="s">
        <v>3979</v>
      </c>
      <c r="D737" s="9" t="s">
        <v>3980</v>
      </c>
      <c r="E737" s="66" t="s">
        <v>1782</v>
      </c>
      <c r="F737" s="13">
        <v>2400</v>
      </c>
      <c r="G737" s="13">
        <v>0</v>
      </c>
      <c r="H737" s="13">
        <v>0</v>
      </c>
      <c r="I737" s="13">
        <v>0</v>
      </c>
      <c r="J737" s="13">
        <v>0</v>
      </c>
      <c r="K737" s="13">
        <v>0</v>
      </c>
      <c r="L737" s="13">
        <v>0</v>
      </c>
      <c r="M737" s="13">
        <v>2400</v>
      </c>
      <c r="N737" s="12">
        <f>(SUM(G737:M737))</f>
        <v>2400</v>
      </c>
      <c r="O737" s="13">
        <v>2400</v>
      </c>
      <c r="P737" s="13">
        <v>0</v>
      </c>
      <c r="Q737" s="13">
        <v>3000</v>
      </c>
      <c r="R737" s="14">
        <f>(SUM(N737:Q737))</f>
        <v>7800</v>
      </c>
      <c r="S737" s="13">
        <f>R737+100</f>
        <v>7900</v>
      </c>
      <c r="T737" s="13">
        <f>R737+200</f>
        <v>8000</v>
      </c>
      <c r="U737" s="13" t="s">
        <v>3974</v>
      </c>
      <c r="V737" s="15" t="s">
        <v>3981</v>
      </c>
    </row>
    <row r="738" spans="1:22" ht="30" customHeight="1">
      <c r="A738" s="13">
        <v>13</v>
      </c>
      <c r="B738" s="13">
        <v>1662</v>
      </c>
      <c r="C738" s="9" t="s">
        <v>3982</v>
      </c>
      <c r="D738" s="9" t="s">
        <v>3983</v>
      </c>
      <c r="E738" s="71" t="s">
        <v>2154</v>
      </c>
      <c r="F738" s="44">
        <v>2700</v>
      </c>
      <c r="G738" s="13">
        <v>0</v>
      </c>
      <c r="H738" s="44">
        <v>0</v>
      </c>
      <c r="I738" s="44">
        <v>0</v>
      </c>
      <c r="J738" s="44">
        <v>0</v>
      </c>
      <c r="K738" s="44">
        <v>0</v>
      </c>
      <c r="L738" s="44">
        <v>0</v>
      </c>
      <c r="M738" s="44">
        <v>0</v>
      </c>
      <c r="N738" s="12">
        <f>(SUM(G738:M738))</f>
        <v>0</v>
      </c>
      <c r="O738" s="44">
        <v>2700</v>
      </c>
      <c r="P738" s="13">
        <v>0</v>
      </c>
      <c r="Q738" s="13">
        <v>0</v>
      </c>
      <c r="R738" s="14">
        <f>(SUM(N738:Q738))</f>
        <v>2700</v>
      </c>
      <c r="S738" s="13">
        <f>R738+100</f>
        <v>2800</v>
      </c>
      <c r="T738" s="13">
        <f>R738+200</f>
        <v>2900</v>
      </c>
      <c r="U738" s="13" t="s">
        <v>3974</v>
      </c>
      <c r="V738" s="24" t="s">
        <v>3984</v>
      </c>
    </row>
    <row r="739" spans="1:22" ht="30" customHeight="1">
      <c r="A739" s="13">
        <v>12</v>
      </c>
      <c r="B739" s="13">
        <v>630</v>
      </c>
      <c r="C739" s="63" t="s">
        <v>3985</v>
      </c>
      <c r="D739" s="63" t="s">
        <v>3830</v>
      </c>
      <c r="E739" s="66" t="s">
        <v>2324</v>
      </c>
      <c r="F739" s="60">
        <v>2700</v>
      </c>
      <c r="G739" s="60">
        <v>0</v>
      </c>
      <c r="H739" s="60">
        <v>0</v>
      </c>
      <c r="I739" s="60">
        <v>0</v>
      </c>
      <c r="J739" s="60">
        <v>0</v>
      </c>
      <c r="K739" s="60">
        <v>0</v>
      </c>
      <c r="L739" s="60">
        <v>0</v>
      </c>
      <c r="M739" s="60">
        <v>2700</v>
      </c>
      <c r="N739" s="12">
        <f>(SUM(G739:M739))</f>
        <v>2700</v>
      </c>
      <c r="O739" s="60">
        <v>2700</v>
      </c>
      <c r="P739" s="60">
        <v>0</v>
      </c>
      <c r="Q739" s="13">
        <v>0</v>
      </c>
      <c r="R739" s="14">
        <f>(SUM(N739:Q739))</f>
        <v>5400</v>
      </c>
      <c r="S739" s="13">
        <f>R739+100</f>
        <v>5500</v>
      </c>
      <c r="T739" s="13">
        <f>R739+200</f>
        <v>5600</v>
      </c>
      <c r="U739" s="13" t="s">
        <v>3974</v>
      </c>
      <c r="V739" s="29" t="s">
        <v>3986</v>
      </c>
    </row>
    <row r="740" spans="1:22" ht="18.75">
      <c r="C740" s="286">
        <v>45922</v>
      </c>
    </row>
    <row r="741" spans="1:22" ht="30" customHeight="1">
      <c r="A741" s="25">
        <v>16</v>
      </c>
      <c r="B741" s="25">
        <v>6116</v>
      </c>
      <c r="C741" s="26" t="s">
        <v>3987</v>
      </c>
      <c r="D741" s="27" t="s">
        <v>41</v>
      </c>
      <c r="E741" s="11" t="s">
        <v>363</v>
      </c>
      <c r="F741" s="30">
        <v>1300</v>
      </c>
      <c r="G741" s="30">
        <v>0</v>
      </c>
      <c r="H741" s="30">
        <v>0</v>
      </c>
      <c r="I741" s="30">
        <v>0</v>
      </c>
      <c r="J741" s="30">
        <v>0</v>
      </c>
      <c r="K741" s="30">
        <v>0</v>
      </c>
      <c r="L741" s="30">
        <v>1300</v>
      </c>
      <c r="M741" s="30">
        <v>1300</v>
      </c>
      <c r="N741" s="12">
        <f t="shared" ref="N741:N746" si="55">(SUM(G741:M741))</f>
        <v>2600</v>
      </c>
      <c r="O741" s="30">
        <v>1300</v>
      </c>
      <c r="P741" s="13">
        <v>0</v>
      </c>
      <c r="Q741" s="13">
        <v>3000</v>
      </c>
      <c r="R741" s="14">
        <f t="shared" ref="R741:R746" si="56">(SUM(N741:Q741))</f>
        <v>6900</v>
      </c>
      <c r="S741" s="13">
        <f t="shared" ref="S741:S746" si="57">R741+100</f>
        <v>7000</v>
      </c>
      <c r="T741" s="13">
        <f t="shared" ref="T741:T746" si="58">R741+200</f>
        <v>7100</v>
      </c>
      <c r="U741" s="13" t="s">
        <v>3974</v>
      </c>
      <c r="V741" s="29" t="s">
        <v>3988</v>
      </c>
    </row>
    <row r="742" spans="1:22" ht="30" customHeight="1">
      <c r="A742" s="74">
        <v>19</v>
      </c>
      <c r="B742" s="13">
        <v>4837</v>
      </c>
      <c r="C742" s="9" t="s">
        <v>3989</v>
      </c>
      <c r="D742" s="9" t="s">
        <v>3990</v>
      </c>
      <c r="E742" s="71" t="s">
        <v>1028</v>
      </c>
      <c r="F742" s="13">
        <v>2300</v>
      </c>
      <c r="G742" s="13">
        <v>0</v>
      </c>
      <c r="H742" s="13">
        <v>0</v>
      </c>
      <c r="I742" s="13">
        <v>0</v>
      </c>
      <c r="J742" s="13">
        <v>0</v>
      </c>
      <c r="K742" s="13">
        <v>0</v>
      </c>
      <c r="L742" s="13">
        <v>2300</v>
      </c>
      <c r="M742" s="13">
        <v>2300</v>
      </c>
      <c r="N742" s="12">
        <f t="shared" si="55"/>
        <v>4600</v>
      </c>
      <c r="O742" s="13">
        <v>2300</v>
      </c>
      <c r="P742" s="13">
        <v>0</v>
      </c>
      <c r="Q742" s="13">
        <v>3000</v>
      </c>
      <c r="R742" s="14">
        <f t="shared" si="56"/>
        <v>9900</v>
      </c>
      <c r="S742" s="13">
        <f t="shared" si="57"/>
        <v>10000</v>
      </c>
      <c r="T742" s="13">
        <f t="shared" si="58"/>
        <v>10100</v>
      </c>
      <c r="U742" s="13" t="s">
        <v>3974</v>
      </c>
      <c r="V742" s="72" t="s">
        <v>3988</v>
      </c>
    </row>
    <row r="743" spans="1:22" ht="30" customHeight="1">
      <c r="A743" s="74">
        <v>23</v>
      </c>
      <c r="B743" s="13">
        <v>5020</v>
      </c>
      <c r="C743" s="9" t="s">
        <v>3991</v>
      </c>
      <c r="D743" s="9" t="s">
        <v>3992</v>
      </c>
      <c r="E743" s="71" t="s">
        <v>1028</v>
      </c>
      <c r="F743" s="13">
        <v>2300</v>
      </c>
      <c r="G743" s="13">
        <v>0</v>
      </c>
      <c r="H743" s="13">
        <v>0</v>
      </c>
      <c r="I743" s="13">
        <v>0</v>
      </c>
      <c r="J743" s="13">
        <v>0</v>
      </c>
      <c r="K743" s="13">
        <v>0</v>
      </c>
      <c r="L743" s="13">
        <v>2300</v>
      </c>
      <c r="M743" s="13">
        <v>2300</v>
      </c>
      <c r="N743" s="12">
        <f t="shared" si="55"/>
        <v>4600</v>
      </c>
      <c r="O743" s="13">
        <v>2300</v>
      </c>
      <c r="P743" s="13">
        <v>0</v>
      </c>
      <c r="Q743" s="13">
        <v>3000</v>
      </c>
      <c r="R743" s="14">
        <f t="shared" si="56"/>
        <v>9900</v>
      </c>
      <c r="S743" s="13">
        <f t="shared" si="57"/>
        <v>10000</v>
      </c>
      <c r="T743" s="13">
        <f t="shared" si="58"/>
        <v>10100</v>
      </c>
      <c r="U743" s="13" t="s">
        <v>3974</v>
      </c>
      <c r="V743" s="72" t="s">
        <v>3993</v>
      </c>
    </row>
    <row r="744" spans="1:22" ht="30" customHeight="1">
      <c r="A744" s="75">
        <v>45</v>
      </c>
      <c r="B744" s="13">
        <v>6700</v>
      </c>
      <c r="C744" s="9" t="s">
        <v>3994</v>
      </c>
      <c r="D744" s="9" t="s">
        <v>3980</v>
      </c>
      <c r="E744" s="71" t="s">
        <v>1028</v>
      </c>
      <c r="F744" s="13">
        <v>2300</v>
      </c>
      <c r="G744" s="13">
        <v>0</v>
      </c>
      <c r="H744" s="13">
        <v>0</v>
      </c>
      <c r="I744" s="13">
        <v>0</v>
      </c>
      <c r="J744" s="13">
        <v>0</v>
      </c>
      <c r="K744" s="13">
        <v>0</v>
      </c>
      <c r="L744" s="13">
        <v>0</v>
      </c>
      <c r="M744" s="13">
        <v>2300</v>
      </c>
      <c r="N744" s="12">
        <f t="shared" si="55"/>
        <v>2300</v>
      </c>
      <c r="O744" s="13">
        <v>2300</v>
      </c>
      <c r="P744" s="13">
        <v>0</v>
      </c>
      <c r="Q744" s="13">
        <v>3000</v>
      </c>
      <c r="R744" s="14">
        <f t="shared" si="56"/>
        <v>7600</v>
      </c>
      <c r="S744" s="13">
        <f t="shared" si="57"/>
        <v>7700</v>
      </c>
      <c r="T744" s="13">
        <f t="shared" si="58"/>
        <v>7800</v>
      </c>
      <c r="U744" s="13" t="s">
        <v>3974</v>
      </c>
      <c r="V744" s="72" t="s">
        <v>3981</v>
      </c>
    </row>
    <row r="745" spans="1:22" ht="30" customHeight="1">
      <c r="A745" s="74">
        <v>14</v>
      </c>
      <c r="B745" s="13">
        <v>4838</v>
      </c>
      <c r="C745" s="9" t="s">
        <v>1427</v>
      </c>
      <c r="D745" s="82" t="s">
        <v>3995</v>
      </c>
      <c r="E745" s="66" t="s">
        <v>1203</v>
      </c>
      <c r="F745" s="13">
        <v>2300</v>
      </c>
      <c r="G745" s="13">
        <v>0</v>
      </c>
      <c r="H745" s="13">
        <v>0</v>
      </c>
      <c r="I745" s="13">
        <v>0</v>
      </c>
      <c r="J745" s="13">
        <v>0</v>
      </c>
      <c r="K745" s="13">
        <v>0</v>
      </c>
      <c r="L745" s="13">
        <v>2300</v>
      </c>
      <c r="M745" s="13">
        <v>2300</v>
      </c>
      <c r="N745" s="12">
        <f t="shared" si="55"/>
        <v>4600</v>
      </c>
      <c r="O745" s="13">
        <v>2300</v>
      </c>
      <c r="P745" s="13">
        <v>0</v>
      </c>
      <c r="Q745" s="13">
        <v>3000</v>
      </c>
      <c r="R745" s="14">
        <f t="shared" si="56"/>
        <v>9900</v>
      </c>
      <c r="S745" s="13">
        <f t="shared" si="57"/>
        <v>10000</v>
      </c>
      <c r="T745" s="13">
        <f t="shared" si="58"/>
        <v>10100</v>
      </c>
      <c r="U745" s="13" t="s">
        <v>3974</v>
      </c>
      <c r="V745" s="15" t="s">
        <v>3996</v>
      </c>
    </row>
    <row r="746" spans="1:22" ht="30" customHeight="1">
      <c r="A746" s="42">
        <v>25</v>
      </c>
      <c r="B746" s="13">
        <v>6701</v>
      </c>
      <c r="C746" s="9" t="s">
        <v>3997</v>
      </c>
      <c r="D746" s="9" t="s">
        <v>3980</v>
      </c>
      <c r="E746" s="66" t="s">
        <v>1501</v>
      </c>
      <c r="F746" s="44">
        <v>2400</v>
      </c>
      <c r="G746" s="13">
        <v>0</v>
      </c>
      <c r="H746" s="44">
        <v>0</v>
      </c>
      <c r="I746" s="44">
        <v>0</v>
      </c>
      <c r="J746" s="44">
        <v>0</v>
      </c>
      <c r="K746" s="44">
        <v>0</v>
      </c>
      <c r="L746" s="44">
        <v>0</v>
      </c>
      <c r="M746" s="44">
        <v>2400</v>
      </c>
      <c r="N746" s="12">
        <f t="shared" si="55"/>
        <v>2400</v>
      </c>
      <c r="O746" s="44">
        <v>2400</v>
      </c>
      <c r="P746" s="13">
        <v>0</v>
      </c>
      <c r="Q746" s="13">
        <v>3000</v>
      </c>
      <c r="R746" s="14">
        <f t="shared" si="56"/>
        <v>7800</v>
      </c>
      <c r="S746" s="13">
        <f t="shared" si="57"/>
        <v>7900</v>
      </c>
      <c r="T746" s="13">
        <f t="shared" si="58"/>
        <v>8000</v>
      </c>
      <c r="U746" s="13" t="s">
        <v>3974</v>
      </c>
      <c r="V746" s="23" t="s">
        <v>3981</v>
      </c>
    </row>
    <row r="747" spans="1:22" ht="30" customHeight="1">
      <c r="A747" s="277"/>
      <c r="B747" s="8"/>
      <c r="C747" s="278">
        <v>45923</v>
      </c>
      <c r="D747" s="10"/>
      <c r="E747" s="279"/>
      <c r="F747" s="280"/>
      <c r="G747" s="8"/>
      <c r="H747" s="280"/>
      <c r="I747" s="280"/>
      <c r="J747" s="280"/>
      <c r="K747" s="280"/>
      <c r="L747" s="280"/>
      <c r="M747" s="280"/>
      <c r="N747" s="96"/>
      <c r="O747" s="280"/>
      <c r="P747" s="8"/>
      <c r="Q747" s="8"/>
      <c r="R747" s="281"/>
      <c r="S747" s="8"/>
      <c r="T747" s="8"/>
      <c r="U747" s="8"/>
      <c r="V747" s="23"/>
    </row>
    <row r="748" spans="1:22" ht="17.25">
      <c r="B748" s="1" t="s">
        <v>1</v>
      </c>
      <c r="C748" s="1" t="s">
        <v>2</v>
      </c>
      <c r="D748" s="1" t="s">
        <v>3</v>
      </c>
      <c r="E748" s="2" t="s">
        <v>4</v>
      </c>
      <c r="F748" s="3" t="s">
        <v>3757</v>
      </c>
      <c r="G748" s="4">
        <v>45689</v>
      </c>
      <c r="H748" s="4">
        <v>45717</v>
      </c>
      <c r="I748" s="4">
        <v>45748</v>
      </c>
      <c r="J748" s="4">
        <v>45778</v>
      </c>
      <c r="K748" s="4">
        <v>45809</v>
      </c>
      <c r="L748" s="4">
        <v>45839</v>
      </c>
      <c r="M748" s="4">
        <v>45870</v>
      </c>
      <c r="N748" s="3" t="s">
        <v>6</v>
      </c>
      <c r="O748" s="4">
        <v>45901</v>
      </c>
      <c r="P748" s="3" t="s">
        <v>7</v>
      </c>
      <c r="Q748" s="3" t="s">
        <v>8</v>
      </c>
      <c r="R748" s="5" t="s">
        <v>9</v>
      </c>
      <c r="S748" s="3" t="s">
        <v>10</v>
      </c>
      <c r="T748" s="3" t="s">
        <v>11</v>
      </c>
      <c r="U748" s="3" t="s">
        <v>12</v>
      </c>
      <c r="V748" s="6" t="s">
        <v>13</v>
      </c>
    </row>
    <row r="749" spans="1:22" ht="30" customHeight="1">
      <c r="A749" s="42">
        <v>35</v>
      </c>
      <c r="B749" s="13">
        <v>6687</v>
      </c>
      <c r="C749" s="9" t="s">
        <v>3998</v>
      </c>
      <c r="D749" s="9" t="s">
        <v>3999</v>
      </c>
      <c r="E749" s="66" t="s">
        <v>1407</v>
      </c>
      <c r="F749" s="13">
        <v>2300</v>
      </c>
      <c r="G749" s="13">
        <v>0</v>
      </c>
      <c r="H749" s="13">
        <v>0</v>
      </c>
      <c r="I749" s="13">
        <v>2300</v>
      </c>
      <c r="J749" s="13">
        <v>2300</v>
      </c>
      <c r="K749" s="13">
        <v>2300</v>
      </c>
      <c r="L749" s="13">
        <v>2300</v>
      </c>
      <c r="M749" s="13">
        <v>2300</v>
      </c>
      <c r="N749" s="12">
        <f>(SUM(G749:M749))</f>
        <v>11500</v>
      </c>
      <c r="O749" s="13">
        <v>2300</v>
      </c>
      <c r="P749" s="13">
        <v>0</v>
      </c>
      <c r="Q749" s="13">
        <v>0</v>
      </c>
      <c r="R749" s="14">
        <f>(SUM(N749:Q749))</f>
        <v>13800</v>
      </c>
      <c r="S749" s="13">
        <f>R749+100</f>
        <v>13900</v>
      </c>
      <c r="T749" s="13">
        <f>R749+200</f>
        <v>14000</v>
      </c>
      <c r="U749" s="13" t="s">
        <v>3974</v>
      </c>
      <c r="V749" s="72" t="s">
        <v>4000</v>
      </c>
    </row>
    <row r="750" spans="1:22" ht="30" customHeight="1">
      <c r="A750" s="75">
        <v>21</v>
      </c>
      <c r="B750" s="13">
        <v>4766</v>
      </c>
      <c r="C750" s="9" t="s">
        <v>722</v>
      </c>
      <c r="D750" s="9" t="s">
        <v>4001</v>
      </c>
      <c r="E750" s="71" t="s">
        <v>1602</v>
      </c>
      <c r="F750" s="44">
        <v>1800</v>
      </c>
      <c r="G750" s="13">
        <v>0</v>
      </c>
      <c r="H750" s="44">
        <v>0</v>
      </c>
      <c r="I750" s="44">
        <v>0</v>
      </c>
      <c r="J750" s="44">
        <v>0</v>
      </c>
      <c r="K750" s="44">
        <v>0</v>
      </c>
      <c r="L750" s="44">
        <v>1800</v>
      </c>
      <c r="M750" s="44">
        <v>1800</v>
      </c>
      <c r="N750" s="12">
        <f>(SUM(G750:M750))</f>
        <v>3600</v>
      </c>
      <c r="O750" s="44">
        <v>1800</v>
      </c>
      <c r="P750" s="13">
        <v>0</v>
      </c>
      <c r="Q750" s="13">
        <v>2000</v>
      </c>
      <c r="R750" s="14">
        <f>(SUM(N750:Q750))</f>
        <v>7400</v>
      </c>
      <c r="S750" s="13">
        <f>R750+100</f>
        <v>7500</v>
      </c>
      <c r="T750" s="13">
        <f>R750+200</f>
        <v>7600</v>
      </c>
      <c r="U750" s="13" t="s">
        <v>3974</v>
      </c>
      <c r="V750" s="72" t="s">
        <v>3769</v>
      </c>
    </row>
    <row r="751" spans="1:22" ht="30" customHeight="1">
      <c r="A751" s="93">
        <v>12</v>
      </c>
      <c r="B751" s="13">
        <v>6051</v>
      </c>
      <c r="C751" s="9" t="s">
        <v>4002</v>
      </c>
      <c r="D751" s="9" t="s">
        <v>1458</v>
      </c>
      <c r="E751" s="66" t="s">
        <v>1940</v>
      </c>
      <c r="F751" s="44">
        <v>2400</v>
      </c>
      <c r="G751" s="13">
        <v>0</v>
      </c>
      <c r="H751" s="44">
        <v>0</v>
      </c>
      <c r="I751" s="44">
        <v>0</v>
      </c>
      <c r="J751" s="44">
        <v>0</v>
      </c>
      <c r="K751" s="44">
        <v>0</v>
      </c>
      <c r="L751" s="44">
        <v>0</v>
      </c>
      <c r="M751" s="44">
        <v>0</v>
      </c>
      <c r="N751" s="12">
        <f>(SUM(G751:M751))</f>
        <v>0</v>
      </c>
      <c r="O751" s="44">
        <v>2400</v>
      </c>
      <c r="P751" s="13">
        <v>0</v>
      </c>
      <c r="Q751" s="13">
        <v>3000</v>
      </c>
      <c r="R751" s="14">
        <f>(SUM(N751:Q751))</f>
        <v>5400</v>
      </c>
      <c r="S751" s="13">
        <f>R751+100</f>
        <v>5500</v>
      </c>
      <c r="T751" s="13">
        <f>R751+200</f>
        <v>5600</v>
      </c>
      <c r="U751" s="13" t="s">
        <v>3974</v>
      </c>
      <c r="V751" s="72" t="s">
        <v>4003</v>
      </c>
    </row>
    <row r="752" spans="1:22" ht="30" customHeight="1">
      <c r="A752" s="179"/>
      <c r="B752" s="8"/>
      <c r="C752" s="282">
        <v>45925</v>
      </c>
      <c r="D752" s="10"/>
      <c r="E752" s="279"/>
      <c r="F752" s="280"/>
      <c r="G752" s="8"/>
      <c r="H752" s="280"/>
      <c r="I752" s="280"/>
      <c r="J752" s="280"/>
      <c r="K752" s="280"/>
      <c r="L752" s="280"/>
      <c r="M752" s="280"/>
      <c r="N752" s="96"/>
      <c r="O752" s="280"/>
      <c r="P752" s="8"/>
      <c r="Q752" s="8"/>
      <c r="R752" s="281"/>
      <c r="S752" s="8"/>
      <c r="T752" s="8"/>
      <c r="U752" s="8"/>
      <c r="V752" s="72"/>
    </row>
    <row r="753" spans="1:23" ht="17.25">
      <c r="A753" s="1" t="s">
        <v>0</v>
      </c>
      <c r="B753" s="1" t="s">
        <v>1</v>
      </c>
      <c r="C753" s="1" t="s">
        <v>2</v>
      </c>
      <c r="D753" s="1" t="s">
        <v>3</v>
      </c>
      <c r="E753" s="2" t="s">
        <v>4</v>
      </c>
      <c r="F753" s="3" t="s">
        <v>3757</v>
      </c>
      <c r="G753" s="4">
        <v>45689</v>
      </c>
      <c r="H753" s="4">
        <v>45717</v>
      </c>
      <c r="I753" s="4">
        <v>45748</v>
      </c>
      <c r="J753" s="4">
        <v>45778</v>
      </c>
      <c r="K753" s="4">
        <v>45809</v>
      </c>
      <c r="L753" s="4">
        <v>45839</v>
      </c>
      <c r="M753" s="4">
        <v>45870</v>
      </c>
      <c r="N753" s="3" t="s">
        <v>6</v>
      </c>
      <c r="O753" s="4">
        <v>45901</v>
      </c>
      <c r="P753" s="3" t="s">
        <v>7</v>
      </c>
      <c r="Q753" s="3" t="s">
        <v>8</v>
      </c>
      <c r="R753" s="5" t="s">
        <v>9</v>
      </c>
      <c r="S753" s="3" t="s">
        <v>10</v>
      </c>
      <c r="T753" s="3" t="s">
        <v>11</v>
      </c>
      <c r="U753" s="3" t="s">
        <v>12</v>
      </c>
      <c r="V753" s="6" t="s">
        <v>13</v>
      </c>
    </row>
    <row r="754" spans="1:23" ht="30" customHeight="1">
      <c r="A754" s="74">
        <v>28</v>
      </c>
      <c r="B754" s="19">
        <v>6547</v>
      </c>
      <c r="C754" s="21" t="s">
        <v>4004</v>
      </c>
      <c r="D754" s="50" t="s">
        <v>4005</v>
      </c>
      <c r="E754" s="66" t="s">
        <v>1203</v>
      </c>
      <c r="F754" s="12">
        <v>2300</v>
      </c>
      <c r="G754" s="12">
        <v>0</v>
      </c>
      <c r="H754" s="12">
        <v>0</v>
      </c>
      <c r="I754" s="12">
        <v>0</v>
      </c>
      <c r="J754" s="12">
        <v>0</v>
      </c>
      <c r="K754" s="12">
        <v>2300</v>
      </c>
      <c r="L754" s="12">
        <v>2300</v>
      </c>
      <c r="M754" s="12">
        <v>2300</v>
      </c>
      <c r="N754" s="12">
        <f>(SUM(G754:M754))</f>
        <v>6900</v>
      </c>
      <c r="O754" s="12">
        <v>2300</v>
      </c>
      <c r="P754" s="13">
        <v>0</v>
      </c>
      <c r="Q754" s="13">
        <v>3000</v>
      </c>
      <c r="R754" s="14">
        <f>(SUM(N754:Q754))</f>
        <v>12200</v>
      </c>
      <c r="S754" s="13">
        <f>R754+100</f>
        <v>12300</v>
      </c>
      <c r="T754" s="13">
        <f>R754+200</f>
        <v>12400</v>
      </c>
      <c r="U754" s="13" t="s">
        <v>3974</v>
      </c>
      <c r="V754" s="51" t="s">
        <v>4006</v>
      </c>
    </row>
    <row r="755" spans="1:23" ht="30" customHeight="1">
      <c r="A755" s="93">
        <v>34</v>
      </c>
      <c r="B755" s="13">
        <v>6756</v>
      </c>
      <c r="C755" s="9" t="s">
        <v>4007</v>
      </c>
      <c r="D755" s="9" t="s">
        <v>4008</v>
      </c>
      <c r="E755" s="66" t="s">
        <v>1689</v>
      </c>
      <c r="F755" s="13">
        <v>2400</v>
      </c>
      <c r="G755" s="13">
        <v>0</v>
      </c>
      <c r="H755" s="13">
        <v>0</v>
      </c>
      <c r="I755" s="13">
        <v>0</v>
      </c>
      <c r="J755" s="13">
        <v>0</v>
      </c>
      <c r="K755" s="13">
        <v>0</v>
      </c>
      <c r="L755" s="13">
        <v>2400</v>
      </c>
      <c r="M755" s="13">
        <v>2400</v>
      </c>
      <c r="N755" s="12">
        <f>(SUM(G755:M755))</f>
        <v>4800</v>
      </c>
      <c r="O755" s="13">
        <v>2400</v>
      </c>
      <c r="P755" s="13">
        <v>0</v>
      </c>
      <c r="Q755" s="13">
        <v>3000</v>
      </c>
      <c r="R755" s="14">
        <f>(SUM(N755:Q755))</f>
        <v>10200</v>
      </c>
      <c r="S755" s="13">
        <f>R755+100</f>
        <v>10300</v>
      </c>
      <c r="T755" s="13">
        <f>R755+200</f>
        <v>10400</v>
      </c>
      <c r="U755" s="13" t="s">
        <v>3974</v>
      </c>
      <c r="V755" s="23" t="s">
        <v>4009</v>
      </c>
      <c r="W755" t="s">
        <v>423</v>
      </c>
    </row>
    <row r="756" spans="1:23" ht="18">
      <c r="C756" s="282">
        <v>45938</v>
      </c>
    </row>
    <row r="757" spans="1:23" ht="30" customHeight="1">
      <c r="A757" s="13">
        <v>35</v>
      </c>
      <c r="B757" s="19">
        <v>6792</v>
      </c>
      <c r="C757" s="21" t="s">
        <v>4010</v>
      </c>
      <c r="D757" s="50" t="s">
        <v>751</v>
      </c>
      <c r="E757" s="53" t="s">
        <v>793</v>
      </c>
      <c r="F757" s="12">
        <v>2500</v>
      </c>
      <c r="G757" s="12">
        <v>0</v>
      </c>
      <c r="H757" s="12">
        <v>0</v>
      </c>
      <c r="I757" s="12">
        <v>0</v>
      </c>
      <c r="J757" s="12">
        <v>0</v>
      </c>
      <c r="K757" s="12">
        <v>0</v>
      </c>
      <c r="L757" s="12">
        <v>0</v>
      </c>
      <c r="M757" s="12">
        <v>0</v>
      </c>
      <c r="N757" s="12">
        <f t="shared" ref="N757:N765" si="59">(SUM(G757:M757))</f>
        <v>0</v>
      </c>
      <c r="O757" s="12">
        <v>2500</v>
      </c>
      <c r="P757" s="13">
        <v>0</v>
      </c>
      <c r="Q757" s="13">
        <v>0</v>
      </c>
      <c r="R757" s="14">
        <f t="shared" ref="R757:R765" si="60">(SUM(N757:Q757))</f>
        <v>2500</v>
      </c>
      <c r="S757" s="13">
        <f t="shared" ref="S757:S765" si="61">R757+100</f>
        <v>2600</v>
      </c>
      <c r="T757" s="13">
        <f t="shared" ref="T757:T765" si="62">R757+200</f>
        <v>2700</v>
      </c>
      <c r="U757" s="13" t="s">
        <v>17</v>
      </c>
      <c r="V757" s="51" t="s">
        <v>4011</v>
      </c>
      <c r="W757" t="s">
        <v>4012</v>
      </c>
    </row>
    <row r="758" spans="1:23" ht="30" customHeight="1">
      <c r="A758" s="25">
        <v>28</v>
      </c>
      <c r="B758" s="19">
        <v>6740</v>
      </c>
      <c r="C758" s="20" t="s">
        <v>162</v>
      </c>
      <c r="D758" s="21" t="s">
        <v>1685</v>
      </c>
      <c r="E758" s="11" t="s">
        <v>363</v>
      </c>
      <c r="F758" s="22">
        <v>2000</v>
      </c>
      <c r="G758" s="22">
        <v>0</v>
      </c>
      <c r="H758" s="22">
        <v>0</v>
      </c>
      <c r="I758" s="22">
        <v>0</v>
      </c>
      <c r="J758" s="22">
        <v>1800</v>
      </c>
      <c r="K758" s="22">
        <v>1800</v>
      </c>
      <c r="L758" s="22">
        <v>1800</v>
      </c>
      <c r="M758" s="22">
        <v>1800</v>
      </c>
      <c r="N758" s="12">
        <f t="shared" si="59"/>
        <v>7200</v>
      </c>
      <c r="O758" s="22">
        <v>2000</v>
      </c>
      <c r="P758" s="13">
        <v>0</v>
      </c>
      <c r="Q758" s="13">
        <v>3000</v>
      </c>
      <c r="R758" s="14">
        <f t="shared" si="60"/>
        <v>12200</v>
      </c>
      <c r="S758" s="13">
        <f t="shared" si="61"/>
        <v>12300</v>
      </c>
      <c r="T758" s="13">
        <f t="shared" si="62"/>
        <v>12400</v>
      </c>
      <c r="U758" s="13" t="s">
        <v>17</v>
      </c>
      <c r="V758" s="23" t="s">
        <v>4013</v>
      </c>
      <c r="W758" t="s">
        <v>423</v>
      </c>
    </row>
    <row r="759" spans="1:23" s="17" customFormat="1" ht="30" customHeight="1">
      <c r="A759" s="1">
        <v>33</v>
      </c>
      <c r="B759" s="13">
        <v>6693</v>
      </c>
      <c r="C759" s="9" t="s">
        <v>4014</v>
      </c>
      <c r="D759" s="10" t="s">
        <v>3980</v>
      </c>
      <c r="E759" s="11" t="s">
        <v>147</v>
      </c>
      <c r="F759" s="13">
        <v>200</v>
      </c>
      <c r="G759" s="13">
        <v>0</v>
      </c>
      <c r="H759" s="13">
        <v>0</v>
      </c>
      <c r="I759" s="13">
        <v>0</v>
      </c>
      <c r="J759" s="13">
        <v>0</v>
      </c>
      <c r="K759" s="13">
        <v>0</v>
      </c>
      <c r="L759" s="13">
        <v>0</v>
      </c>
      <c r="M759" s="13">
        <v>0</v>
      </c>
      <c r="N759" s="12">
        <f t="shared" si="59"/>
        <v>0</v>
      </c>
      <c r="O759" s="13">
        <v>200</v>
      </c>
      <c r="P759" s="13">
        <v>0</v>
      </c>
      <c r="Q759" s="13">
        <v>3000</v>
      </c>
      <c r="R759" s="14">
        <f t="shared" si="60"/>
        <v>3200</v>
      </c>
      <c r="S759" s="13">
        <f t="shared" si="61"/>
        <v>3300</v>
      </c>
      <c r="T759" s="13">
        <f t="shared" si="62"/>
        <v>3400</v>
      </c>
      <c r="U759" s="13" t="s">
        <v>17</v>
      </c>
      <c r="V759" s="15" t="s">
        <v>3981</v>
      </c>
    </row>
    <row r="760" spans="1:23" s="17" customFormat="1" ht="30" customHeight="1">
      <c r="A760" s="1">
        <v>33</v>
      </c>
      <c r="B760" s="13">
        <v>6747</v>
      </c>
      <c r="C760" s="9" t="s">
        <v>3809</v>
      </c>
      <c r="D760" s="10" t="s">
        <v>4015</v>
      </c>
      <c r="E760" s="11" t="s">
        <v>255</v>
      </c>
      <c r="F760" s="13">
        <v>2400</v>
      </c>
      <c r="G760" s="13">
        <v>0</v>
      </c>
      <c r="H760" s="13">
        <v>0</v>
      </c>
      <c r="I760" s="13">
        <v>0</v>
      </c>
      <c r="J760" s="13">
        <v>0</v>
      </c>
      <c r="K760" s="13">
        <v>0</v>
      </c>
      <c r="L760" s="13">
        <v>0</v>
      </c>
      <c r="M760" s="13">
        <v>2200</v>
      </c>
      <c r="N760" s="12">
        <f t="shared" si="59"/>
        <v>2200</v>
      </c>
      <c r="O760" s="13">
        <v>2400</v>
      </c>
      <c r="P760" s="13">
        <v>0</v>
      </c>
      <c r="Q760" s="13">
        <v>0</v>
      </c>
      <c r="R760" s="14">
        <f t="shared" si="60"/>
        <v>4600</v>
      </c>
      <c r="S760" s="13">
        <f t="shared" si="61"/>
        <v>4700</v>
      </c>
      <c r="T760" s="13">
        <f t="shared" si="62"/>
        <v>4800</v>
      </c>
      <c r="U760" s="13" t="s">
        <v>17</v>
      </c>
      <c r="V760" s="24" t="s">
        <v>4016</v>
      </c>
      <c r="W760" s="17" t="s">
        <v>78</v>
      </c>
    </row>
    <row r="761" spans="1:23" s="17" customFormat="1" ht="30" customHeight="1">
      <c r="A761" s="1">
        <v>34</v>
      </c>
      <c r="B761" s="13">
        <v>6748</v>
      </c>
      <c r="C761" s="9" t="s">
        <v>4017</v>
      </c>
      <c r="D761" s="10" t="s">
        <v>4015</v>
      </c>
      <c r="E761" s="11" t="s">
        <v>255</v>
      </c>
      <c r="F761" s="13">
        <v>2400</v>
      </c>
      <c r="G761" s="13">
        <v>0</v>
      </c>
      <c r="H761" s="13">
        <v>0</v>
      </c>
      <c r="I761" s="13">
        <v>0</v>
      </c>
      <c r="J761" s="13">
        <v>0</v>
      </c>
      <c r="K761" s="13">
        <v>0</v>
      </c>
      <c r="L761" s="13">
        <v>0</v>
      </c>
      <c r="M761" s="13">
        <v>2200</v>
      </c>
      <c r="N761" s="12">
        <f t="shared" si="59"/>
        <v>2200</v>
      </c>
      <c r="O761" s="13">
        <v>2400</v>
      </c>
      <c r="P761" s="13">
        <v>0</v>
      </c>
      <c r="Q761" s="13">
        <v>0</v>
      </c>
      <c r="R761" s="14">
        <f t="shared" si="60"/>
        <v>4600</v>
      </c>
      <c r="S761" s="13">
        <f t="shared" si="61"/>
        <v>4700</v>
      </c>
      <c r="T761" s="13">
        <f t="shared" si="62"/>
        <v>4800</v>
      </c>
      <c r="U761" s="13" t="s">
        <v>17</v>
      </c>
      <c r="V761" s="24" t="s">
        <v>4016</v>
      </c>
      <c r="W761" s="17" t="s">
        <v>78</v>
      </c>
    </row>
    <row r="762" spans="1:23" ht="30" customHeight="1">
      <c r="A762" s="1">
        <v>32</v>
      </c>
      <c r="B762" s="8">
        <v>6773</v>
      </c>
      <c r="C762" s="9" t="s">
        <v>4018</v>
      </c>
      <c r="D762" s="10" t="s">
        <v>4019</v>
      </c>
      <c r="E762" s="11" t="s">
        <v>16</v>
      </c>
      <c r="F762" s="8">
        <v>2200</v>
      </c>
      <c r="G762" s="8">
        <v>0</v>
      </c>
      <c r="H762" s="8">
        <v>0</v>
      </c>
      <c r="I762" s="8">
        <v>0</v>
      </c>
      <c r="J762" s="8">
        <v>2000</v>
      </c>
      <c r="K762" s="8">
        <v>2200</v>
      </c>
      <c r="L762" s="8">
        <v>2000</v>
      </c>
      <c r="M762" s="8">
        <v>2000</v>
      </c>
      <c r="N762" s="12">
        <f t="shared" si="59"/>
        <v>8200</v>
      </c>
      <c r="O762" s="8">
        <v>2200</v>
      </c>
      <c r="P762" s="13">
        <v>0</v>
      </c>
      <c r="Q762" s="13">
        <v>3000</v>
      </c>
      <c r="R762" s="14">
        <f t="shared" si="60"/>
        <v>13400</v>
      </c>
      <c r="S762" s="13">
        <f t="shared" si="61"/>
        <v>13500</v>
      </c>
      <c r="T762" s="13">
        <f t="shared" si="62"/>
        <v>13600</v>
      </c>
      <c r="U762" s="13" t="s">
        <v>17</v>
      </c>
      <c r="V762" s="15" t="s">
        <v>4020</v>
      </c>
      <c r="W762" t="s">
        <v>4021</v>
      </c>
    </row>
    <row r="763" spans="1:23" s="17" customFormat="1" ht="30" customHeight="1">
      <c r="A763" s="1">
        <v>26</v>
      </c>
      <c r="B763" s="13">
        <v>6735</v>
      </c>
      <c r="C763" s="9" t="s">
        <v>4022</v>
      </c>
      <c r="D763" s="10" t="s">
        <v>985</v>
      </c>
      <c r="E763" s="11" t="s">
        <v>16</v>
      </c>
      <c r="F763" s="13">
        <v>1700</v>
      </c>
      <c r="G763" s="13">
        <v>0</v>
      </c>
      <c r="H763" s="13">
        <v>0</v>
      </c>
      <c r="I763" s="13">
        <v>0</v>
      </c>
      <c r="J763" s="13">
        <v>1500</v>
      </c>
      <c r="K763" s="13">
        <v>1500</v>
      </c>
      <c r="L763" s="13">
        <v>1500</v>
      </c>
      <c r="M763" s="13">
        <v>1500</v>
      </c>
      <c r="N763" s="12">
        <f t="shared" si="59"/>
        <v>6000</v>
      </c>
      <c r="O763" s="13">
        <v>1700</v>
      </c>
      <c r="P763" s="13">
        <v>0</v>
      </c>
      <c r="Q763" s="13">
        <v>0</v>
      </c>
      <c r="R763" s="14">
        <f t="shared" si="60"/>
        <v>7700</v>
      </c>
      <c r="S763" s="13">
        <f t="shared" si="61"/>
        <v>7800</v>
      </c>
      <c r="T763" s="13">
        <f t="shared" si="62"/>
        <v>7900</v>
      </c>
      <c r="U763" s="13" t="s">
        <v>17</v>
      </c>
      <c r="V763" s="15" t="s">
        <v>4023</v>
      </c>
      <c r="W763" s="17" t="s">
        <v>78</v>
      </c>
    </row>
    <row r="764" spans="1:23" s="17" customFormat="1" ht="30" customHeight="1">
      <c r="A764" s="25">
        <v>29</v>
      </c>
      <c r="B764" s="13">
        <v>6788</v>
      </c>
      <c r="C764" s="9" t="s">
        <v>166</v>
      </c>
      <c r="D764" s="9" t="s">
        <v>751</v>
      </c>
      <c r="E764" s="11" t="s">
        <v>432</v>
      </c>
      <c r="F764" s="13">
        <v>2400</v>
      </c>
      <c r="G764" s="13">
        <v>0</v>
      </c>
      <c r="H764" s="13">
        <v>0</v>
      </c>
      <c r="I764" s="13">
        <v>0</v>
      </c>
      <c r="J764" s="13">
        <v>0</v>
      </c>
      <c r="K764" s="13">
        <v>0</v>
      </c>
      <c r="L764" s="13">
        <v>0</v>
      </c>
      <c r="M764" s="13">
        <v>0</v>
      </c>
      <c r="N764" s="12">
        <f t="shared" si="59"/>
        <v>0</v>
      </c>
      <c r="O764" s="13">
        <v>2400</v>
      </c>
      <c r="P764" s="13">
        <v>0</v>
      </c>
      <c r="Q764" s="13">
        <v>0</v>
      </c>
      <c r="R764" s="14">
        <f t="shared" si="60"/>
        <v>2400</v>
      </c>
      <c r="S764" s="13">
        <f t="shared" si="61"/>
        <v>2500</v>
      </c>
      <c r="T764" s="13">
        <f t="shared" si="62"/>
        <v>2600</v>
      </c>
      <c r="U764" s="13" t="s">
        <v>17</v>
      </c>
      <c r="V764" s="15" t="s">
        <v>4024</v>
      </c>
      <c r="W764" s="17" t="s">
        <v>500</v>
      </c>
    </row>
    <row r="765" spans="1:23" ht="30" customHeight="1">
      <c r="A765" s="1">
        <v>18</v>
      </c>
      <c r="B765" s="13">
        <v>6371</v>
      </c>
      <c r="C765" s="31" t="s">
        <v>4025</v>
      </c>
      <c r="D765" s="9" t="s">
        <v>4026</v>
      </c>
      <c r="E765" s="11" t="s">
        <v>147</v>
      </c>
      <c r="F765" s="180">
        <v>1400</v>
      </c>
      <c r="G765" s="180">
        <v>0</v>
      </c>
      <c r="H765" s="180">
        <v>0</v>
      </c>
      <c r="I765" s="180">
        <v>0</v>
      </c>
      <c r="J765" s="180">
        <v>0</v>
      </c>
      <c r="K765" s="180">
        <v>0</v>
      </c>
      <c r="L765" s="180">
        <v>0</v>
      </c>
      <c r="M765" s="180">
        <v>400</v>
      </c>
      <c r="N765" s="12">
        <f t="shared" si="59"/>
        <v>400</v>
      </c>
      <c r="O765" s="180">
        <v>1400</v>
      </c>
      <c r="P765" s="13">
        <v>0</v>
      </c>
      <c r="Q765" s="13">
        <v>3000</v>
      </c>
      <c r="R765" s="14">
        <f t="shared" si="60"/>
        <v>4800</v>
      </c>
      <c r="S765" s="13">
        <f t="shared" si="61"/>
        <v>4900</v>
      </c>
      <c r="T765" s="13">
        <f t="shared" si="62"/>
        <v>5000</v>
      </c>
      <c r="U765" s="13" t="s">
        <v>17</v>
      </c>
      <c r="V765" s="37" t="s">
        <v>4027</v>
      </c>
    </row>
    <row r="766" spans="1:23" ht="18">
      <c r="C766" s="282">
        <v>45940</v>
      </c>
    </row>
    <row r="767" spans="1:23" ht="30" customHeight="1">
      <c r="A767" s="75">
        <v>28</v>
      </c>
      <c r="B767" s="13">
        <v>6293</v>
      </c>
      <c r="C767" s="9" t="s">
        <v>1032</v>
      </c>
      <c r="D767" s="9" t="s">
        <v>4028</v>
      </c>
      <c r="E767" s="71" t="s">
        <v>1028</v>
      </c>
      <c r="F767" s="13">
        <v>2500</v>
      </c>
      <c r="G767" s="13">
        <v>0</v>
      </c>
      <c r="H767" s="13">
        <v>0</v>
      </c>
      <c r="I767" s="13">
        <v>0</v>
      </c>
      <c r="J767" s="13">
        <v>0</v>
      </c>
      <c r="K767" s="13">
        <v>0</v>
      </c>
      <c r="L767" s="13">
        <v>2300</v>
      </c>
      <c r="M767" s="13">
        <v>2300</v>
      </c>
      <c r="N767" s="12">
        <f t="shared" ref="N767:N774" si="63">(SUM(G767:M767))</f>
        <v>4600</v>
      </c>
      <c r="O767" s="13">
        <v>2500</v>
      </c>
      <c r="P767" s="13">
        <v>0</v>
      </c>
      <c r="Q767" s="13">
        <v>3000</v>
      </c>
      <c r="R767" s="14">
        <f t="shared" ref="R767:R774" si="64">(SUM(N767:Q767))</f>
        <v>10100</v>
      </c>
      <c r="S767" s="13">
        <f t="shared" ref="S767:S769" si="65">R767+100</f>
        <v>10200</v>
      </c>
      <c r="T767" s="13">
        <f t="shared" ref="T767:T769" si="66">R767+200</f>
        <v>10300</v>
      </c>
      <c r="U767" s="13" t="s">
        <v>17</v>
      </c>
      <c r="V767" s="15" t="s">
        <v>4029</v>
      </c>
    </row>
    <row r="768" spans="1:23" ht="30" customHeight="1">
      <c r="A768" s="52">
        <v>19</v>
      </c>
      <c r="B768" s="13">
        <v>6294</v>
      </c>
      <c r="C768" s="9" t="s">
        <v>31</v>
      </c>
      <c r="D768" s="9" t="s">
        <v>4028</v>
      </c>
      <c r="E768" s="53" t="s">
        <v>653</v>
      </c>
      <c r="F768" s="44">
        <v>1500</v>
      </c>
      <c r="G768" s="44">
        <v>0</v>
      </c>
      <c r="H768" s="44">
        <v>800</v>
      </c>
      <c r="I768" s="44">
        <v>1300</v>
      </c>
      <c r="J768" s="44">
        <v>1300</v>
      </c>
      <c r="K768" s="44">
        <v>1300</v>
      </c>
      <c r="L768" s="44">
        <v>1300</v>
      </c>
      <c r="M768" s="44">
        <v>1300</v>
      </c>
      <c r="N768" s="12">
        <f t="shared" si="63"/>
        <v>7300</v>
      </c>
      <c r="O768" s="44">
        <v>1500</v>
      </c>
      <c r="P768" s="13">
        <v>0</v>
      </c>
      <c r="Q768" s="13">
        <v>3000</v>
      </c>
      <c r="R768" s="14">
        <f t="shared" si="64"/>
        <v>11800</v>
      </c>
      <c r="S768" s="13">
        <f t="shared" si="65"/>
        <v>11900</v>
      </c>
      <c r="T768" s="13">
        <f t="shared" si="66"/>
        <v>12000</v>
      </c>
      <c r="U768" s="13" t="s">
        <v>17</v>
      </c>
      <c r="V768" s="15" t="s">
        <v>4029</v>
      </c>
    </row>
    <row r="769" spans="1:23" ht="30" customHeight="1">
      <c r="A769" s="62">
        <v>21</v>
      </c>
      <c r="B769" s="13">
        <v>6292</v>
      </c>
      <c r="C769" s="9" t="s">
        <v>4030</v>
      </c>
      <c r="D769" s="9" t="s">
        <v>4031</v>
      </c>
      <c r="E769" s="71" t="s">
        <v>964</v>
      </c>
      <c r="F769" s="13">
        <v>2500</v>
      </c>
      <c r="G769" s="13">
        <v>0</v>
      </c>
      <c r="H769" s="13">
        <v>0</v>
      </c>
      <c r="I769" s="13">
        <v>0</v>
      </c>
      <c r="J769" s="13">
        <v>0</v>
      </c>
      <c r="K769" s="13">
        <v>0</v>
      </c>
      <c r="L769" s="13">
        <v>2300</v>
      </c>
      <c r="M769" s="13">
        <v>2300</v>
      </c>
      <c r="N769" s="12">
        <f t="shared" si="63"/>
        <v>4600</v>
      </c>
      <c r="O769" s="13">
        <v>2500</v>
      </c>
      <c r="P769" s="13">
        <v>0</v>
      </c>
      <c r="Q769" s="13">
        <v>3000</v>
      </c>
      <c r="R769" s="14">
        <f t="shared" si="64"/>
        <v>10100</v>
      </c>
      <c r="S769" s="13">
        <f t="shared" si="65"/>
        <v>10200</v>
      </c>
      <c r="T769" s="13">
        <f t="shared" si="66"/>
        <v>10300</v>
      </c>
      <c r="U769" s="13" t="s">
        <v>17</v>
      </c>
      <c r="V769" s="15" t="s">
        <v>4029</v>
      </c>
    </row>
    <row r="770" spans="1:23" ht="30" customHeight="1">
      <c r="A770" s="1">
        <v>5</v>
      </c>
      <c r="B770" s="13">
        <v>6295</v>
      </c>
      <c r="C770" s="9" t="s">
        <v>4032</v>
      </c>
      <c r="D770" s="9" t="s">
        <v>4031</v>
      </c>
      <c r="E770" s="11" t="s">
        <v>147</v>
      </c>
      <c r="F770" s="13">
        <v>200</v>
      </c>
      <c r="G770" s="13">
        <v>0</v>
      </c>
      <c r="H770" s="13">
        <v>0</v>
      </c>
      <c r="I770" s="13">
        <v>0</v>
      </c>
      <c r="J770" s="13">
        <v>0</v>
      </c>
      <c r="K770" s="13">
        <v>0</v>
      </c>
      <c r="L770" s="13">
        <v>0</v>
      </c>
      <c r="M770" s="13">
        <v>0</v>
      </c>
      <c r="N770" s="12">
        <f t="shared" si="63"/>
        <v>0</v>
      </c>
      <c r="O770" s="13">
        <v>200</v>
      </c>
      <c r="P770" s="13">
        <v>0</v>
      </c>
      <c r="Q770" s="13">
        <v>3000</v>
      </c>
      <c r="R770" s="14">
        <f t="shared" si="64"/>
        <v>3200</v>
      </c>
      <c r="S770" s="13">
        <f>R770+100</f>
        <v>3300</v>
      </c>
      <c r="T770" s="13">
        <f>R770+200</f>
        <v>3400</v>
      </c>
      <c r="U770" s="13" t="s">
        <v>17</v>
      </c>
      <c r="V770" s="15" t="s">
        <v>4029</v>
      </c>
    </row>
    <row r="771" spans="1:23" ht="30" customHeight="1">
      <c r="A771" s="52">
        <v>22</v>
      </c>
      <c r="B771" s="19">
        <v>6538</v>
      </c>
      <c r="C771" s="21" t="s">
        <v>3629</v>
      </c>
      <c r="D771" s="50" t="s">
        <v>4033</v>
      </c>
      <c r="E771" s="53" t="s">
        <v>653</v>
      </c>
      <c r="F771" s="44">
        <v>2300</v>
      </c>
      <c r="G771" s="44">
        <v>0</v>
      </c>
      <c r="H771" s="44">
        <v>0</v>
      </c>
      <c r="I771" s="44">
        <v>0</v>
      </c>
      <c r="J771" s="44">
        <v>0</v>
      </c>
      <c r="K771" s="44">
        <v>0</v>
      </c>
      <c r="L771" s="44">
        <v>2100</v>
      </c>
      <c r="M771" s="44">
        <v>2100</v>
      </c>
      <c r="N771" s="12">
        <f t="shared" si="63"/>
        <v>4200</v>
      </c>
      <c r="O771" s="44">
        <v>2300</v>
      </c>
      <c r="P771" s="13">
        <v>0</v>
      </c>
      <c r="Q771" s="13">
        <v>3000</v>
      </c>
      <c r="R771" s="14">
        <f t="shared" si="64"/>
        <v>9500</v>
      </c>
      <c r="S771" s="13">
        <f t="shared" ref="S771:S774" si="67">R771+100</f>
        <v>9600</v>
      </c>
      <c r="T771" s="13">
        <f t="shared" ref="T771:T774" si="68">R771+200</f>
        <v>9700</v>
      </c>
      <c r="U771" s="13" t="s">
        <v>17</v>
      </c>
      <c r="V771" s="51" t="s">
        <v>4034</v>
      </c>
    </row>
    <row r="772" spans="1:23" ht="30" customHeight="1">
      <c r="A772" s="1">
        <v>26</v>
      </c>
      <c r="B772" s="13">
        <v>6450</v>
      </c>
      <c r="C772" s="9" t="s">
        <v>687</v>
      </c>
      <c r="D772" s="9" t="s">
        <v>1244</v>
      </c>
      <c r="E772" s="11" t="s">
        <v>147</v>
      </c>
      <c r="F772" s="13">
        <v>1900</v>
      </c>
      <c r="G772" s="13">
        <v>0</v>
      </c>
      <c r="H772" s="13">
        <v>0</v>
      </c>
      <c r="I772" s="13">
        <v>0</v>
      </c>
      <c r="J772" s="13">
        <v>0</v>
      </c>
      <c r="K772" s="13">
        <v>0</v>
      </c>
      <c r="L772" s="13">
        <v>0</v>
      </c>
      <c r="M772" s="13">
        <v>0</v>
      </c>
      <c r="N772" s="12">
        <f t="shared" si="63"/>
        <v>0</v>
      </c>
      <c r="O772" s="13">
        <v>1900</v>
      </c>
      <c r="P772" s="13">
        <v>0</v>
      </c>
      <c r="Q772" s="13">
        <v>3000</v>
      </c>
      <c r="R772" s="14">
        <f t="shared" si="64"/>
        <v>4900</v>
      </c>
      <c r="S772" s="13">
        <f t="shared" si="67"/>
        <v>5000</v>
      </c>
      <c r="T772" s="13">
        <f t="shared" si="68"/>
        <v>5100</v>
      </c>
      <c r="U772" s="13" t="s">
        <v>17</v>
      </c>
      <c r="V772" s="15"/>
      <c r="W772" t="s">
        <v>4035</v>
      </c>
    </row>
    <row r="773" spans="1:23" ht="30" customHeight="1">
      <c r="A773" s="1">
        <v>14</v>
      </c>
      <c r="B773" s="8">
        <v>6651</v>
      </c>
      <c r="C773" s="9" t="s">
        <v>181</v>
      </c>
      <c r="D773" s="10" t="s">
        <v>1244</v>
      </c>
      <c r="E773" s="11" t="s">
        <v>16</v>
      </c>
      <c r="F773" s="8">
        <v>2000</v>
      </c>
      <c r="G773" s="8">
        <v>0</v>
      </c>
      <c r="H773" s="8">
        <v>0</v>
      </c>
      <c r="I773" s="8">
        <v>0</v>
      </c>
      <c r="J773" s="8">
        <v>0</v>
      </c>
      <c r="K773" s="8">
        <v>0</v>
      </c>
      <c r="L773" s="8">
        <v>0</v>
      </c>
      <c r="M773" s="8">
        <v>0</v>
      </c>
      <c r="N773" s="12">
        <f t="shared" si="63"/>
        <v>0</v>
      </c>
      <c r="O773" s="8">
        <v>2000</v>
      </c>
      <c r="P773" s="13">
        <v>0</v>
      </c>
      <c r="Q773" s="13">
        <v>0</v>
      </c>
      <c r="R773" s="14">
        <f t="shared" si="64"/>
        <v>2000</v>
      </c>
      <c r="S773" s="13">
        <f t="shared" si="67"/>
        <v>2100</v>
      </c>
      <c r="T773" s="13">
        <f t="shared" si="68"/>
        <v>2200</v>
      </c>
      <c r="U773" s="13" t="s">
        <v>17</v>
      </c>
      <c r="V773" s="15"/>
    </row>
    <row r="774" spans="1:23" ht="30" customHeight="1">
      <c r="A774" s="93">
        <v>46</v>
      </c>
      <c r="B774" s="13">
        <v>6489</v>
      </c>
      <c r="C774" s="9" t="s">
        <v>4036</v>
      </c>
      <c r="D774" s="9" t="s">
        <v>2339</v>
      </c>
      <c r="E774" s="71" t="s">
        <v>2154</v>
      </c>
      <c r="F774" s="44">
        <v>3000</v>
      </c>
      <c r="G774" s="44">
        <v>0</v>
      </c>
      <c r="H774" s="44">
        <v>0</v>
      </c>
      <c r="I774" s="44">
        <v>0</v>
      </c>
      <c r="J774" s="44">
        <v>0</v>
      </c>
      <c r="K774" s="44">
        <v>0</v>
      </c>
      <c r="L774" s="44">
        <v>0</v>
      </c>
      <c r="M774" s="44">
        <v>0</v>
      </c>
      <c r="N774" s="12">
        <f t="shared" si="63"/>
        <v>0</v>
      </c>
      <c r="O774" s="44">
        <v>3000</v>
      </c>
      <c r="P774" s="13">
        <v>0</v>
      </c>
      <c r="Q774" s="13">
        <v>5000</v>
      </c>
      <c r="R774" s="14">
        <f t="shared" si="64"/>
        <v>8000</v>
      </c>
      <c r="S774" s="13">
        <f t="shared" si="67"/>
        <v>8100</v>
      </c>
      <c r="T774" s="13">
        <f t="shared" si="68"/>
        <v>8200</v>
      </c>
      <c r="U774" s="13" t="s">
        <v>17</v>
      </c>
      <c r="V774" s="23" t="s">
        <v>3595</v>
      </c>
    </row>
    <row r="775" spans="1:23" ht="18">
      <c r="C775" s="282">
        <v>45944</v>
      </c>
    </row>
    <row r="776" spans="1:23" ht="30" customHeight="1">
      <c r="A776" s="93">
        <v>19</v>
      </c>
      <c r="B776" s="13">
        <v>6421</v>
      </c>
      <c r="C776" s="9" t="s">
        <v>2027</v>
      </c>
      <c r="D776" s="9" t="s">
        <v>2028</v>
      </c>
      <c r="E776" s="66" t="s">
        <v>1992</v>
      </c>
      <c r="F776" s="44">
        <v>2800</v>
      </c>
      <c r="G776" s="44">
        <v>0</v>
      </c>
      <c r="H776" s="44">
        <v>0</v>
      </c>
      <c r="I776" s="44">
        <v>0</v>
      </c>
      <c r="J776" s="44">
        <v>0</v>
      </c>
      <c r="K776" s="44">
        <v>0</v>
      </c>
      <c r="L776" s="44">
        <v>0</v>
      </c>
      <c r="M776" s="44">
        <v>0</v>
      </c>
      <c r="N776" s="12">
        <f>(SUM(G776:M776))</f>
        <v>0</v>
      </c>
      <c r="O776" s="44">
        <v>2800</v>
      </c>
      <c r="P776" s="13">
        <v>0</v>
      </c>
      <c r="Q776" s="13">
        <v>3000</v>
      </c>
      <c r="R776" s="14">
        <f>(SUM(N776:Q776))</f>
        <v>5800</v>
      </c>
      <c r="S776" s="13">
        <f>R776+100</f>
        <v>5900</v>
      </c>
      <c r="T776" s="13">
        <f>R776+200</f>
        <v>6000</v>
      </c>
      <c r="U776" s="13" t="s">
        <v>17</v>
      </c>
      <c r="V776" s="23" t="s">
        <v>2029</v>
      </c>
    </row>
    <row r="777" spans="1:23" ht="30" customHeight="1">
      <c r="A777" s="93">
        <v>8</v>
      </c>
      <c r="B777" s="13">
        <v>4514</v>
      </c>
      <c r="C777" s="9" t="s">
        <v>1955</v>
      </c>
      <c r="D777" s="9" t="s">
        <v>1956</v>
      </c>
      <c r="E777" s="66" t="s">
        <v>1940</v>
      </c>
      <c r="F777" s="44">
        <v>2500</v>
      </c>
      <c r="G777" s="44">
        <v>0</v>
      </c>
      <c r="H777" s="44">
        <v>0</v>
      </c>
      <c r="I777" s="44">
        <v>0</v>
      </c>
      <c r="J777" s="44">
        <v>0</v>
      </c>
      <c r="K777" s="44">
        <v>0</v>
      </c>
      <c r="L777" s="44">
        <v>0</v>
      </c>
      <c r="M777" s="44">
        <v>0</v>
      </c>
      <c r="N777" s="12">
        <f>(SUM(G777:M777))</f>
        <v>0</v>
      </c>
      <c r="O777" s="44">
        <v>2500</v>
      </c>
      <c r="P777" s="13">
        <v>0</v>
      </c>
      <c r="Q777" s="13">
        <v>0</v>
      </c>
      <c r="R777" s="14">
        <f>(SUM(N777:Q777))</f>
        <v>2500</v>
      </c>
      <c r="S777" s="13">
        <f>R777+100</f>
        <v>2600</v>
      </c>
      <c r="T777" s="13">
        <f>R777+200</f>
        <v>2700</v>
      </c>
      <c r="U777" s="13" t="s">
        <v>17</v>
      </c>
      <c r="V777" s="72" t="s">
        <v>1957</v>
      </c>
    </row>
    <row r="778" spans="1:23" ht="23.25">
      <c r="C778" s="284">
        <v>45951</v>
      </c>
    </row>
    <row r="779" spans="1:23" ht="30" customHeight="1">
      <c r="A779" s="84">
        <v>19</v>
      </c>
      <c r="B779" s="13">
        <v>5048</v>
      </c>
      <c r="C779" s="9" t="s">
        <v>1275</v>
      </c>
      <c r="D779" s="9" t="s">
        <v>1291</v>
      </c>
      <c r="E779" s="66" t="s">
        <v>1259</v>
      </c>
      <c r="F779" s="13">
        <v>2500</v>
      </c>
      <c r="G779" s="13">
        <v>0</v>
      </c>
      <c r="H779" s="13">
        <v>0</v>
      </c>
      <c r="I779" s="13">
        <v>0</v>
      </c>
      <c r="J779" s="13">
        <v>0</v>
      </c>
      <c r="K779" s="13">
        <v>0</v>
      </c>
      <c r="L779" s="13">
        <v>0</v>
      </c>
      <c r="M779" s="13">
        <v>0</v>
      </c>
      <c r="N779" s="12">
        <f>(SUM(G779:M779))</f>
        <v>0</v>
      </c>
      <c r="O779" s="13">
        <v>2500</v>
      </c>
      <c r="P779" s="13">
        <v>0</v>
      </c>
      <c r="Q779" s="13">
        <v>3000</v>
      </c>
      <c r="R779" s="14">
        <f>(SUM(N779:Q779))</f>
        <v>5500</v>
      </c>
      <c r="S779" s="13">
        <f>R779+100</f>
        <v>5600</v>
      </c>
      <c r="T779" s="13">
        <f>R779+200</f>
        <v>5700</v>
      </c>
      <c r="U779" s="13" t="s">
        <v>17</v>
      </c>
      <c r="V779" s="56" t="s">
        <v>1292</v>
      </c>
    </row>
    <row r="780" spans="1:23" ht="30" customHeight="1">
      <c r="A780" s="93">
        <v>18</v>
      </c>
      <c r="B780" s="13">
        <v>6112</v>
      </c>
      <c r="C780" s="9" t="s">
        <v>700</v>
      </c>
      <c r="D780" s="9" t="s">
        <v>1809</v>
      </c>
      <c r="E780" s="66" t="s">
        <v>1782</v>
      </c>
      <c r="F780" s="13">
        <v>2600</v>
      </c>
      <c r="G780" s="13">
        <v>0</v>
      </c>
      <c r="H780" s="13">
        <v>0</v>
      </c>
      <c r="I780" s="13">
        <v>0</v>
      </c>
      <c r="J780" s="13">
        <v>0</v>
      </c>
      <c r="K780" s="13">
        <v>0</v>
      </c>
      <c r="L780" s="13">
        <v>0</v>
      </c>
      <c r="M780" s="13">
        <v>0</v>
      </c>
      <c r="N780" s="12">
        <f>(SUM(G780:M780))</f>
        <v>0</v>
      </c>
      <c r="O780" s="13">
        <v>2600</v>
      </c>
      <c r="P780" s="13">
        <v>0</v>
      </c>
      <c r="Q780" s="13">
        <v>3000</v>
      </c>
      <c r="R780" s="14">
        <f>(SUM(N780:Q780))</f>
        <v>5600</v>
      </c>
      <c r="S780" s="13">
        <f>R780+100</f>
        <v>5700</v>
      </c>
      <c r="T780" s="13">
        <f>R780+200</f>
        <v>5800</v>
      </c>
      <c r="U780" s="13" t="s">
        <v>17</v>
      </c>
      <c r="V780" s="24" t="s">
        <v>691</v>
      </c>
    </row>
    <row r="781" spans="1:23" ht="21">
      <c r="C781" s="285">
        <v>45955</v>
      </c>
    </row>
    <row r="782" spans="1:23" ht="30" customHeight="1">
      <c r="A782" s="19">
        <v>11</v>
      </c>
      <c r="B782" s="13">
        <v>6167</v>
      </c>
      <c r="C782" s="31" t="s">
        <v>738</v>
      </c>
      <c r="D782" s="9" t="s">
        <v>92</v>
      </c>
      <c r="E782" s="58" t="s">
        <v>720</v>
      </c>
      <c r="F782" s="44">
        <v>2500</v>
      </c>
      <c r="G782" s="44">
        <v>0</v>
      </c>
      <c r="H782" s="44">
        <v>0</v>
      </c>
      <c r="I782" s="44">
        <v>0</v>
      </c>
      <c r="J782" s="44">
        <v>2300</v>
      </c>
      <c r="K782" s="44">
        <v>2300</v>
      </c>
      <c r="L782" s="44">
        <v>2300</v>
      </c>
      <c r="M782" s="44">
        <v>2300</v>
      </c>
      <c r="N782" s="12">
        <f>(SUM(G782:M782))</f>
        <v>9200</v>
      </c>
      <c r="O782" s="44">
        <v>2500</v>
      </c>
      <c r="P782" s="13">
        <v>0</v>
      </c>
      <c r="Q782" s="13">
        <v>3000</v>
      </c>
      <c r="R782" s="14">
        <f>(SUM(N782:Q782))</f>
        <v>14700</v>
      </c>
      <c r="S782" s="13">
        <f>R782+100</f>
        <v>14800</v>
      </c>
      <c r="T782" s="13">
        <f>R782+200</f>
        <v>14900</v>
      </c>
      <c r="U782" s="13" t="s">
        <v>17</v>
      </c>
      <c r="V782" s="37" t="s">
        <v>445</v>
      </c>
    </row>
    <row r="783" spans="1:23" ht="30" customHeight="1">
      <c r="A783" s="19">
        <v>25</v>
      </c>
      <c r="B783" s="13">
        <v>6698</v>
      </c>
      <c r="C783" s="9" t="s">
        <v>773</v>
      </c>
      <c r="D783" s="57" t="s">
        <v>774</v>
      </c>
      <c r="E783" s="58" t="s">
        <v>720</v>
      </c>
      <c r="F783" s="44">
        <v>2500</v>
      </c>
      <c r="G783" s="44">
        <v>0</v>
      </c>
      <c r="H783" s="44">
        <v>0</v>
      </c>
      <c r="I783" s="44">
        <v>0</v>
      </c>
      <c r="J783" s="44">
        <v>0</v>
      </c>
      <c r="K783" s="44">
        <v>0</v>
      </c>
      <c r="L783" s="44">
        <v>0</v>
      </c>
      <c r="M783" s="44">
        <v>0</v>
      </c>
      <c r="N783" s="12">
        <f>(SUM(G783:M783))</f>
        <v>0</v>
      </c>
      <c r="O783" s="44">
        <v>2500</v>
      </c>
      <c r="P783" s="13">
        <v>0</v>
      </c>
      <c r="Q783" s="13">
        <v>0</v>
      </c>
      <c r="R783" s="14">
        <f>(SUM(N783:Q783))</f>
        <v>2500</v>
      </c>
      <c r="S783" s="13">
        <f>R783+100</f>
        <v>2600</v>
      </c>
      <c r="T783" s="13">
        <f>R783+200</f>
        <v>2700</v>
      </c>
      <c r="U783" s="13" t="s">
        <v>17</v>
      </c>
      <c r="V783" s="51" t="s">
        <v>772</v>
      </c>
    </row>
    <row r="784" spans="1:23" ht="21">
      <c r="C784" s="285">
        <v>45959</v>
      </c>
    </row>
    <row r="785" spans="1:25" ht="30" customHeight="1">
      <c r="A785" s="75">
        <v>14</v>
      </c>
      <c r="B785" s="13">
        <v>4778</v>
      </c>
      <c r="C785" s="64" t="s">
        <v>1061</v>
      </c>
      <c r="D785" s="9" t="s">
        <v>1062</v>
      </c>
      <c r="E785" s="71" t="s">
        <v>1028</v>
      </c>
      <c r="F785" s="13">
        <v>2200</v>
      </c>
      <c r="G785" s="13">
        <v>0</v>
      </c>
      <c r="H785" s="13">
        <v>0</v>
      </c>
      <c r="I785" s="13">
        <v>0</v>
      </c>
      <c r="J785" s="13">
        <v>0</v>
      </c>
      <c r="K785" s="13">
        <v>0</v>
      </c>
      <c r="L785" s="13">
        <v>0</v>
      </c>
      <c r="M785" s="13">
        <v>0</v>
      </c>
      <c r="N785" s="12">
        <f>(SUM(G785:M785))</f>
        <v>0</v>
      </c>
      <c r="O785" s="13">
        <v>0</v>
      </c>
      <c r="P785" s="13">
        <v>0</v>
      </c>
      <c r="Q785" s="13">
        <v>3000</v>
      </c>
      <c r="R785" s="14">
        <f>(SUM(N785:Q785))</f>
        <v>3000</v>
      </c>
      <c r="S785" s="13">
        <f>R785+100</f>
        <v>3100</v>
      </c>
      <c r="T785" s="13">
        <f>R785+200</f>
        <v>3200</v>
      </c>
      <c r="U785" s="13" t="s">
        <v>17</v>
      </c>
      <c r="V785" s="77" t="s">
        <v>1063</v>
      </c>
    </row>
    <row r="786" spans="1:25" ht="21">
      <c r="C786" s="285">
        <v>45969</v>
      </c>
    </row>
    <row r="787" spans="1:25" ht="30" customHeight="1">
      <c r="A787" s="93">
        <v>10</v>
      </c>
      <c r="B787" s="13">
        <v>6106</v>
      </c>
      <c r="C787" s="9" t="s">
        <v>2009</v>
      </c>
      <c r="D787" s="9" t="s">
        <v>2010</v>
      </c>
      <c r="E787" s="66" t="s">
        <v>1992</v>
      </c>
      <c r="F787" s="44">
        <v>2800</v>
      </c>
      <c r="G787" s="44">
        <v>0</v>
      </c>
      <c r="H787" s="44">
        <v>0</v>
      </c>
      <c r="I787" s="44">
        <v>0</v>
      </c>
      <c r="J787" s="44">
        <v>0</v>
      </c>
      <c r="K787" s="44">
        <v>0</v>
      </c>
      <c r="L787" s="44">
        <v>0</v>
      </c>
      <c r="M787" s="44">
        <v>0</v>
      </c>
      <c r="N787" s="44">
        <v>0</v>
      </c>
      <c r="O787" s="12">
        <f>(SUM(G787:N787))</f>
        <v>0</v>
      </c>
      <c r="P787" s="44">
        <v>2800</v>
      </c>
      <c r="Q787" s="13">
        <v>0</v>
      </c>
      <c r="R787" s="13">
        <v>0</v>
      </c>
      <c r="S787" s="14">
        <f>(SUM(O787:R787))</f>
        <v>2800</v>
      </c>
      <c r="T787" s="13">
        <f>S787+100</f>
        <v>2900</v>
      </c>
      <c r="U787" s="13">
        <f>S787+200</f>
        <v>3000</v>
      </c>
      <c r="V787" s="13" t="s">
        <v>4080</v>
      </c>
      <c r="W787" s="72" t="s">
        <v>2011</v>
      </c>
    </row>
    <row r="788" spans="1:25" ht="21">
      <c r="C788" s="285">
        <v>45978</v>
      </c>
    </row>
    <row r="789" spans="1:25" ht="30" customHeight="1">
      <c r="A789" s="25">
        <v>6</v>
      </c>
      <c r="B789" s="13">
        <v>6166</v>
      </c>
      <c r="C789" s="9" t="s">
        <v>444</v>
      </c>
      <c r="D789" s="9" t="s">
        <v>92</v>
      </c>
      <c r="E789" s="11" t="s">
        <v>432</v>
      </c>
      <c r="F789" s="13">
        <v>1500</v>
      </c>
      <c r="G789" s="13">
        <v>0</v>
      </c>
      <c r="H789" s="13">
        <v>0</v>
      </c>
      <c r="I789" s="13">
        <v>0</v>
      </c>
      <c r="J789" s="13">
        <v>1300</v>
      </c>
      <c r="K789" s="13">
        <v>1300</v>
      </c>
      <c r="L789" s="13">
        <v>1300</v>
      </c>
      <c r="M789" s="13">
        <v>1300</v>
      </c>
      <c r="N789" s="13">
        <v>1500</v>
      </c>
      <c r="O789" s="12">
        <f>(SUM(G789:N789))</f>
        <v>6700</v>
      </c>
      <c r="P789" s="13">
        <v>1500</v>
      </c>
      <c r="Q789" s="13">
        <v>0</v>
      </c>
      <c r="R789" s="13">
        <v>3000</v>
      </c>
      <c r="S789" s="14">
        <f>(SUM(O789:R789))</f>
        <v>11200</v>
      </c>
      <c r="T789" s="13">
        <f>S789+100</f>
        <v>11300</v>
      </c>
      <c r="U789" s="13">
        <f>S789+200</f>
        <v>11400</v>
      </c>
      <c r="V789" s="13" t="s">
        <v>4081</v>
      </c>
      <c r="W789" s="15" t="s">
        <v>445</v>
      </c>
    </row>
    <row r="790" spans="1:25" ht="21">
      <c r="C790" s="285">
        <v>45979</v>
      </c>
    </row>
    <row r="791" spans="1:25" ht="30" customHeight="1">
      <c r="A791" s="52">
        <v>23</v>
      </c>
      <c r="B791" s="19">
        <v>6599</v>
      </c>
      <c r="C791" s="21" t="s">
        <v>700</v>
      </c>
      <c r="D791" s="50" t="s">
        <v>701</v>
      </c>
      <c r="E791" s="53" t="s">
        <v>653</v>
      </c>
      <c r="F791" s="44">
        <v>1500</v>
      </c>
      <c r="G791" s="44">
        <v>0</v>
      </c>
      <c r="H791" s="44">
        <v>0</v>
      </c>
      <c r="I791" s="44">
        <v>0</v>
      </c>
      <c r="J791" s="44">
        <v>0</v>
      </c>
      <c r="K791" s="44">
        <v>0</v>
      </c>
      <c r="L791" s="44">
        <v>700</v>
      </c>
      <c r="M791" s="44">
        <v>1300</v>
      </c>
      <c r="N791" s="44">
        <v>1500</v>
      </c>
      <c r="O791" s="12">
        <f>(SUM(G791:N791))</f>
        <v>3500</v>
      </c>
      <c r="P791" s="44">
        <v>1500</v>
      </c>
      <c r="Q791" s="13">
        <v>0</v>
      </c>
      <c r="R791" s="13">
        <v>0</v>
      </c>
      <c r="S791" s="14">
        <f>(SUM(O791:R791))</f>
        <v>5000</v>
      </c>
      <c r="T791" s="13">
        <f>S791+100</f>
        <v>5100</v>
      </c>
      <c r="U791" s="13">
        <f>S791+200</f>
        <v>5200</v>
      </c>
      <c r="V791" s="13" t="s">
        <v>4081</v>
      </c>
      <c r="W791" s="51" t="s">
        <v>702</v>
      </c>
      <c r="X791" t="s">
        <v>703</v>
      </c>
    </row>
    <row r="792" spans="1:25" ht="30" customHeight="1">
      <c r="A792" s="62">
        <v>19</v>
      </c>
      <c r="B792" s="13">
        <v>6237</v>
      </c>
      <c r="C792" s="9" t="s">
        <v>1006</v>
      </c>
      <c r="D792" s="57" t="s">
        <v>1007</v>
      </c>
      <c r="E792" s="71" t="s">
        <v>964</v>
      </c>
      <c r="F792" s="12">
        <v>2400</v>
      </c>
      <c r="G792" s="12">
        <v>0</v>
      </c>
      <c r="H792" s="12">
        <v>0</v>
      </c>
      <c r="I792" s="12">
        <v>0</v>
      </c>
      <c r="J792" s="12">
        <v>0</v>
      </c>
      <c r="K792" s="12">
        <v>0</v>
      </c>
      <c r="L792" s="12">
        <v>0</v>
      </c>
      <c r="M792" s="12">
        <v>0</v>
      </c>
      <c r="N792" s="12">
        <v>0</v>
      </c>
      <c r="O792" s="12">
        <f>(SUM(G792:N792))</f>
        <v>0</v>
      </c>
      <c r="P792" s="12">
        <v>2400</v>
      </c>
      <c r="Q792" s="13">
        <v>0</v>
      </c>
      <c r="R792" s="13">
        <v>2000</v>
      </c>
      <c r="S792" s="14">
        <f>(SUM(O792:R792))</f>
        <v>4400</v>
      </c>
      <c r="T792" s="13">
        <f>S792+100</f>
        <v>4500</v>
      </c>
      <c r="U792" s="13">
        <f>S792+200</f>
        <v>4600</v>
      </c>
      <c r="V792" s="13" t="s">
        <v>4080</v>
      </c>
      <c r="W792" s="73" t="s">
        <v>1008</v>
      </c>
    </row>
    <row r="793" spans="1:25" ht="21">
      <c r="C793" s="285">
        <v>45995</v>
      </c>
    </row>
    <row r="794" spans="1:25" ht="30" customHeight="1">
      <c r="A794" s="74">
        <v>21</v>
      </c>
      <c r="B794" s="13">
        <v>6236</v>
      </c>
      <c r="C794" s="9" t="s">
        <v>1242</v>
      </c>
      <c r="D794" s="57" t="s">
        <v>1007</v>
      </c>
      <c r="E794" s="66" t="s">
        <v>1203</v>
      </c>
      <c r="F794" s="12">
        <v>2400</v>
      </c>
      <c r="G794" s="12">
        <v>0</v>
      </c>
      <c r="H794" s="12">
        <v>0</v>
      </c>
      <c r="I794" s="12">
        <v>0</v>
      </c>
      <c r="J794" s="12">
        <v>0</v>
      </c>
      <c r="K794" s="12">
        <v>0</v>
      </c>
      <c r="L794" s="12">
        <v>0</v>
      </c>
      <c r="M794" s="12">
        <v>0</v>
      </c>
      <c r="N794" s="12">
        <v>0</v>
      </c>
      <c r="O794" s="12">
        <v>2400</v>
      </c>
      <c r="P794" s="12">
        <f>(SUM(G794:O794))</f>
        <v>2400</v>
      </c>
      <c r="Q794" s="12">
        <v>2400</v>
      </c>
      <c r="R794" s="13">
        <v>0</v>
      </c>
      <c r="S794" s="13">
        <v>2000</v>
      </c>
      <c r="T794" s="14">
        <f>(SUM(P794:S794))</f>
        <v>6800</v>
      </c>
      <c r="U794" s="13">
        <f>T794+100</f>
        <v>6900</v>
      </c>
      <c r="V794" s="13">
        <f>T794+200</f>
        <v>7000</v>
      </c>
      <c r="W794" s="13" t="s">
        <v>4118</v>
      </c>
      <c r="X794" s="73" t="s">
        <v>1008</v>
      </c>
    </row>
    <row r="795" spans="1:25" ht="30" customHeight="1">
      <c r="A795" s="74"/>
      <c r="B795" s="13"/>
      <c r="C795" s="285">
        <v>46004</v>
      </c>
      <c r="D795" s="57"/>
      <c r="E795" s="66"/>
      <c r="F795" s="12"/>
      <c r="G795" s="12"/>
      <c r="H795" s="12"/>
      <c r="I795" s="12"/>
      <c r="J795" s="12"/>
      <c r="K795" s="12"/>
      <c r="L795" s="12"/>
      <c r="M795" s="12"/>
      <c r="N795" s="12"/>
      <c r="O795" s="12"/>
      <c r="P795" s="12"/>
      <c r="Q795" s="12"/>
      <c r="R795" s="13"/>
      <c r="S795" s="13"/>
      <c r="T795" s="14"/>
      <c r="U795" s="13"/>
      <c r="V795" s="13"/>
      <c r="W795" s="13"/>
      <c r="X795" s="73"/>
    </row>
    <row r="796" spans="1:25" ht="30" customHeight="1">
      <c r="A796" s="93">
        <v>26</v>
      </c>
      <c r="B796" s="13">
        <v>6860</v>
      </c>
      <c r="C796" s="9" t="s">
        <v>258</v>
      </c>
      <c r="D796" s="9" t="s">
        <v>3366</v>
      </c>
      <c r="E796" s="71" t="s">
        <v>2154</v>
      </c>
      <c r="F796" s="44">
        <v>2800</v>
      </c>
      <c r="G796" s="44">
        <v>0</v>
      </c>
      <c r="H796" s="44">
        <v>0</v>
      </c>
      <c r="I796" s="44">
        <v>0</v>
      </c>
      <c r="J796" s="44">
        <v>0</v>
      </c>
      <c r="K796" s="44">
        <v>0</v>
      </c>
      <c r="L796" s="44">
        <v>0</v>
      </c>
      <c r="M796" s="44">
        <v>0</v>
      </c>
      <c r="N796" s="44">
        <v>0</v>
      </c>
      <c r="O796" s="44">
        <v>0</v>
      </c>
      <c r="P796" s="12">
        <f t="shared" ref="P796:P802" si="69">(SUM(G796:O796))</f>
        <v>0</v>
      </c>
      <c r="Q796" s="44">
        <v>0</v>
      </c>
      <c r="R796" s="13">
        <v>0</v>
      </c>
      <c r="S796" s="13">
        <v>0</v>
      </c>
      <c r="T796" s="14">
        <f t="shared" ref="T796:T802" si="70">(SUM(P796:S796))</f>
        <v>0</v>
      </c>
      <c r="U796" s="13">
        <f t="shared" ref="U796:U802" si="71">T796+100</f>
        <v>100</v>
      </c>
      <c r="V796" s="13">
        <f t="shared" ref="V796:V802" si="72">T796+200</f>
        <v>200</v>
      </c>
      <c r="W796" s="13" t="s">
        <v>4118</v>
      </c>
      <c r="X796" s="23" t="s">
        <v>4100</v>
      </c>
      <c r="Y796" t="s">
        <v>4101</v>
      </c>
    </row>
    <row r="797" spans="1:25" ht="30" customHeight="1">
      <c r="A797" s="42">
        <v>31</v>
      </c>
      <c r="B797" s="13">
        <v>6607</v>
      </c>
      <c r="C797" s="9" t="s">
        <v>1473</v>
      </c>
      <c r="D797" s="9" t="s">
        <v>1474</v>
      </c>
      <c r="E797" s="66" t="s">
        <v>1407</v>
      </c>
      <c r="F797" s="13">
        <v>2000</v>
      </c>
      <c r="G797" s="13">
        <v>0</v>
      </c>
      <c r="H797" s="13">
        <v>0</v>
      </c>
      <c r="I797" s="13">
        <v>0</v>
      </c>
      <c r="J797" s="13">
        <v>0</v>
      </c>
      <c r="K797" s="13">
        <v>0</v>
      </c>
      <c r="L797" s="13">
        <v>0</v>
      </c>
      <c r="M797" s="13">
        <v>0</v>
      </c>
      <c r="N797" s="13">
        <v>0</v>
      </c>
      <c r="O797" s="13">
        <v>2000</v>
      </c>
      <c r="P797" s="12">
        <f t="shared" si="69"/>
        <v>2000</v>
      </c>
      <c r="Q797" s="13">
        <v>2000</v>
      </c>
      <c r="R797" s="13">
        <v>0</v>
      </c>
      <c r="S797" s="13">
        <v>3000</v>
      </c>
      <c r="T797" s="14">
        <f t="shared" si="70"/>
        <v>7000</v>
      </c>
      <c r="U797" s="13">
        <f t="shared" si="71"/>
        <v>7100</v>
      </c>
      <c r="V797" s="13">
        <f t="shared" si="72"/>
        <v>7200</v>
      </c>
      <c r="W797" s="13" t="s">
        <v>4118</v>
      </c>
      <c r="X797" s="72" t="s">
        <v>1475</v>
      </c>
    </row>
    <row r="798" spans="1:25" ht="30" customHeight="1">
      <c r="A798" s="93">
        <v>43</v>
      </c>
      <c r="B798" s="13">
        <v>6834</v>
      </c>
      <c r="C798" s="9" t="s">
        <v>1935</v>
      </c>
      <c r="D798" s="9" t="s">
        <v>1936</v>
      </c>
      <c r="E798" s="66" t="s">
        <v>1857</v>
      </c>
      <c r="F798" s="44">
        <v>2800</v>
      </c>
      <c r="G798" s="44">
        <v>0</v>
      </c>
      <c r="H798" s="44">
        <v>0</v>
      </c>
      <c r="I798" s="44">
        <v>0</v>
      </c>
      <c r="J798" s="44">
        <v>0</v>
      </c>
      <c r="K798" s="44">
        <v>0</v>
      </c>
      <c r="L798" s="44">
        <v>0</v>
      </c>
      <c r="M798" s="44">
        <v>0</v>
      </c>
      <c r="N798" s="44">
        <v>0</v>
      </c>
      <c r="O798" s="44">
        <v>0</v>
      </c>
      <c r="P798" s="12">
        <f t="shared" si="69"/>
        <v>0</v>
      </c>
      <c r="Q798" s="44">
        <v>2800</v>
      </c>
      <c r="R798" s="13">
        <v>0</v>
      </c>
      <c r="S798" s="13">
        <v>0</v>
      </c>
      <c r="T798" s="14">
        <f t="shared" si="70"/>
        <v>2800</v>
      </c>
      <c r="U798" s="13">
        <f t="shared" si="71"/>
        <v>2900</v>
      </c>
      <c r="V798" s="13">
        <f t="shared" si="72"/>
        <v>3000</v>
      </c>
      <c r="W798" s="13" t="s">
        <v>4118</v>
      </c>
      <c r="X798" s="23" t="s">
        <v>1937</v>
      </c>
      <c r="Y798" t="s">
        <v>1938</v>
      </c>
    </row>
    <row r="799" spans="1:25" ht="30" customHeight="1">
      <c r="A799" s="93">
        <v>13</v>
      </c>
      <c r="B799" s="13">
        <v>6210</v>
      </c>
      <c r="C799" s="63" t="s">
        <v>1965</v>
      </c>
      <c r="D799" s="63" t="s">
        <v>1655</v>
      </c>
      <c r="E799" s="66" t="s">
        <v>1940</v>
      </c>
      <c r="F799" s="44">
        <v>2300</v>
      </c>
      <c r="G799" s="44">
        <v>0</v>
      </c>
      <c r="H799" s="44">
        <v>0</v>
      </c>
      <c r="I799" s="44">
        <v>0</v>
      </c>
      <c r="J799" s="44">
        <v>0</v>
      </c>
      <c r="K799" s="44">
        <v>0</v>
      </c>
      <c r="L799" s="44">
        <v>0</v>
      </c>
      <c r="M799" s="44">
        <v>0</v>
      </c>
      <c r="N799" s="44">
        <v>0</v>
      </c>
      <c r="O799" s="44">
        <v>0</v>
      </c>
      <c r="P799" s="12">
        <f t="shared" si="69"/>
        <v>0</v>
      </c>
      <c r="Q799" s="44">
        <v>2300</v>
      </c>
      <c r="R799" s="13">
        <v>0</v>
      </c>
      <c r="S799" s="13">
        <v>0</v>
      </c>
      <c r="T799" s="14">
        <f t="shared" si="70"/>
        <v>2300</v>
      </c>
      <c r="U799" s="13">
        <f t="shared" si="71"/>
        <v>2400</v>
      </c>
      <c r="V799" s="13">
        <f t="shared" si="72"/>
        <v>2500</v>
      </c>
      <c r="W799" s="13" t="s">
        <v>4118</v>
      </c>
      <c r="X799" s="51" t="s">
        <v>1656</v>
      </c>
    </row>
    <row r="800" spans="1:25" ht="30" customHeight="1">
      <c r="A800" s="93">
        <v>15</v>
      </c>
      <c r="B800" s="13">
        <v>6398</v>
      </c>
      <c r="C800" s="9" t="s">
        <v>1968</v>
      </c>
      <c r="D800" s="9" t="s">
        <v>1256</v>
      </c>
      <c r="E800" s="66" t="s">
        <v>1940</v>
      </c>
      <c r="F800" s="44">
        <v>2800</v>
      </c>
      <c r="G800" s="44">
        <v>0</v>
      </c>
      <c r="H800" s="44">
        <v>0</v>
      </c>
      <c r="I800" s="44">
        <v>0</v>
      </c>
      <c r="J800" s="44">
        <v>0</v>
      </c>
      <c r="K800" s="44">
        <v>0</v>
      </c>
      <c r="L800" s="44">
        <v>0</v>
      </c>
      <c r="M800" s="44">
        <v>0</v>
      </c>
      <c r="N800" s="44">
        <v>2800</v>
      </c>
      <c r="O800" s="44">
        <v>2800</v>
      </c>
      <c r="P800" s="12">
        <f t="shared" si="69"/>
        <v>5600</v>
      </c>
      <c r="Q800" s="44">
        <v>2800</v>
      </c>
      <c r="R800" s="13">
        <v>0</v>
      </c>
      <c r="S800" s="13">
        <v>3000</v>
      </c>
      <c r="T800" s="14">
        <f t="shared" si="70"/>
        <v>11400</v>
      </c>
      <c r="U800" s="13">
        <f t="shared" si="71"/>
        <v>11500</v>
      </c>
      <c r="V800" s="13">
        <f t="shared" si="72"/>
        <v>11600</v>
      </c>
      <c r="W800" s="13" t="s">
        <v>4118</v>
      </c>
      <c r="X800" s="23" t="s">
        <v>1969</v>
      </c>
    </row>
    <row r="801" spans="1:25" ht="30" customHeight="1">
      <c r="A801" s="93">
        <v>17</v>
      </c>
      <c r="B801" s="13">
        <v>6516</v>
      </c>
      <c r="C801" s="9" t="s">
        <v>1973</v>
      </c>
      <c r="D801" s="9" t="s">
        <v>1467</v>
      </c>
      <c r="E801" s="66" t="s">
        <v>1974</v>
      </c>
      <c r="F801" s="44">
        <v>2400</v>
      </c>
      <c r="G801" s="44">
        <v>0</v>
      </c>
      <c r="H801" s="44">
        <v>0</v>
      </c>
      <c r="I801" s="44">
        <v>0</v>
      </c>
      <c r="J801" s="44">
        <v>0</v>
      </c>
      <c r="K801" s="44">
        <v>0</v>
      </c>
      <c r="L801" s="44">
        <v>0</v>
      </c>
      <c r="M801" s="44">
        <v>0</v>
      </c>
      <c r="N801" s="44">
        <v>0</v>
      </c>
      <c r="O801" s="44">
        <v>2400</v>
      </c>
      <c r="P801" s="12">
        <f t="shared" si="69"/>
        <v>2400</v>
      </c>
      <c r="Q801" s="44">
        <v>2400</v>
      </c>
      <c r="R801" s="13">
        <v>0</v>
      </c>
      <c r="S801" s="13">
        <v>3000</v>
      </c>
      <c r="T801" s="14">
        <f t="shared" si="70"/>
        <v>7800</v>
      </c>
      <c r="U801" s="13">
        <f t="shared" si="71"/>
        <v>7900</v>
      </c>
      <c r="V801" s="13">
        <f t="shared" si="72"/>
        <v>8000</v>
      </c>
      <c r="W801" s="13" t="s">
        <v>4118</v>
      </c>
      <c r="X801" s="23" t="s">
        <v>1975</v>
      </c>
    </row>
    <row r="802" spans="1:25" ht="30" customHeight="1">
      <c r="A802" s="74">
        <v>44</v>
      </c>
      <c r="B802" s="13">
        <v>6490</v>
      </c>
      <c r="C802" s="9" t="s">
        <v>3212</v>
      </c>
      <c r="D802" s="9" t="s">
        <v>3119</v>
      </c>
      <c r="E802" s="71" t="s">
        <v>2053</v>
      </c>
      <c r="F802" s="44">
        <v>2700</v>
      </c>
      <c r="G802" s="44">
        <v>0</v>
      </c>
      <c r="H802" s="44">
        <v>0</v>
      </c>
      <c r="I802" s="44">
        <v>0</v>
      </c>
      <c r="J802" s="44">
        <v>0</v>
      </c>
      <c r="K802" s="44">
        <v>2700</v>
      </c>
      <c r="L802" s="44">
        <v>2700</v>
      </c>
      <c r="M802" s="44">
        <v>0</v>
      </c>
      <c r="N802" s="44">
        <v>0</v>
      </c>
      <c r="O802" s="44">
        <v>0</v>
      </c>
      <c r="P802" s="12">
        <f t="shared" si="69"/>
        <v>5400</v>
      </c>
      <c r="Q802" s="44">
        <v>2700</v>
      </c>
      <c r="R802" s="13">
        <v>0</v>
      </c>
      <c r="S802" s="13">
        <v>5000</v>
      </c>
      <c r="T802" s="14">
        <f t="shared" si="70"/>
        <v>13100</v>
      </c>
      <c r="U802" s="13">
        <f t="shared" si="71"/>
        <v>13200</v>
      </c>
      <c r="V802" s="13">
        <f t="shared" si="72"/>
        <v>13300</v>
      </c>
      <c r="W802" s="13" t="s">
        <v>4118</v>
      </c>
      <c r="X802" s="23" t="s">
        <v>2134</v>
      </c>
    </row>
    <row r="803" spans="1:25" ht="30" customHeight="1">
      <c r="A803" s="1">
        <v>22</v>
      </c>
      <c r="B803" s="8">
        <v>6828</v>
      </c>
      <c r="C803" s="9" t="s">
        <v>138</v>
      </c>
      <c r="D803" s="10" t="s">
        <v>139</v>
      </c>
      <c r="E803" s="11" t="s">
        <v>4056</v>
      </c>
      <c r="F803" s="8">
        <v>2000</v>
      </c>
      <c r="G803" s="8">
        <v>0</v>
      </c>
      <c r="H803" s="8">
        <v>0</v>
      </c>
      <c r="I803" s="8">
        <v>0</v>
      </c>
      <c r="J803" s="8">
        <v>0</v>
      </c>
      <c r="K803" s="8">
        <v>0</v>
      </c>
      <c r="L803" s="8">
        <v>0</v>
      </c>
      <c r="M803" s="8">
        <v>0</v>
      </c>
      <c r="N803" s="8">
        <v>0</v>
      </c>
      <c r="O803" s="8">
        <v>0</v>
      </c>
      <c r="P803" s="12">
        <f t="shared" ref="P803:P809" si="73">(SUM(G803:O803))</f>
        <v>0</v>
      </c>
      <c r="Q803" s="8">
        <v>0</v>
      </c>
      <c r="R803" s="13">
        <v>0</v>
      </c>
      <c r="S803" s="13">
        <v>3000</v>
      </c>
      <c r="T803" s="14">
        <f t="shared" ref="T803:T809" si="74">(SUM(P803:S803))</f>
        <v>3000</v>
      </c>
      <c r="U803" s="13">
        <f t="shared" ref="U803:U809" si="75">T803+100</f>
        <v>3100</v>
      </c>
      <c r="V803" s="13">
        <f t="shared" ref="V803:V809" si="76">T803+200</f>
        <v>3200</v>
      </c>
      <c r="W803" s="13" t="s">
        <v>4118</v>
      </c>
      <c r="X803" s="15" t="s">
        <v>140</v>
      </c>
      <c r="Y803" t="s">
        <v>137</v>
      </c>
    </row>
    <row r="804" spans="1:25" ht="30" customHeight="1">
      <c r="A804" s="75">
        <v>27</v>
      </c>
      <c r="B804" s="13">
        <v>6209</v>
      </c>
      <c r="C804" s="9" t="s">
        <v>1654</v>
      </c>
      <c r="D804" s="63" t="s">
        <v>1655</v>
      </c>
      <c r="E804" s="71" t="s">
        <v>1602</v>
      </c>
      <c r="F804" s="44">
        <v>2400</v>
      </c>
      <c r="G804" s="44">
        <v>0</v>
      </c>
      <c r="H804" s="44">
        <v>0</v>
      </c>
      <c r="I804" s="44">
        <v>0</v>
      </c>
      <c r="J804" s="44">
        <v>0</v>
      </c>
      <c r="K804" s="44">
        <v>0</v>
      </c>
      <c r="L804" s="44">
        <v>0</v>
      </c>
      <c r="M804" s="44">
        <v>0</v>
      </c>
      <c r="N804" s="44">
        <v>0</v>
      </c>
      <c r="O804" s="44">
        <v>0</v>
      </c>
      <c r="P804" s="12">
        <f t="shared" si="73"/>
        <v>0</v>
      </c>
      <c r="Q804" s="44">
        <v>2400</v>
      </c>
      <c r="R804" s="13">
        <v>0</v>
      </c>
      <c r="S804" s="13">
        <v>0</v>
      </c>
      <c r="T804" s="14">
        <f t="shared" si="74"/>
        <v>2400</v>
      </c>
      <c r="U804" s="13">
        <f t="shared" si="75"/>
        <v>2500</v>
      </c>
      <c r="V804" s="13">
        <f t="shared" si="76"/>
        <v>2600</v>
      </c>
      <c r="W804" s="13" t="s">
        <v>4118</v>
      </c>
      <c r="X804" s="51" t="s">
        <v>1656</v>
      </c>
      <c r="Y804" s="80"/>
    </row>
    <row r="805" spans="1:25" ht="30" customHeight="1">
      <c r="A805" s="13">
        <v>35</v>
      </c>
      <c r="B805" s="13" t="s">
        <v>4052</v>
      </c>
      <c r="C805" s="9" t="s">
        <v>4106</v>
      </c>
      <c r="D805" s="9" t="s">
        <v>4107</v>
      </c>
      <c r="E805" s="71" t="s">
        <v>2251</v>
      </c>
      <c r="F805" s="13">
        <v>3000</v>
      </c>
      <c r="G805" s="13">
        <v>0</v>
      </c>
      <c r="H805" s="13">
        <v>0</v>
      </c>
      <c r="I805" s="13">
        <v>0</v>
      </c>
      <c r="J805" s="13">
        <v>0</v>
      </c>
      <c r="K805" s="13">
        <v>0</v>
      </c>
      <c r="L805" s="13">
        <v>0</v>
      </c>
      <c r="M805" s="13">
        <v>0</v>
      </c>
      <c r="N805" s="13">
        <v>0</v>
      </c>
      <c r="O805" s="13">
        <v>0</v>
      </c>
      <c r="P805" s="12">
        <f t="shared" si="73"/>
        <v>0</v>
      </c>
      <c r="Q805" s="13">
        <v>3000</v>
      </c>
      <c r="R805" s="13">
        <v>0</v>
      </c>
      <c r="S805" s="13">
        <v>0</v>
      </c>
      <c r="T805" s="14">
        <f t="shared" si="74"/>
        <v>3000</v>
      </c>
      <c r="U805" s="13">
        <f t="shared" si="75"/>
        <v>3100</v>
      </c>
      <c r="V805" s="13">
        <f t="shared" si="76"/>
        <v>3200</v>
      </c>
      <c r="W805" s="13" t="s">
        <v>4118</v>
      </c>
      <c r="X805" s="23" t="s">
        <v>4108</v>
      </c>
      <c r="Y805" t="s">
        <v>4105</v>
      </c>
    </row>
    <row r="806" spans="1:25" ht="30" customHeight="1">
      <c r="A806" s="13">
        <v>28</v>
      </c>
      <c r="B806" s="13">
        <v>6476012</v>
      </c>
      <c r="C806" s="9" t="s">
        <v>2389</v>
      </c>
      <c r="D806" s="9" t="s">
        <v>372</v>
      </c>
      <c r="E806" s="66" t="s">
        <v>2324</v>
      </c>
      <c r="F806" s="13">
        <v>3000</v>
      </c>
      <c r="G806" s="13">
        <v>0</v>
      </c>
      <c r="H806" s="13">
        <v>0</v>
      </c>
      <c r="I806" s="13">
        <v>0</v>
      </c>
      <c r="J806" s="13">
        <v>0</v>
      </c>
      <c r="K806" s="13">
        <v>0</v>
      </c>
      <c r="L806" s="13">
        <v>0</v>
      </c>
      <c r="M806" s="13">
        <v>0</v>
      </c>
      <c r="N806" s="13">
        <v>0</v>
      </c>
      <c r="O806" s="13">
        <v>0</v>
      </c>
      <c r="P806" s="12">
        <f t="shared" si="73"/>
        <v>0</v>
      </c>
      <c r="Q806" s="13">
        <v>3000</v>
      </c>
      <c r="R806" s="13">
        <v>0</v>
      </c>
      <c r="S806" s="13">
        <v>5000</v>
      </c>
      <c r="T806" s="14">
        <f t="shared" si="74"/>
        <v>8000</v>
      </c>
      <c r="U806" s="13">
        <f t="shared" si="75"/>
        <v>8100</v>
      </c>
      <c r="V806" s="13">
        <f t="shared" si="76"/>
        <v>8200</v>
      </c>
      <c r="W806" s="13" t="s">
        <v>4118</v>
      </c>
      <c r="X806" s="65" t="s">
        <v>373</v>
      </c>
    </row>
    <row r="807" spans="1:25" ht="30" customHeight="1">
      <c r="A807" s="13">
        <v>38</v>
      </c>
      <c r="B807" s="13">
        <v>6586225</v>
      </c>
      <c r="C807" s="9" t="s">
        <v>2403</v>
      </c>
      <c r="D807" s="9" t="s">
        <v>1174</v>
      </c>
      <c r="E807" s="66" t="s">
        <v>2324</v>
      </c>
      <c r="F807" s="13">
        <v>2900</v>
      </c>
      <c r="G807" s="13">
        <v>0</v>
      </c>
      <c r="H807" s="13">
        <v>0</v>
      </c>
      <c r="I807" s="13">
        <v>0</v>
      </c>
      <c r="J807" s="13">
        <v>2600</v>
      </c>
      <c r="K807" s="13">
        <v>2600</v>
      </c>
      <c r="L807" s="13">
        <v>2600</v>
      </c>
      <c r="M807" s="13">
        <v>2600</v>
      </c>
      <c r="N807" s="13">
        <v>2900</v>
      </c>
      <c r="O807" s="13">
        <v>2900</v>
      </c>
      <c r="P807" s="12">
        <f t="shared" si="73"/>
        <v>16200</v>
      </c>
      <c r="Q807" s="13">
        <v>2900</v>
      </c>
      <c r="R807" s="13">
        <v>0</v>
      </c>
      <c r="S807" s="13">
        <v>5000</v>
      </c>
      <c r="T807" s="14">
        <f t="shared" si="74"/>
        <v>24100</v>
      </c>
      <c r="U807" s="13">
        <f t="shared" si="75"/>
        <v>24200</v>
      </c>
      <c r="V807" s="13">
        <f t="shared" si="76"/>
        <v>24300</v>
      </c>
      <c r="W807" s="13" t="s">
        <v>4118</v>
      </c>
      <c r="X807" s="23" t="s">
        <v>2404</v>
      </c>
    </row>
    <row r="808" spans="1:25" s="17" customFormat="1" ht="30" customHeight="1">
      <c r="A808" s="1">
        <v>10</v>
      </c>
      <c r="B808" s="13">
        <v>6783</v>
      </c>
      <c r="C808" s="9" t="s">
        <v>238</v>
      </c>
      <c r="D808" s="10" t="s">
        <v>239</v>
      </c>
      <c r="E808" s="11" t="s">
        <v>147</v>
      </c>
      <c r="F808" s="13">
        <v>2200</v>
      </c>
      <c r="G808" s="13">
        <v>0</v>
      </c>
      <c r="H808" s="13">
        <v>0</v>
      </c>
      <c r="I808" s="13">
        <v>0</v>
      </c>
      <c r="J808" s="13">
        <v>0</v>
      </c>
      <c r="K808" s="13">
        <v>0</v>
      </c>
      <c r="L808" s="13">
        <v>0</v>
      </c>
      <c r="M808" s="13">
        <v>0</v>
      </c>
      <c r="N808" s="13">
        <v>0</v>
      </c>
      <c r="O808" s="13">
        <v>2200</v>
      </c>
      <c r="P808" s="12">
        <f t="shared" si="73"/>
        <v>2200</v>
      </c>
      <c r="Q808" s="13">
        <v>2200</v>
      </c>
      <c r="R808" s="13">
        <v>0</v>
      </c>
      <c r="S808" s="13">
        <v>0</v>
      </c>
      <c r="T808" s="14">
        <f t="shared" si="74"/>
        <v>4400</v>
      </c>
      <c r="U808" s="13">
        <f t="shared" si="75"/>
        <v>4500</v>
      </c>
      <c r="V808" s="13">
        <f t="shared" si="76"/>
        <v>4600</v>
      </c>
      <c r="W808" s="13" t="s">
        <v>4118</v>
      </c>
      <c r="X808" s="15" t="s">
        <v>240</v>
      </c>
    </row>
    <row r="809" spans="1:25" ht="30" customHeight="1">
      <c r="A809" s="1">
        <v>17</v>
      </c>
      <c r="B809" s="13">
        <v>6436</v>
      </c>
      <c r="C809" s="9" t="s">
        <v>200</v>
      </c>
      <c r="D809" s="9" t="s">
        <v>201</v>
      </c>
      <c r="E809" s="11" t="s">
        <v>4058</v>
      </c>
      <c r="F809" s="13">
        <v>2400</v>
      </c>
      <c r="G809" s="13">
        <v>0</v>
      </c>
      <c r="H809" s="13">
        <v>0</v>
      </c>
      <c r="I809" s="13">
        <v>0</v>
      </c>
      <c r="J809" s="13">
        <v>0</v>
      </c>
      <c r="K809" s="13">
        <v>0</v>
      </c>
      <c r="L809" s="13">
        <v>0</v>
      </c>
      <c r="M809" s="13">
        <v>0</v>
      </c>
      <c r="N809" s="13">
        <v>2400</v>
      </c>
      <c r="O809" s="13">
        <v>2400</v>
      </c>
      <c r="P809" s="12">
        <f t="shared" si="73"/>
        <v>4800</v>
      </c>
      <c r="Q809" s="13">
        <v>2400</v>
      </c>
      <c r="R809" s="13">
        <v>0</v>
      </c>
      <c r="S809" s="13">
        <v>0</v>
      </c>
      <c r="T809" s="14">
        <f t="shared" si="74"/>
        <v>7200</v>
      </c>
      <c r="U809" s="13">
        <f t="shared" si="75"/>
        <v>7300</v>
      </c>
      <c r="V809" s="13">
        <f t="shared" si="76"/>
        <v>7400</v>
      </c>
      <c r="W809" s="13" t="s">
        <v>4118</v>
      </c>
      <c r="X809" s="15" t="s">
        <v>202</v>
      </c>
    </row>
    <row r="810" spans="1:25" ht="30" customHeight="1">
      <c r="A810" s="93">
        <v>27</v>
      </c>
      <c r="B810" s="13">
        <v>6847</v>
      </c>
      <c r="C810" s="9" t="s">
        <v>4060</v>
      </c>
      <c r="D810" s="9" t="s">
        <v>4061</v>
      </c>
      <c r="E810" s="66" t="s">
        <v>1940</v>
      </c>
      <c r="F810" s="44">
        <v>2800</v>
      </c>
      <c r="G810" s="44">
        <v>0</v>
      </c>
      <c r="H810" s="44">
        <v>0</v>
      </c>
      <c r="I810" s="44">
        <v>0</v>
      </c>
      <c r="J810" s="44">
        <v>0</v>
      </c>
      <c r="K810" s="44">
        <v>0</v>
      </c>
      <c r="L810" s="44">
        <v>0</v>
      </c>
      <c r="M810" s="44">
        <v>0</v>
      </c>
      <c r="N810" s="44">
        <v>0</v>
      </c>
      <c r="O810" s="44">
        <v>0</v>
      </c>
      <c r="P810" s="12">
        <f>(SUM(G810:O810))</f>
        <v>0</v>
      </c>
      <c r="Q810" s="44">
        <v>2800</v>
      </c>
      <c r="R810" s="13">
        <v>0</v>
      </c>
      <c r="S810" s="13">
        <v>0</v>
      </c>
      <c r="T810" s="14">
        <f>(SUM(P810:S810))</f>
        <v>2800</v>
      </c>
      <c r="U810" s="13">
        <f>T810+100</f>
        <v>2900</v>
      </c>
      <c r="V810" s="13">
        <f>T810+200</f>
        <v>3000</v>
      </c>
      <c r="W810" s="13" t="s">
        <v>4118</v>
      </c>
      <c r="X810" s="72" t="s">
        <v>4062</v>
      </c>
      <c r="Y810" t="s">
        <v>4063</v>
      </c>
    </row>
    <row r="811" spans="1:25" ht="30" customHeight="1">
      <c r="A811" s="42">
        <v>42</v>
      </c>
      <c r="B811" s="13">
        <v>6810</v>
      </c>
      <c r="C811" s="9" t="s">
        <v>722</v>
      </c>
      <c r="D811" s="9" t="s">
        <v>1496</v>
      </c>
      <c r="E811" s="66" t="s">
        <v>1407</v>
      </c>
      <c r="F811" s="13">
        <v>2300</v>
      </c>
      <c r="G811" s="13">
        <v>0</v>
      </c>
      <c r="H811" s="13">
        <v>0</v>
      </c>
      <c r="I811" s="13">
        <v>0</v>
      </c>
      <c r="J811" s="13">
        <v>0</v>
      </c>
      <c r="K811" s="13">
        <v>0</v>
      </c>
      <c r="L811" s="13">
        <v>0</v>
      </c>
      <c r="M811" s="13">
        <v>0</v>
      </c>
      <c r="N811" s="13">
        <v>0</v>
      </c>
      <c r="O811" s="13">
        <v>0</v>
      </c>
      <c r="P811" s="12">
        <f>(SUM(G811:O811))</f>
        <v>0</v>
      </c>
      <c r="Q811" s="13">
        <v>2300</v>
      </c>
      <c r="R811" s="13">
        <v>0</v>
      </c>
      <c r="S811" s="13">
        <v>0</v>
      </c>
      <c r="T811" s="14">
        <f>(SUM(P811:S811))</f>
        <v>2300</v>
      </c>
      <c r="U811" s="13">
        <f>T811+100</f>
        <v>2400</v>
      </c>
      <c r="V811" s="13">
        <f>T811+200</f>
        <v>2500</v>
      </c>
      <c r="W811" s="13" t="s">
        <v>4118</v>
      </c>
      <c r="X811" s="72" t="s">
        <v>788</v>
      </c>
      <c r="Y811" t="s">
        <v>1497</v>
      </c>
    </row>
    <row r="812" spans="1:25" ht="23.25">
      <c r="D812" s="287">
        <v>46043</v>
      </c>
    </row>
    <row r="813" spans="1:25" ht="30" customHeight="1">
      <c r="A813" s="19">
        <v>29</v>
      </c>
      <c r="B813" s="19">
        <v>6789</v>
      </c>
      <c r="C813" s="21" t="s">
        <v>786</v>
      </c>
      <c r="D813" s="50" t="s">
        <v>787</v>
      </c>
      <c r="E813" s="58" t="s">
        <v>720</v>
      </c>
      <c r="F813" s="44">
        <v>2300</v>
      </c>
      <c r="G813" s="44">
        <v>0</v>
      </c>
      <c r="H813" s="44">
        <v>0</v>
      </c>
      <c r="I813" s="44">
        <v>0</v>
      </c>
      <c r="J813" s="44">
        <v>0</v>
      </c>
      <c r="K813" s="44">
        <v>0</v>
      </c>
      <c r="L813" s="44">
        <v>0</v>
      </c>
      <c r="M813" s="44">
        <v>2300</v>
      </c>
      <c r="N813" s="44">
        <v>2300</v>
      </c>
      <c r="O813" s="12">
        <f t="shared" ref="O813:O820" si="77">(SUM(G813:N813))</f>
        <v>4600</v>
      </c>
      <c r="P813" s="44">
        <v>2300</v>
      </c>
      <c r="Q813" s="13">
        <v>0</v>
      </c>
      <c r="R813" s="13">
        <v>0</v>
      </c>
      <c r="S813" s="14">
        <f t="shared" ref="S813:S820" si="78">(SUM(O813:R813))</f>
        <v>6900</v>
      </c>
      <c r="T813" s="13">
        <f t="shared" ref="T813:T820" si="79">S813+100</f>
        <v>7000</v>
      </c>
      <c r="U813" s="13">
        <f t="shared" ref="U813:U820" si="80">S813+200</f>
        <v>7100</v>
      </c>
      <c r="V813" s="13" t="s">
        <v>4133</v>
      </c>
      <c r="W813" s="51" t="s">
        <v>788</v>
      </c>
      <c r="X813" t="s">
        <v>789</v>
      </c>
    </row>
    <row r="814" spans="1:25" ht="30" customHeight="1">
      <c r="A814" s="60">
        <v>8</v>
      </c>
      <c r="B814" s="13">
        <v>4846</v>
      </c>
      <c r="C814" s="64" t="s">
        <v>893</v>
      </c>
      <c r="D814" s="9" t="s">
        <v>894</v>
      </c>
      <c r="E814" s="66" t="s">
        <v>878</v>
      </c>
      <c r="F814" s="13">
        <v>2100</v>
      </c>
      <c r="G814" s="13">
        <v>0</v>
      </c>
      <c r="H814" s="13">
        <v>0</v>
      </c>
      <c r="I814" s="13">
        <v>0</v>
      </c>
      <c r="J814" s="13">
        <v>0</v>
      </c>
      <c r="K814" s="13">
        <v>1900</v>
      </c>
      <c r="L814" s="13">
        <v>2100</v>
      </c>
      <c r="M814" s="13">
        <v>2100</v>
      </c>
      <c r="N814" s="13">
        <v>2100</v>
      </c>
      <c r="O814" s="12">
        <f t="shared" si="77"/>
        <v>8200</v>
      </c>
      <c r="P814" s="13">
        <v>2100</v>
      </c>
      <c r="Q814" s="13">
        <v>0</v>
      </c>
      <c r="R814" s="13">
        <v>3000</v>
      </c>
      <c r="S814" s="14">
        <f t="shared" si="78"/>
        <v>13300</v>
      </c>
      <c r="T814" s="13">
        <f t="shared" si="79"/>
        <v>13400</v>
      </c>
      <c r="U814" s="13">
        <f t="shared" si="80"/>
        <v>13500</v>
      </c>
      <c r="V814" s="13" t="s">
        <v>4133</v>
      </c>
      <c r="W814" s="24" t="s">
        <v>895</v>
      </c>
    </row>
    <row r="815" spans="1:25" ht="30" customHeight="1">
      <c r="A815" s="13">
        <v>9</v>
      </c>
      <c r="B815" s="13">
        <v>4847</v>
      </c>
      <c r="C815" s="64" t="s">
        <v>807</v>
      </c>
      <c r="D815" s="9" t="s">
        <v>382</v>
      </c>
      <c r="E815" s="66" t="s">
        <v>878</v>
      </c>
      <c r="F815" s="13">
        <v>2200</v>
      </c>
      <c r="G815" s="13">
        <v>0</v>
      </c>
      <c r="H815" s="13">
        <v>0</v>
      </c>
      <c r="I815" s="13">
        <v>0</v>
      </c>
      <c r="J815" s="13">
        <v>0</v>
      </c>
      <c r="K815" s="13">
        <v>0</v>
      </c>
      <c r="L815" s="13">
        <v>2200</v>
      </c>
      <c r="M815" s="13">
        <v>2200</v>
      </c>
      <c r="N815" s="13">
        <v>2200</v>
      </c>
      <c r="O815" s="12">
        <f t="shared" si="77"/>
        <v>6600</v>
      </c>
      <c r="P815" s="13">
        <v>2200</v>
      </c>
      <c r="Q815" s="13">
        <v>0</v>
      </c>
      <c r="R815" s="13">
        <v>3000</v>
      </c>
      <c r="S815" s="14">
        <f t="shared" si="78"/>
        <v>11800</v>
      </c>
      <c r="T815" s="13">
        <f t="shared" si="79"/>
        <v>11900</v>
      </c>
      <c r="U815" s="13">
        <f t="shared" si="80"/>
        <v>12000</v>
      </c>
      <c r="V815" s="13" t="s">
        <v>4133</v>
      </c>
      <c r="W815" s="24" t="s">
        <v>895</v>
      </c>
    </row>
    <row r="816" spans="1:25" s="17" customFormat="1" ht="30" customHeight="1">
      <c r="A816" s="25">
        <v>30</v>
      </c>
      <c r="B816" s="13">
        <v>6548</v>
      </c>
      <c r="C816" s="9" t="s">
        <v>479</v>
      </c>
      <c r="D816" s="9" t="s">
        <v>480</v>
      </c>
      <c r="E816" s="11" t="s">
        <v>432</v>
      </c>
      <c r="F816" s="13">
        <v>1900</v>
      </c>
      <c r="G816" s="13">
        <v>0</v>
      </c>
      <c r="H816" s="13">
        <v>0</v>
      </c>
      <c r="I816" s="13">
        <v>0</v>
      </c>
      <c r="J816" s="13">
        <v>1700</v>
      </c>
      <c r="K816" s="13">
        <v>1700</v>
      </c>
      <c r="L816" s="13">
        <v>1900</v>
      </c>
      <c r="M816" s="13">
        <v>1900</v>
      </c>
      <c r="N816" s="13">
        <v>1900</v>
      </c>
      <c r="O816" s="12">
        <f t="shared" si="77"/>
        <v>9100</v>
      </c>
      <c r="P816" s="13">
        <v>1900</v>
      </c>
      <c r="Q816" s="13">
        <v>0</v>
      </c>
      <c r="R816" s="13">
        <v>3000</v>
      </c>
      <c r="S816" s="14">
        <f t="shared" si="78"/>
        <v>14000</v>
      </c>
      <c r="T816" s="13">
        <f t="shared" si="79"/>
        <v>14100</v>
      </c>
      <c r="U816" s="13">
        <f t="shared" si="80"/>
        <v>14200</v>
      </c>
      <c r="V816" s="13" t="s">
        <v>4133</v>
      </c>
      <c r="W816" s="15" t="s">
        <v>481</v>
      </c>
    </row>
    <row r="817" spans="1:24" s="17" customFormat="1" ht="30" customHeight="1">
      <c r="A817" s="1">
        <v>26</v>
      </c>
      <c r="B817" s="13">
        <v>6865</v>
      </c>
      <c r="C817" s="9" t="s">
        <v>513</v>
      </c>
      <c r="D817" s="10" t="s">
        <v>1655</v>
      </c>
      <c r="E817" s="11" t="s">
        <v>255</v>
      </c>
      <c r="F817" s="13">
        <v>1000</v>
      </c>
      <c r="G817" s="13">
        <v>0</v>
      </c>
      <c r="H817" s="13">
        <v>0</v>
      </c>
      <c r="I817" s="13">
        <v>0</v>
      </c>
      <c r="J817" s="13">
        <v>0</v>
      </c>
      <c r="K817" s="13">
        <v>0</v>
      </c>
      <c r="L817" s="13">
        <v>0</v>
      </c>
      <c r="M817" s="13">
        <v>2000</v>
      </c>
      <c r="N817" s="13">
        <v>1000</v>
      </c>
      <c r="O817" s="12">
        <f t="shared" si="77"/>
        <v>3000</v>
      </c>
      <c r="P817" s="13">
        <v>1000</v>
      </c>
      <c r="Q817" s="13">
        <v>0</v>
      </c>
      <c r="R817" s="13">
        <v>3000</v>
      </c>
      <c r="S817" s="14">
        <f t="shared" si="78"/>
        <v>7000</v>
      </c>
      <c r="T817" s="13">
        <f t="shared" si="79"/>
        <v>7100</v>
      </c>
      <c r="U817" s="13">
        <f t="shared" si="80"/>
        <v>7200</v>
      </c>
      <c r="V817" s="13" t="s">
        <v>4133</v>
      </c>
      <c r="W817" s="24" t="s">
        <v>4110</v>
      </c>
      <c r="X817" s="17" t="s">
        <v>4114</v>
      </c>
    </row>
    <row r="818" spans="1:24" ht="30" customHeight="1">
      <c r="A818" s="1">
        <v>23</v>
      </c>
      <c r="B818" s="8">
        <v>6841</v>
      </c>
      <c r="C818" s="9" t="s">
        <v>141</v>
      </c>
      <c r="D818" s="10" t="s">
        <v>142</v>
      </c>
      <c r="E818" s="11" t="s">
        <v>4056</v>
      </c>
      <c r="F818" s="8">
        <v>2400</v>
      </c>
      <c r="G818" s="8">
        <v>0</v>
      </c>
      <c r="H818" s="8">
        <v>0</v>
      </c>
      <c r="I818" s="8">
        <v>0</v>
      </c>
      <c r="J818" s="8">
        <v>0</v>
      </c>
      <c r="K818" s="8">
        <v>0</v>
      </c>
      <c r="L818" s="8">
        <v>0</v>
      </c>
      <c r="M818" s="8">
        <v>0</v>
      </c>
      <c r="N818" s="8">
        <v>1800</v>
      </c>
      <c r="O818" s="12">
        <f t="shared" si="77"/>
        <v>1800</v>
      </c>
      <c r="P818" s="8">
        <v>2400</v>
      </c>
      <c r="Q818" s="13">
        <v>0</v>
      </c>
      <c r="R818" s="13">
        <v>3000</v>
      </c>
      <c r="S818" s="14">
        <f t="shared" si="78"/>
        <v>7200</v>
      </c>
      <c r="T818" s="13">
        <f t="shared" si="79"/>
        <v>7300</v>
      </c>
      <c r="U818" s="13">
        <f t="shared" si="80"/>
        <v>7400</v>
      </c>
      <c r="V818" s="13" t="s">
        <v>4133</v>
      </c>
      <c r="W818" s="15" t="s">
        <v>143</v>
      </c>
      <c r="X818" t="s">
        <v>144</v>
      </c>
    </row>
    <row r="819" spans="1:24" ht="30" customHeight="1">
      <c r="A819" s="1">
        <v>19</v>
      </c>
      <c r="B819" s="8">
        <v>6753</v>
      </c>
      <c r="C819" s="9" t="s">
        <v>88</v>
      </c>
      <c r="D819" s="10" t="s">
        <v>89</v>
      </c>
      <c r="E819" s="11" t="s">
        <v>16</v>
      </c>
      <c r="F819" s="8">
        <v>1100</v>
      </c>
      <c r="G819" s="8">
        <v>0</v>
      </c>
      <c r="H819" s="8">
        <v>0</v>
      </c>
      <c r="I819" s="8">
        <v>0</v>
      </c>
      <c r="J819" s="8">
        <v>0</v>
      </c>
      <c r="K819" s="8">
        <v>0</v>
      </c>
      <c r="L819" s="8">
        <v>0</v>
      </c>
      <c r="M819" s="8">
        <v>1100</v>
      </c>
      <c r="N819" s="8">
        <v>1100</v>
      </c>
      <c r="O819" s="12">
        <f t="shared" si="77"/>
        <v>2200</v>
      </c>
      <c r="P819" s="8">
        <v>1100</v>
      </c>
      <c r="Q819" s="13">
        <v>0</v>
      </c>
      <c r="R819" s="13">
        <v>3000</v>
      </c>
      <c r="S819" s="14">
        <f t="shared" si="78"/>
        <v>6300</v>
      </c>
      <c r="T819" s="13">
        <f t="shared" si="79"/>
        <v>6400</v>
      </c>
      <c r="U819" s="13">
        <f t="shared" si="80"/>
        <v>6500</v>
      </c>
      <c r="V819" s="13" t="s">
        <v>4133</v>
      </c>
      <c r="W819" s="15" t="s">
        <v>90</v>
      </c>
      <c r="X819" t="s">
        <v>78</v>
      </c>
    </row>
    <row r="820" spans="1:24" ht="30" customHeight="1">
      <c r="A820" s="25">
        <v>32</v>
      </c>
      <c r="B820" s="13">
        <v>6446</v>
      </c>
      <c r="C820" s="9" t="s">
        <v>544</v>
      </c>
      <c r="D820" s="9" t="s">
        <v>545</v>
      </c>
      <c r="E820" s="53" t="s">
        <v>3087</v>
      </c>
      <c r="F820" s="13">
        <v>2200</v>
      </c>
      <c r="G820" s="13">
        <v>0</v>
      </c>
      <c r="H820" s="13">
        <v>0</v>
      </c>
      <c r="I820" s="13">
        <v>0</v>
      </c>
      <c r="J820" s="13">
        <v>0</v>
      </c>
      <c r="K820" s="13">
        <v>0</v>
      </c>
      <c r="L820" s="13">
        <v>0</v>
      </c>
      <c r="M820" s="13">
        <v>0</v>
      </c>
      <c r="N820" s="13">
        <v>2200</v>
      </c>
      <c r="O820" s="12">
        <f t="shared" si="77"/>
        <v>2200</v>
      </c>
      <c r="P820" s="13">
        <v>2200</v>
      </c>
      <c r="Q820" s="13">
        <v>0</v>
      </c>
      <c r="R820" s="13">
        <v>3000</v>
      </c>
      <c r="S820" s="14">
        <f t="shared" si="78"/>
        <v>7400</v>
      </c>
      <c r="T820" s="13">
        <f t="shared" si="79"/>
        <v>7500</v>
      </c>
      <c r="U820" s="13">
        <f t="shared" si="80"/>
        <v>7600</v>
      </c>
      <c r="V820" s="13" t="s">
        <v>4133</v>
      </c>
      <c r="W820" s="15" t="s">
        <v>90</v>
      </c>
    </row>
    <row r="821" spans="1:24" ht="30" customHeight="1">
      <c r="A821" s="25">
        <v>33</v>
      </c>
      <c r="B821" s="13">
        <v>6634</v>
      </c>
      <c r="C821" s="9" t="s">
        <v>568</v>
      </c>
      <c r="D821" s="9" t="s">
        <v>569</v>
      </c>
      <c r="E821" s="38" t="s">
        <v>3426</v>
      </c>
      <c r="F821" s="40">
        <v>2500</v>
      </c>
      <c r="G821" s="40">
        <v>0</v>
      </c>
      <c r="H821" s="40">
        <v>0</v>
      </c>
      <c r="I821" s="40">
        <v>0</v>
      </c>
      <c r="J821" s="40">
        <v>0</v>
      </c>
      <c r="K821" s="40">
        <v>0</v>
      </c>
      <c r="L821" s="40">
        <v>0</v>
      </c>
      <c r="M821" s="40">
        <v>0</v>
      </c>
      <c r="N821" s="40">
        <v>0</v>
      </c>
      <c r="O821" s="12">
        <f>(SUM(G821:N821))</f>
        <v>0</v>
      </c>
      <c r="P821" s="40">
        <v>2500</v>
      </c>
      <c r="Q821" s="13">
        <v>0</v>
      </c>
      <c r="R821" s="13">
        <v>0</v>
      </c>
      <c r="S821" s="14">
        <f>(SUM(O821:R821))</f>
        <v>2500</v>
      </c>
      <c r="T821" s="13">
        <f>S821+100</f>
        <v>2600</v>
      </c>
      <c r="U821" s="13">
        <f>S821+200</f>
        <v>2700</v>
      </c>
      <c r="V821" s="13" t="s">
        <v>4133</v>
      </c>
      <c r="W821" s="15" t="s">
        <v>570</v>
      </c>
    </row>
    <row r="822" spans="1:24" ht="30" customHeight="1">
      <c r="A822" s="19">
        <v>3</v>
      </c>
      <c r="B822" s="8">
        <v>6007</v>
      </c>
      <c r="C822" s="41" t="s">
        <v>722</v>
      </c>
      <c r="D822" s="10" t="s">
        <v>545</v>
      </c>
      <c r="E822" s="58" t="s">
        <v>720</v>
      </c>
      <c r="F822" s="44">
        <v>2300</v>
      </c>
      <c r="G822" s="44">
        <v>0</v>
      </c>
      <c r="H822" s="44">
        <v>0</v>
      </c>
      <c r="I822" s="44">
        <v>0</v>
      </c>
      <c r="J822" s="44">
        <v>0</v>
      </c>
      <c r="K822" s="44">
        <v>0</v>
      </c>
      <c r="L822" s="44">
        <v>0</v>
      </c>
      <c r="M822" s="44">
        <v>0</v>
      </c>
      <c r="N822" s="44">
        <v>2300</v>
      </c>
      <c r="O822" s="12">
        <f>(SUM(G822:N822))</f>
        <v>2300</v>
      </c>
      <c r="P822" s="44">
        <v>2300</v>
      </c>
      <c r="Q822" s="13">
        <v>0</v>
      </c>
      <c r="R822" s="13">
        <v>3000</v>
      </c>
      <c r="S822" s="14">
        <f>(SUM(O822:R822))</f>
        <v>7600</v>
      </c>
      <c r="T822" s="13">
        <f>S822+100</f>
        <v>7700</v>
      </c>
      <c r="U822" s="13">
        <f>S822+200</f>
        <v>7800</v>
      </c>
      <c r="V822" s="13" t="s">
        <v>4133</v>
      </c>
      <c r="W822" s="37" t="s">
        <v>723</v>
      </c>
    </row>
    <row r="823" spans="1:24" ht="30" customHeight="1">
      <c r="A823" s="62">
        <v>16</v>
      </c>
      <c r="B823" s="19">
        <v>6078</v>
      </c>
      <c r="C823" s="21" t="s">
        <v>221</v>
      </c>
      <c r="D823" s="21" t="s">
        <v>998</v>
      </c>
      <c r="E823" s="71" t="s">
        <v>964</v>
      </c>
      <c r="F823" s="13">
        <v>2500</v>
      </c>
      <c r="G823" s="13">
        <v>0</v>
      </c>
      <c r="H823" s="13">
        <v>0</v>
      </c>
      <c r="I823" s="13">
        <v>0</v>
      </c>
      <c r="J823" s="13">
        <v>0</v>
      </c>
      <c r="K823" s="13">
        <v>0</v>
      </c>
      <c r="L823" s="13">
        <v>0</v>
      </c>
      <c r="M823" s="13">
        <v>0</v>
      </c>
      <c r="N823" s="13">
        <v>0</v>
      </c>
      <c r="O823" s="12">
        <f>(SUM(G823:N823))</f>
        <v>0</v>
      </c>
      <c r="P823" s="13">
        <v>2500</v>
      </c>
      <c r="Q823" s="13">
        <v>0</v>
      </c>
      <c r="R823" s="13">
        <v>2800</v>
      </c>
      <c r="S823" s="14">
        <f>(SUM(O823:R823))</f>
        <v>5300</v>
      </c>
      <c r="T823" s="13">
        <f>S823+100</f>
        <v>5400</v>
      </c>
      <c r="U823" s="13">
        <f>S823+200</f>
        <v>5500</v>
      </c>
      <c r="V823" s="13" t="s">
        <v>4133</v>
      </c>
      <c r="W823" s="15" t="s">
        <v>999</v>
      </c>
    </row>
    <row r="824" spans="1:24" ht="23.25">
      <c r="D824" s="287">
        <v>46044</v>
      </c>
    </row>
    <row r="825" spans="1:24" ht="30" customHeight="1">
      <c r="A825" s="13">
        <v>37</v>
      </c>
      <c r="B825" s="19">
        <v>6830</v>
      </c>
      <c r="C825" s="21" t="s">
        <v>444</v>
      </c>
      <c r="D825" s="50" t="s">
        <v>873</v>
      </c>
      <c r="E825" s="53" t="s">
        <v>793</v>
      </c>
      <c r="F825" s="12">
        <v>2500</v>
      </c>
      <c r="G825" s="12">
        <v>0</v>
      </c>
      <c r="H825" s="12">
        <v>0</v>
      </c>
      <c r="I825" s="12">
        <v>0</v>
      </c>
      <c r="J825" s="12">
        <v>0</v>
      </c>
      <c r="K825" s="12">
        <v>0</v>
      </c>
      <c r="L825" s="12">
        <v>0</v>
      </c>
      <c r="M825" s="12">
        <v>0</v>
      </c>
      <c r="N825" s="12">
        <v>0</v>
      </c>
      <c r="O825" s="12">
        <f t="shared" ref="O825:O833" si="81">(SUM(G825:N825))</f>
        <v>0</v>
      </c>
      <c r="P825" s="12">
        <v>2500</v>
      </c>
      <c r="Q825" s="13">
        <v>0</v>
      </c>
      <c r="R825" s="13">
        <v>0</v>
      </c>
      <c r="S825" s="14">
        <f t="shared" ref="S825:S833" si="82">(SUM(O825:R825))</f>
        <v>2500</v>
      </c>
      <c r="T825" s="13">
        <f t="shared" ref="T825:T833" si="83">S825+100</f>
        <v>2600</v>
      </c>
      <c r="U825" s="13">
        <f t="shared" ref="U825:U833" si="84">S825+200</f>
        <v>2700</v>
      </c>
      <c r="V825" s="13" t="s">
        <v>4133</v>
      </c>
      <c r="W825" s="51" t="s">
        <v>874</v>
      </c>
      <c r="X825" t="s">
        <v>875</v>
      </c>
    </row>
    <row r="826" spans="1:24" ht="30" customHeight="1">
      <c r="A826" s="42">
        <v>36</v>
      </c>
      <c r="B826" s="13">
        <v>6832</v>
      </c>
      <c r="C826" s="63" t="s">
        <v>1199</v>
      </c>
      <c r="D826" s="63" t="s">
        <v>873</v>
      </c>
      <c r="E826" s="71" t="s">
        <v>1127</v>
      </c>
      <c r="F826" s="60">
        <v>0</v>
      </c>
      <c r="G826" s="60">
        <v>0</v>
      </c>
      <c r="H826" s="60">
        <v>0</v>
      </c>
      <c r="I826" s="60">
        <v>0</v>
      </c>
      <c r="J826" s="60">
        <v>0</v>
      </c>
      <c r="K826" s="60">
        <v>0</v>
      </c>
      <c r="L826" s="60">
        <v>0</v>
      </c>
      <c r="M826" s="60">
        <v>0</v>
      </c>
      <c r="N826" s="60">
        <v>0</v>
      </c>
      <c r="O826" s="12">
        <f t="shared" si="81"/>
        <v>0</v>
      </c>
      <c r="P826" s="60">
        <v>0</v>
      </c>
      <c r="Q826" s="13">
        <v>0</v>
      </c>
      <c r="R826" s="13">
        <v>0</v>
      </c>
      <c r="S826" s="14">
        <f t="shared" si="82"/>
        <v>0</v>
      </c>
      <c r="T826" s="13">
        <f t="shared" si="83"/>
        <v>100</v>
      </c>
      <c r="U826" s="13">
        <f t="shared" si="84"/>
        <v>200</v>
      </c>
      <c r="V826" s="13" t="s">
        <v>4133</v>
      </c>
      <c r="W826" s="51" t="s">
        <v>1200</v>
      </c>
      <c r="X826" s="80" t="s">
        <v>1201</v>
      </c>
    </row>
    <row r="827" spans="1:24" ht="30" customHeight="1">
      <c r="A827" s="93">
        <v>38</v>
      </c>
      <c r="B827" s="13">
        <v>6833</v>
      </c>
      <c r="C827" s="9" t="s">
        <v>1778</v>
      </c>
      <c r="D827" s="9" t="s">
        <v>873</v>
      </c>
      <c r="E827" s="66" t="s">
        <v>1689</v>
      </c>
      <c r="F827" s="13">
        <v>2600</v>
      </c>
      <c r="G827" s="13">
        <v>0</v>
      </c>
      <c r="H827" s="13">
        <v>0</v>
      </c>
      <c r="I827" s="13">
        <v>0</v>
      </c>
      <c r="J827" s="13">
        <v>0</v>
      </c>
      <c r="K827" s="13">
        <v>0</v>
      </c>
      <c r="L827" s="13">
        <v>0</v>
      </c>
      <c r="M827" s="13">
        <v>0</v>
      </c>
      <c r="N827" s="13">
        <v>0</v>
      </c>
      <c r="O827" s="12">
        <f t="shared" si="81"/>
        <v>0</v>
      </c>
      <c r="P827" s="13">
        <v>2600</v>
      </c>
      <c r="Q827" s="13">
        <v>0</v>
      </c>
      <c r="R827" s="13">
        <v>0</v>
      </c>
      <c r="S827" s="14">
        <f t="shared" si="82"/>
        <v>2600</v>
      </c>
      <c r="T827" s="13">
        <f t="shared" si="83"/>
        <v>2700</v>
      </c>
      <c r="U827" s="13">
        <f t="shared" si="84"/>
        <v>2800</v>
      </c>
      <c r="V827" s="13" t="s">
        <v>4133</v>
      </c>
      <c r="W827" s="23" t="s">
        <v>1779</v>
      </c>
      <c r="X827" t="s">
        <v>1780</v>
      </c>
    </row>
    <row r="828" spans="1:24" s="17" customFormat="1" ht="30" customHeight="1">
      <c r="A828" s="1">
        <v>23</v>
      </c>
      <c r="B828" s="13">
        <v>6600</v>
      </c>
      <c r="C828" s="9" t="s">
        <v>321</v>
      </c>
      <c r="D828" s="9" t="s">
        <v>322</v>
      </c>
      <c r="E828" s="11" t="s">
        <v>255</v>
      </c>
      <c r="F828" s="13">
        <v>2200</v>
      </c>
      <c r="G828" s="13">
        <v>0</v>
      </c>
      <c r="H828" s="13">
        <v>0</v>
      </c>
      <c r="I828" s="13">
        <v>0</v>
      </c>
      <c r="J828" s="13">
        <v>0</v>
      </c>
      <c r="K828" s="13">
        <v>0</v>
      </c>
      <c r="L828" s="13">
        <v>0</v>
      </c>
      <c r="M828" s="13">
        <v>0</v>
      </c>
      <c r="N828" s="13">
        <v>2200</v>
      </c>
      <c r="O828" s="12">
        <f t="shared" si="81"/>
        <v>2200</v>
      </c>
      <c r="P828" s="13">
        <v>2200</v>
      </c>
      <c r="Q828" s="13">
        <v>0</v>
      </c>
      <c r="R828" s="13">
        <v>3000</v>
      </c>
      <c r="S828" s="14">
        <f t="shared" si="82"/>
        <v>7400</v>
      </c>
      <c r="T828" s="13">
        <f t="shared" si="83"/>
        <v>7500</v>
      </c>
      <c r="U828" s="13">
        <f t="shared" si="84"/>
        <v>7600</v>
      </c>
      <c r="V828" s="13" t="s">
        <v>4133</v>
      </c>
      <c r="W828" s="15" t="s">
        <v>323</v>
      </c>
    </row>
    <row r="829" spans="1:24" ht="30" customHeight="1">
      <c r="A829" s="42">
        <v>36</v>
      </c>
      <c r="B829" s="13">
        <v>6861</v>
      </c>
      <c r="C829" s="63" t="s">
        <v>4102</v>
      </c>
      <c r="D829" s="63" t="s">
        <v>3366</v>
      </c>
      <c r="E829" s="71" t="s">
        <v>1127</v>
      </c>
      <c r="F829" s="60">
        <v>0</v>
      </c>
      <c r="G829" s="60">
        <v>0</v>
      </c>
      <c r="H829" s="60">
        <v>0</v>
      </c>
      <c r="I829" s="60">
        <v>0</v>
      </c>
      <c r="J829" s="60">
        <v>0</v>
      </c>
      <c r="K829" s="60">
        <v>0</v>
      </c>
      <c r="L829" s="60">
        <v>0</v>
      </c>
      <c r="M829" s="60">
        <v>0</v>
      </c>
      <c r="N829" s="60">
        <v>0</v>
      </c>
      <c r="O829" s="12">
        <f t="shared" si="81"/>
        <v>0</v>
      </c>
      <c r="P829" s="60">
        <v>0</v>
      </c>
      <c r="Q829" s="13">
        <v>0</v>
      </c>
      <c r="R829" s="13">
        <v>0</v>
      </c>
      <c r="S829" s="14">
        <f t="shared" si="82"/>
        <v>0</v>
      </c>
      <c r="T829" s="13">
        <f t="shared" si="83"/>
        <v>100</v>
      </c>
      <c r="U829" s="13">
        <f t="shared" si="84"/>
        <v>200</v>
      </c>
      <c r="V829" s="13" t="s">
        <v>4133</v>
      </c>
      <c r="W829" s="51" t="s">
        <v>4100</v>
      </c>
      <c r="X829" s="80"/>
    </row>
    <row r="830" spans="1:24" ht="30" customHeight="1">
      <c r="A830" s="42">
        <v>18</v>
      </c>
      <c r="B830" s="13">
        <v>6504</v>
      </c>
      <c r="C830" s="9" t="s">
        <v>1535</v>
      </c>
      <c r="D830" s="9" t="s">
        <v>1536</v>
      </c>
      <c r="E830" s="66" t="s">
        <v>1501</v>
      </c>
      <c r="F830" s="44">
        <v>2600</v>
      </c>
      <c r="G830" s="44">
        <v>0</v>
      </c>
      <c r="H830" s="44">
        <v>0</v>
      </c>
      <c r="I830" s="44">
        <v>0</v>
      </c>
      <c r="J830" s="44">
        <v>0</v>
      </c>
      <c r="K830" s="44">
        <v>0</v>
      </c>
      <c r="L830" s="44">
        <v>1800</v>
      </c>
      <c r="M830" s="44">
        <v>2600</v>
      </c>
      <c r="N830" s="44">
        <v>2600</v>
      </c>
      <c r="O830" s="12">
        <f t="shared" si="81"/>
        <v>7000</v>
      </c>
      <c r="P830" s="44">
        <v>2600</v>
      </c>
      <c r="Q830" s="13">
        <v>0</v>
      </c>
      <c r="R830" s="13">
        <v>3000</v>
      </c>
      <c r="S830" s="14">
        <f t="shared" si="82"/>
        <v>12600</v>
      </c>
      <c r="T830" s="13">
        <f t="shared" si="83"/>
        <v>12700</v>
      </c>
      <c r="U830" s="13">
        <f t="shared" si="84"/>
        <v>12800</v>
      </c>
      <c r="V830" s="13" t="s">
        <v>4133</v>
      </c>
      <c r="W830" s="23" t="s">
        <v>1537</v>
      </c>
    </row>
    <row r="831" spans="1:24" ht="30" customHeight="1">
      <c r="A831" s="42">
        <v>19</v>
      </c>
      <c r="B831" s="13">
        <v>6505</v>
      </c>
      <c r="C831" s="9" t="s">
        <v>1538</v>
      </c>
      <c r="D831" s="9" t="s">
        <v>1536</v>
      </c>
      <c r="E831" s="66" t="s">
        <v>1501</v>
      </c>
      <c r="F831" s="44">
        <v>2600</v>
      </c>
      <c r="G831" s="44">
        <v>0</v>
      </c>
      <c r="H831" s="44">
        <v>0</v>
      </c>
      <c r="I831" s="44">
        <v>2400</v>
      </c>
      <c r="J831" s="44">
        <v>2400</v>
      </c>
      <c r="K831" s="44">
        <v>2400</v>
      </c>
      <c r="L831" s="44">
        <v>2600</v>
      </c>
      <c r="M831" s="44">
        <v>2600</v>
      </c>
      <c r="N831" s="44">
        <v>2600</v>
      </c>
      <c r="O831" s="12">
        <f t="shared" si="81"/>
        <v>15000</v>
      </c>
      <c r="P831" s="44">
        <v>2600</v>
      </c>
      <c r="Q831" s="13">
        <v>0</v>
      </c>
      <c r="R831" s="13">
        <v>3000</v>
      </c>
      <c r="S831" s="14">
        <f t="shared" si="82"/>
        <v>20600</v>
      </c>
      <c r="T831" s="13">
        <f t="shared" si="83"/>
        <v>20700</v>
      </c>
      <c r="U831" s="13">
        <f t="shared" si="84"/>
        <v>20800</v>
      </c>
      <c r="V831" s="13" t="s">
        <v>4133</v>
      </c>
      <c r="W831" s="23" t="s">
        <v>1537</v>
      </c>
    </row>
    <row r="832" spans="1:24" ht="30" customHeight="1">
      <c r="A832" s="42">
        <v>8</v>
      </c>
      <c r="B832" s="13">
        <v>4969</v>
      </c>
      <c r="C832" s="9" t="s">
        <v>212</v>
      </c>
      <c r="D832" s="9" t="s">
        <v>593</v>
      </c>
      <c r="E832" s="38" t="s">
        <v>577</v>
      </c>
      <c r="F832" s="44">
        <v>1600</v>
      </c>
      <c r="G832" s="44">
        <v>0</v>
      </c>
      <c r="H832" s="44">
        <v>0</v>
      </c>
      <c r="I832" s="44">
        <v>0</v>
      </c>
      <c r="J832" s="44">
        <v>0</v>
      </c>
      <c r="K832" s="44">
        <v>0</v>
      </c>
      <c r="L832" s="44">
        <v>0</v>
      </c>
      <c r="M832" s="44">
        <v>0</v>
      </c>
      <c r="N832" s="44">
        <v>1600</v>
      </c>
      <c r="O832" s="12">
        <f t="shared" si="81"/>
        <v>1600</v>
      </c>
      <c r="P832" s="44">
        <v>1600</v>
      </c>
      <c r="Q832" s="13">
        <v>0</v>
      </c>
      <c r="R832" s="13">
        <v>3000</v>
      </c>
      <c r="S832" s="14">
        <f t="shared" si="82"/>
        <v>6200</v>
      </c>
      <c r="T832" s="13">
        <f t="shared" si="83"/>
        <v>6300</v>
      </c>
      <c r="U832" s="13">
        <f t="shared" si="84"/>
        <v>6400</v>
      </c>
      <c r="V832" s="13" t="s">
        <v>4133</v>
      </c>
      <c r="W832" s="23" t="s">
        <v>594</v>
      </c>
    </row>
    <row r="833" spans="1:24" ht="30" customHeight="1">
      <c r="A833" s="74">
        <v>23</v>
      </c>
      <c r="B833" s="13">
        <v>4971</v>
      </c>
      <c r="C833" s="9" t="s">
        <v>1375</v>
      </c>
      <c r="D833" s="9" t="s">
        <v>593</v>
      </c>
      <c r="E833" s="66" t="s">
        <v>1327</v>
      </c>
      <c r="F833" s="13">
        <v>2400</v>
      </c>
      <c r="G833" s="13">
        <v>0</v>
      </c>
      <c r="H833" s="13">
        <v>0</v>
      </c>
      <c r="I833" s="13">
        <v>0</v>
      </c>
      <c r="J833" s="13">
        <v>0</v>
      </c>
      <c r="K833" s="13">
        <v>0</v>
      </c>
      <c r="L833" s="13">
        <v>0</v>
      </c>
      <c r="M833" s="13">
        <v>0</v>
      </c>
      <c r="N833" s="13">
        <v>2400</v>
      </c>
      <c r="O833" s="12">
        <f t="shared" si="81"/>
        <v>2400</v>
      </c>
      <c r="P833" s="13">
        <v>2400</v>
      </c>
      <c r="Q833" s="13">
        <v>0</v>
      </c>
      <c r="R833" s="13">
        <v>3000</v>
      </c>
      <c r="S833" s="14">
        <f t="shared" si="82"/>
        <v>7800</v>
      </c>
      <c r="T833" s="13">
        <f t="shared" si="83"/>
        <v>7900</v>
      </c>
      <c r="U833" s="13">
        <f t="shared" si="84"/>
        <v>8000</v>
      </c>
      <c r="V833" s="13" t="s">
        <v>4133</v>
      </c>
      <c r="W833" s="72" t="s">
        <v>1376</v>
      </c>
    </row>
    <row r="834" spans="1:24" ht="30" customHeight="1">
      <c r="A834" s="1">
        <v>5</v>
      </c>
      <c r="B834" s="8">
        <v>6707</v>
      </c>
      <c r="C834" s="9" t="s">
        <v>65</v>
      </c>
      <c r="D834" s="10" t="s">
        <v>66</v>
      </c>
      <c r="E834" s="11" t="s">
        <v>4056</v>
      </c>
      <c r="F834" s="8">
        <v>2200</v>
      </c>
      <c r="G834" s="8">
        <v>0</v>
      </c>
      <c r="H834" s="8">
        <v>0</v>
      </c>
      <c r="I834" s="8">
        <v>0</v>
      </c>
      <c r="J834" s="8">
        <v>2000</v>
      </c>
      <c r="K834" s="8">
        <v>2000</v>
      </c>
      <c r="L834" s="8">
        <v>2200</v>
      </c>
      <c r="M834" s="8">
        <v>2200</v>
      </c>
      <c r="N834" s="8">
        <v>2200</v>
      </c>
      <c r="O834" s="12">
        <f>(SUM(G834:N834))</f>
        <v>10600</v>
      </c>
      <c r="P834" s="8">
        <v>2200</v>
      </c>
      <c r="Q834" s="13">
        <v>0</v>
      </c>
      <c r="R834" s="13">
        <v>0</v>
      </c>
      <c r="S834" s="14">
        <f>(SUM(O834:R834))</f>
        <v>12800</v>
      </c>
      <c r="T834" s="13">
        <f>S834+100</f>
        <v>12900</v>
      </c>
      <c r="U834" s="13">
        <f>S834+200</f>
        <v>13000</v>
      </c>
      <c r="V834" s="13" t="s">
        <v>4133</v>
      </c>
      <c r="W834" s="15" t="s">
        <v>67</v>
      </c>
      <c r="X834" t="s">
        <v>68</v>
      </c>
    </row>
    <row r="835" spans="1:24" ht="30" customHeight="1">
      <c r="A835" s="1">
        <v>6</v>
      </c>
      <c r="B835" s="8">
        <v>6709</v>
      </c>
      <c r="C835" s="9" t="s">
        <v>72</v>
      </c>
      <c r="D835" s="10" t="s">
        <v>66</v>
      </c>
      <c r="E835" s="11" t="s">
        <v>4056</v>
      </c>
      <c r="F835" s="8">
        <v>2200</v>
      </c>
      <c r="G835" s="8">
        <v>0</v>
      </c>
      <c r="H835" s="8">
        <v>0</v>
      </c>
      <c r="I835" s="8">
        <v>0</v>
      </c>
      <c r="J835" s="8">
        <v>2000</v>
      </c>
      <c r="K835" s="8">
        <v>2000</v>
      </c>
      <c r="L835" s="8">
        <v>2200</v>
      </c>
      <c r="M835" s="8">
        <v>2200</v>
      </c>
      <c r="N835" s="8">
        <v>2200</v>
      </c>
      <c r="O835" s="12">
        <f>(SUM(G835:N835))</f>
        <v>10600</v>
      </c>
      <c r="P835" s="8">
        <v>2200</v>
      </c>
      <c r="Q835" s="13">
        <v>0</v>
      </c>
      <c r="R835" s="13">
        <v>0</v>
      </c>
      <c r="S835" s="14">
        <f>(SUM(O835:R835))</f>
        <v>12800</v>
      </c>
      <c r="T835" s="13">
        <f>S835+100</f>
        <v>12900</v>
      </c>
      <c r="U835" s="13">
        <f>S835+200</f>
        <v>13000</v>
      </c>
      <c r="V835" s="13" t="s">
        <v>4133</v>
      </c>
      <c r="W835" s="15" t="s">
        <v>67</v>
      </c>
      <c r="X835" t="s">
        <v>68</v>
      </c>
    </row>
    <row r="836" spans="1:24" ht="30" customHeight="1">
      <c r="A836" s="93">
        <v>36</v>
      </c>
      <c r="B836" s="13">
        <v>6683</v>
      </c>
      <c r="C836" s="9" t="s">
        <v>1918</v>
      </c>
      <c r="D836" s="9" t="s">
        <v>1919</v>
      </c>
      <c r="E836" s="66" t="s">
        <v>1857</v>
      </c>
      <c r="F836" s="44">
        <v>2800</v>
      </c>
      <c r="G836" s="44">
        <v>0</v>
      </c>
      <c r="H836" s="44">
        <v>0</v>
      </c>
      <c r="I836" s="44">
        <v>0</v>
      </c>
      <c r="J836" s="44">
        <v>0</v>
      </c>
      <c r="K836" s="44">
        <v>0</v>
      </c>
      <c r="L836" s="44">
        <v>0</v>
      </c>
      <c r="M836" s="44">
        <v>0</v>
      </c>
      <c r="N836" s="44">
        <v>0</v>
      </c>
      <c r="O836" s="12">
        <f>(SUM(G836:N836))</f>
        <v>0</v>
      </c>
      <c r="P836" s="44">
        <v>2800</v>
      </c>
      <c r="Q836" s="13">
        <v>0</v>
      </c>
      <c r="R836" s="13">
        <v>1900</v>
      </c>
      <c r="S836" s="14">
        <f>(SUM(O836:R836))</f>
        <v>4700</v>
      </c>
      <c r="T836" s="13">
        <f>S836+100</f>
        <v>4800</v>
      </c>
      <c r="U836" s="13">
        <f>S836+200</f>
        <v>4900</v>
      </c>
      <c r="V836" s="13" t="s">
        <v>4133</v>
      </c>
      <c r="W836" s="23" t="s">
        <v>1920</v>
      </c>
    </row>
    <row r="837" spans="1:24" ht="30" customHeight="1">
      <c r="A837" s="13">
        <v>35</v>
      </c>
      <c r="B837" s="13">
        <v>6361</v>
      </c>
      <c r="C837" s="9" t="s">
        <v>146</v>
      </c>
      <c r="D837" s="9" t="s">
        <v>1919</v>
      </c>
      <c r="E837" s="71" t="s">
        <v>2154</v>
      </c>
      <c r="F837" s="44">
        <v>3000</v>
      </c>
      <c r="G837" s="44">
        <v>0</v>
      </c>
      <c r="H837" s="44">
        <v>0</v>
      </c>
      <c r="I837" s="44">
        <v>0</v>
      </c>
      <c r="J837" s="44">
        <v>0</v>
      </c>
      <c r="K837" s="44">
        <v>0</v>
      </c>
      <c r="L837" s="44">
        <v>0</v>
      </c>
      <c r="M837" s="44">
        <v>0</v>
      </c>
      <c r="N837" s="44">
        <v>0</v>
      </c>
      <c r="O837" s="12">
        <f>(SUM(G837:N837))</f>
        <v>0</v>
      </c>
      <c r="P837" s="44">
        <v>3000</v>
      </c>
      <c r="Q837" s="13">
        <v>0</v>
      </c>
      <c r="R837" s="13">
        <v>0</v>
      </c>
      <c r="S837" s="14">
        <f>(SUM(O837:R837))</f>
        <v>3000</v>
      </c>
      <c r="T837" s="13">
        <f>S837+100</f>
        <v>3100</v>
      </c>
      <c r="U837" s="13">
        <f>S837+200</f>
        <v>3200</v>
      </c>
      <c r="V837" s="13" t="s">
        <v>4133</v>
      </c>
      <c r="W837" s="23" t="s">
        <v>2231</v>
      </c>
    </row>
    <row r="838" spans="1:24" ht="30" customHeight="1">
      <c r="A838" s="74">
        <v>25</v>
      </c>
      <c r="B838" s="13">
        <v>6328</v>
      </c>
      <c r="C838" s="9" t="s">
        <v>1085</v>
      </c>
      <c r="D838" s="9" t="s">
        <v>1086</v>
      </c>
      <c r="E838" s="71" t="s">
        <v>1028</v>
      </c>
      <c r="F838" s="13">
        <v>2500</v>
      </c>
      <c r="G838" s="13">
        <v>0</v>
      </c>
      <c r="H838" s="13">
        <v>0</v>
      </c>
      <c r="I838" s="13">
        <v>0</v>
      </c>
      <c r="J838" s="13">
        <v>0</v>
      </c>
      <c r="K838" s="13">
        <v>0</v>
      </c>
      <c r="L838" s="13">
        <v>200</v>
      </c>
      <c r="M838" s="13">
        <v>2500</v>
      </c>
      <c r="N838" s="13">
        <v>2500</v>
      </c>
      <c r="O838" s="12">
        <f>(SUM(G838:N838))</f>
        <v>5200</v>
      </c>
      <c r="P838" s="13">
        <v>2500</v>
      </c>
      <c r="Q838" s="13">
        <v>0</v>
      </c>
      <c r="R838" s="13">
        <v>0</v>
      </c>
      <c r="S838" s="14">
        <f>(SUM(O838:R838))</f>
        <v>7700</v>
      </c>
      <c r="T838" s="13">
        <f>S838+100</f>
        <v>7800</v>
      </c>
      <c r="U838" s="13">
        <f>S838+200</f>
        <v>7900</v>
      </c>
      <c r="V838" s="13" t="s">
        <v>4133</v>
      </c>
      <c r="W838" s="72"/>
    </row>
    <row r="839" spans="1:24" ht="23.25">
      <c r="D839" s="287">
        <v>46050</v>
      </c>
    </row>
    <row r="840" spans="1:24" ht="30" customHeight="1">
      <c r="A840" s="19">
        <v>9</v>
      </c>
      <c r="B840" s="13">
        <v>6160</v>
      </c>
      <c r="C840" s="31" t="s">
        <v>734</v>
      </c>
      <c r="D840" s="9" t="s">
        <v>735</v>
      </c>
      <c r="E840" s="58" t="s">
        <v>720</v>
      </c>
      <c r="F840" s="44">
        <v>2100</v>
      </c>
      <c r="G840" s="44">
        <v>0</v>
      </c>
      <c r="H840" s="44">
        <v>0</v>
      </c>
      <c r="I840" s="44">
        <v>0</v>
      </c>
      <c r="J840" s="44">
        <v>1900</v>
      </c>
      <c r="K840" s="44">
        <v>1900</v>
      </c>
      <c r="L840" s="44">
        <v>2100</v>
      </c>
      <c r="M840" s="44">
        <v>2100</v>
      </c>
      <c r="N840" s="44">
        <v>2100</v>
      </c>
      <c r="O840" s="12">
        <f>(SUM(G840:N840))</f>
        <v>10100</v>
      </c>
      <c r="P840" s="44">
        <v>2100</v>
      </c>
      <c r="Q840" s="13">
        <v>0</v>
      </c>
      <c r="R840" s="13">
        <v>3000</v>
      </c>
      <c r="S840" s="14">
        <f>(SUM(O840:R840))</f>
        <v>15200</v>
      </c>
      <c r="T840" s="13">
        <f>S840+100</f>
        <v>15300</v>
      </c>
      <c r="U840" s="13">
        <f>S840+200</f>
        <v>15400</v>
      </c>
      <c r="V840" s="13" t="s">
        <v>4133</v>
      </c>
      <c r="W840" s="37" t="s">
        <v>736</v>
      </c>
    </row>
    <row r="841" spans="1:24" ht="30" customHeight="1">
      <c r="A841" s="13">
        <v>10</v>
      </c>
      <c r="B841" s="13">
        <v>6161</v>
      </c>
      <c r="C841" s="31" t="s">
        <v>737</v>
      </c>
      <c r="D841" s="9" t="s">
        <v>735</v>
      </c>
      <c r="E841" s="58" t="s">
        <v>720</v>
      </c>
      <c r="F841" s="44">
        <v>2100</v>
      </c>
      <c r="G841" s="44">
        <v>0</v>
      </c>
      <c r="H841" s="44">
        <v>0</v>
      </c>
      <c r="I841" s="44">
        <v>1400</v>
      </c>
      <c r="J841" s="44">
        <v>1900</v>
      </c>
      <c r="K841" s="44">
        <v>1900</v>
      </c>
      <c r="L841" s="44">
        <v>2100</v>
      </c>
      <c r="M841" s="44">
        <v>2100</v>
      </c>
      <c r="N841" s="44">
        <v>2100</v>
      </c>
      <c r="O841" s="12">
        <f>(SUM(G841:N841))</f>
        <v>11500</v>
      </c>
      <c r="P841" s="44">
        <v>2100</v>
      </c>
      <c r="Q841" s="13">
        <v>0</v>
      </c>
      <c r="R841" s="13">
        <v>3000</v>
      </c>
      <c r="S841" s="14">
        <f>(SUM(O841:R841))</f>
        <v>16600</v>
      </c>
      <c r="T841" s="13">
        <f>S841+100</f>
        <v>16700</v>
      </c>
      <c r="U841" s="13">
        <f>S841+200</f>
        <v>16800</v>
      </c>
      <c r="V841" s="13" t="s">
        <v>4133</v>
      </c>
      <c r="W841" s="23" t="s">
        <v>736</v>
      </c>
    </row>
    <row r="842" spans="1:24" ht="30" customHeight="1">
      <c r="A842" s="25">
        <v>34</v>
      </c>
      <c r="B842" s="19">
        <v>6696</v>
      </c>
      <c r="C842" s="21" t="s">
        <v>31</v>
      </c>
      <c r="D842" s="50" t="s">
        <v>713</v>
      </c>
      <c r="E842" s="11" t="s">
        <v>432</v>
      </c>
      <c r="F842" s="44">
        <v>2400</v>
      </c>
      <c r="G842" s="44">
        <v>0</v>
      </c>
      <c r="H842" s="44">
        <v>0</v>
      </c>
      <c r="I842" s="44">
        <v>0</v>
      </c>
      <c r="J842" s="44">
        <v>0</v>
      </c>
      <c r="K842" s="44">
        <v>0</v>
      </c>
      <c r="L842" s="44">
        <v>2400</v>
      </c>
      <c r="M842" s="44">
        <v>2400</v>
      </c>
      <c r="N842" s="44">
        <v>2400</v>
      </c>
      <c r="O842" s="44">
        <v>2400</v>
      </c>
      <c r="P842" s="12">
        <f>(SUM(G842:N842))</f>
        <v>7200</v>
      </c>
      <c r="Q842" s="44">
        <v>2400</v>
      </c>
      <c r="R842" s="13">
        <v>0</v>
      </c>
      <c r="S842" s="13">
        <v>0</v>
      </c>
      <c r="T842" s="14">
        <f>(SUM(P842:S842))</f>
        <v>9600</v>
      </c>
      <c r="U842" s="13">
        <f>T842+100</f>
        <v>9700</v>
      </c>
      <c r="V842" s="13">
        <f>T842+200</f>
        <v>9800</v>
      </c>
      <c r="W842" s="13" t="s">
        <v>4133</v>
      </c>
      <c r="X842" s="51" t="s">
        <v>714</v>
      </c>
    </row>
    <row r="843" spans="1:24" ht="30" customHeight="1">
      <c r="A843" s="25">
        <v>34</v>
      </c>
      <c r="B843" s="19">
        <v>6696</v>
      </c>
      <c r="C843" s="21" t="s">
        <v>31</v>
      </c>
      <c r="D843" s="50" t="s">
        <v>713</v>
      </c>
      <c r="E843" s="11" t="s">
        <v>432</v>
      </c>
      <c r="F843" s="44">
        <v>2400</v>
      </c>
      <c r="G843" s="44">
        <v>0</v>
      </c>
      <c r="H843" s="44">
        <v>0</v>
      </c>
      <c r="I843" s="44">
        <v>0</v>
      </c>
      <c r="J843" s="44">
        <v>0</v>
      </c>
      <c r="K843" s="44">
        <v>0</v>
      </c>
      <c r="L843" s="44">
        <v>2400</v>
      </c>
      <c r="M843" s="44">
        <v>2400</v>
      </c>
      <c r="N843" s="44">
        <v>2400</v>
      </c>
      <c r="O843" s="44">
        <v>2400</v>
      </c>
      <c r="P843" s="12">
        <f>(SUM(G843:N843))</f>
        <v>7200</v>
      </c>
      <c r="Q843" s="44">
        <v>2400</v>
      </c>
      <c r="R843" s="13">
        <v>0</v>
      </c>
      <c r="S843" s="13">
        <v>0</v>
      </c>
      <c r="T843" s="14">
        <f>(SUM(P843:S843))</f>
        <v>9600</v>
      </c>
      <c r="U843" s="13">
        <f>T843+100</f>
        <v>9700</v>
      </c>
      <c r="V843" s="13">
        <f>T843+200</f>
        <v>9800</v>
      </c>
      <c r="W843" s="13" t="s">
        <v>4133</v>
      </c>
      <c r="X843" s="51" t="s">
        <v>714</v>
      </c>
    </row>
    <row r="844" spans="1:24" ht="23.25">
      <c r="D844" s="287">
        <v>46067</v>
      </c>
    </row>
    <row r="845" spans="1:24" ht="30" customHeight="1">
      <c r="A845" s="1">
        <v>27</v>
      </c>
      <c r="B845" s="13">
        <v>6864</v>
      </c>
      <c r="C845" s="9" t="s">
        <v>872</v>
      </c>
      <c r="D845" s="9" t="s">
        <v>4111</v>
      </c>
      <c r="E845" s="11" t="s">
        <v>147</v>
      </c>
      <c r="F845" s="13">
        <v>1500</v>
      </c>
      <c r="G845" s="13">
        <v>0</v>
      </c>
      <c r="H845" s="13">
        <v>0</v>
      </c>
      <c r="I845" s="13">
        <v>0</v>
      </c>
      <c r="J845" s="13">
        <v>0</v>
      </c>
      <c r="K845" s="13">
        <v>0</v>
      </c>
      <c r="L845" s="13">
        <v>0</v>
      </c>
      <c r="M845" s="13">
        <v>0</v>
      </c>
      <c r="N845" s="12">
        <f>(SUM(G845:M845))</f>
        <v>0</v>
      </c>
      <c r="O845" s="13">
        <v>1500</v>
      </c>
      <c r="P845" s="13">
        <v>0</v>
      </c>
      <c r="Q845" s="13">
        <v>0</v>
      </c>
      <c r="R845" s="14">
        <f>(SUM(N845:Q845))</f>
        <v>1500</v>
      </c>
      <c r="S845" s="13">
        <f>R845+100</f>
        <v>1600</v>
      </c>
      <c r="T845" s="13">
        <f>R845+200</f>
        <v>1700</v>
      </c>
      <c r="U845" s="13" t="s">
        <v>4181</v>
      </c>
      <c r="V845" s="15" t="s">
        <v>4112</v>
      </c>
      <c r="W845" t="s">
        <v>4113</v>
      </c>
    </row>
    <row r="846" spans="1:24" ht="30" customHeight="1">
      <c r="A846" s="60">
        <v>16</v>
      </c>
      <c r="B846" s="13">
        <v>8411984</v>
      </c>
      <c r="C846" s="9" t="s">
        <v>2283</v>
      </c>
      <c r="D846" s="9" t="s">
        <v>1027</v>
      </c>
      <c r="E846" s="71" t="s">
        <v>2251</v>
      </c>
      <c r="F846" s="13">
        <v>3000</v>
      </c>
      <c r="G846" s="13">
        <v>0</v>
      </c>
      <c r="H846" s="13">
        <v>0</v>
      </c>
      <c r="I846" s="13">
        <v>0</v>
      </c>
      <c r="J846" s="13">
        <v>0</v>
      </c>
      <c r="K846" s="13">
        <v>0</v>
      </c>
      <c r="L846" s="13">
        <v>0</v>
      </c>
      <c r="M846" s="13">
        <v>0</v>
      </c>
      <c r="N846" s="12">
        <f>(SUM(G846:M846))</f>
        <v>0</v>
      </c>
      <c r="O846" s="13">
        <v>3000</v>
      </c>
      <c r="P846" s="13">
        <v>0</v>
      </c>
      <c r="Q846" s="13">
        <v>0</v>
      </c>
      <c r="R846" s="14">
        <f>(SUM(N846:Q846))</f>
        <v>3000</v>
      </c>
      <c r="S846" s="13">
        <f>R846+100</f>
        <v>3100</v>
      </c>
      <c r="T846" s="13">
        <f>R846+200</f>
        <v>3200</v>
      </c>
      <c r="U846" s="13" t="s">
        <v>4181</v>
      </c>
      <c r="V846" s="23" t="s">
        <v>2284</v>
      </c>
    </row>
    <row r="847" spans="1:24" ht="30" customHeight="1">
      <c r="A847" s="13">
        <v>9</v>
      </c>
      <c r="B847" s="13">
        <v>907</v>
      </c>
      <c r="C847" s="9" t="s">
        <v>2269</v>
      </c>
      <c r="D847" s="9" t="s">
        <v>1542</v>
      </c>
      <c r="E847" s="71" t="s">
        <v>2251</v>
      </c>
      <c r="F847" s="13">
        <v>1700</v>
      </c>
      <c r="G847" s="13">
        <v>0</v>
      </c>
      <c r="H847" s="13">
        <v>0</v>
      </c>
      <c r="I847" s="13">
        <v>0</v>
      </c>
      <c r="J847" s="13">
        <v>0</v>
      </c>
      <c r="K847" s="13">
        <v>0</v>
      </c>
      <c r="L847" s="13">
        <v>0</v>
      </c>
      <c r="M847" s="13">
        <v>0</v>
      </c>
      <c r="N847" s="12">
        <f>(SUM(G847:M847))</f>
        <v>0</v>
      </c>
      <c r="O847" s="13">
        <v>1700</v>
      </c>
      <c r="P847" s="13">
        <v>0</v>
      </c>
      <c r="Q847" s="13">
        <v>0</v>
      </c>
      <c r="R847" s="14">
        <f>(SUM(N847:Q847))</f>
        <v>1700</v>
      </c>
      <c r="S847" s="13">
        <f>R847+100</f>
        <v>1800</v>
      </c>
      <c r="T847" s="13">
        <f>R847+200</f>
        <v>1900</v>
      </c>
      <c r="U847" s="13" t="s">
        <v>4181</v>
      </c>
      <c r="V847" s="23" t="s">
        <v>2270</v>
      </c>
      <c r="W847" t="s">
        <v>2271</v>
      </c>
      <c r="X847" s="103" t="s">
        <v>2272</v>
      </c>
    </row>
  </sheetData>
  <autoFilter ref="A5:O518"/>
  <mergeCells count="1">
    <mergeCell ref="D3:G3"/>
  </mergeCells>
  <conditionalFormatting sqref="B673">
    <cfRule type="duplicateValues" dxfId="73" priority="74"/>
  </conditionalFormatting>
  <conditionalFormatting sqref="C673">
    <cfRule type="duplicateValues" dxfId="72" priority="73"/>
  </conditionalFormatting>
  <conditionalFormatting sqref="B674">
    <cfRule type="duplicateValues" dxfId="71" priority="72"/>
  </conditionalFormatting>
  <conditionalFormatting sqref="C674">
    <cfRule type="duplicateValues" dxfId="70" priority="71"/>
  </conditionalFormatting>
  <conditionalFormatting sqref="B705:B706">
    <cfRule type="duplicateValues" dxfId="69" priority="70"/>
  </conditionalFormatting>
  <conditionalFormatting sqref="C705:C706">
    <cfRule type="duplicateValues" dxfId="68" priority="69"/>
  </conditionalFormatting>
  <conditionalFormatting sqref="B707">
    <cfRule type="duplicateValues" dxfId="67" priority="68"/>
  </conditionalFormatting>
  <conditionalFormatting sqref="C707">
    <cfRule type="duplicateValues" dxfId="66" priority="67"/>
  </conditionalFormatting>
  <conditionalFormatting sqref="B751:B752">
    <cfRule type="duplicateValues" dxfId="65" priority="66"/>
  </conditionalFormatting>
  <conditionalFormatting sqref="C751:C752">
    <cfRule type="duplicateValues" dxfId="64" priority="65"/>
  </conditionalFormatting>
  <conditionalFormatting sqref="C756">
    <cfRule type="duplicateValues" dxfId="63" priority="64"/>
  </conditionalFormatting>
  <conditionalFormatting sqref="C766">
    <cfRule type="duplicateValues" dxfId="62" priority="63"/>
  </conditionalFormatting>
  <conditionalFormatting sqref="C775">
    <cfRule type="duplicateValues" dxfId="61" priority="62"/>
  </conditionalFormatting>
  <conditionalFormatting sqref="B777">
    <cfRule type="duplicateValues" dxfId="60" priority="61"/>
  </conditionalFormatting>
  <conditionalFormatting sqref="C777">
    <cfRule type="duplicateValues" dxfId="59" priority="60"/>
  </conditionalFormatting>
  <conditionalFormatting sqref="B787">
    <cfRule type="duplicateValues" dxfId="58" priority="59"/>
  </conditionalFormatting>
  <conditionalFormatting sqref="B789">
    <cfRule type="duplicateValues" dxfId="57" priority="58"/>
  </conditionalFormatting>
  <conditionalFormatting sqref="B791">
    <cfRule type="duplicateValues" dxfId="56" priority="57"/>
  </conditionalFormatting>
  <conditionalFormatting sqref="B792">
    <cfRule type="duplicateValues" dxfId="55" priority="56"/>
  </conditionalFormatting>
  <conditionalFormatting sqref="B794:B795">
    <cfRule type="duplicateValues" dxfId="54" priority="55"/>
  </conditionalFormatting>
  <conditionalFormatting sqref="B796">
    <cfRule type="duplicateValues" dxfId="53" priority="54"/>
  </conditionalFormatting>
  <conditionalFormatting sqref="B796">
    <cfRule type="duplicateValues" dxfId="52" priority="53"/>
  </conditionalFormatting>
  <conditionalFormatting sqref="C796">
    <cfRule type="duplicateValues" dxfId="51" priority="52"/>
  </conditionalFormatting>
  <conditionalFormatting sqref="B797">
    <cfRule type="duplicateValues" dxfId="50" priority="51"/>
  </conditionalFormatting>
  <conditionalFormatting sqref="B798">
    <cfRule type="duplicateValues" dxfId="49" priority="50"/>
  </conditionalFormatting>
  <conditionalFormatting sqref="C798">
    <cfRule type="duplicateValues" dxfId="48" priority="49"/>
  </conditionalFormatting>
  <conditionalFormatting sqref="B799">
    <cfRule type="duplicateValues" dxfId="47" priority="48"/>
  </conditionalFormatting>
  <conditionalFormatting sqref="B799">
    <cfRule type="duplicateValues" dxfId="46" priority="47"/>
  </conditionalFormatting>
  <conditionalFormatting sqref="C799">
    <cfRule type="duplicateValues" dxfId="45" priority="46"/>
  </conditionalFormatting>
  <conditionalFormatting sqref="B800">
    <cfRule type="duplicateValues" dxfId="44" priority="45"/>
  </conditionalFormatting>
  <conditionalFormatting sqref="B800">
    <cfRule type="duplicateValues" dxfId="43" priority="44"/>
  </conditionalFormatting>
  <conditionalFormatting sqref="C800">
    <cfRule type="duplicateValues" dxfId="42" priority="43"/>
  </conditionalFormatting>
  <conditionalFormatting sqref="B801">
    <cfRule type="duplicateValues" dxfId="41" priority="42"/>
  </conditionalFormatting>
  <conditionalFormatting sqref="B801">
    <cfRule type="duplicateValues" dxfId="40" priority="41"/>
  </conditionalFormatting>
  <conditionalFormatting sqref="C801">
    <cfRule type="duplicateValues" dxfId="39" priority="40"/>
  </conditionalFormatting>
  <conditionalFormatting sqref="B803">
    <cfRule type="duplicateValues" dxfId="38" priority="39"/>
  </conditionalFormatting>
  <conditionalFormatting sqref="B804">
    <cfRule type="duplicateValues" dxfId="37" priority="38"/>
  </conditionalFormatting>
  <conditionalFormatting sqref="B805">
    <cfRule type="duplicateValues" dxfId="36" priority="37"/>
  </conditionalFormatting>
  <conditionalFormatting sqref="B806">
    <cfRule type="duplicateValues" dxfId="35" priority="36"/>
  </conditionalFormatting>
  <conditionalFormatting sqref="B807">
    <cfRule type="duplicateValues" dxfId="34" priority="35"/>
  </conditionalFormatting>
  <conditionalFormatting sqref="B808">
    <cfRule type="duplicateValues" dxfId="33" priority="34"/>
  </conditionalFormatting>
  <conditionalFormatting sqref="B809">
    <cfRule type="duplicateValues" dxfId="32" priority="33"/>
  </conditionalFormatting>
  <conditionalFormatting sqref="B810">
    <cfRule type="duplicateValues" dxfId="31" priority="32"/>
  </conditionalFormatting>
  <conditionalFormatting sqref="B811">
    <cfRule type="duplicateValues" dxfId="30" priority="31"/>
  </conditionalFormatting>
  <conditionalFormatting sqref="B813">
    <cfRule type="duplicateValues" dxfId="29" priority="30"/>
  </conditionalFormatting>
  <conditionalFormatting sqref="B814">
    <cfRule type="duplicateValues" dxfId="28" priority="29"/>
  </conditionalFormatting>
  <conditionalFormatting sqref="B815">
    <cfRule type="duplicateValues" dxfId="27" priority="28"/>
  </conditionalFormatting>
  <conditionalFormatting sqref="B816">
    <cfRule type="duplicateValues" dxfId="26" priority="27"/>
  </conditionalFormatting>
  <conditionalFormatting sqref="B817">
    <cfRule type="duplicateValues" dxfId="25" priority="26"/>
  </conditionalFormatting>
  <conditionalFormatting sqref="B818">
    <cfRule type="duplicateValues" dxfId="24" priority="25"/>
  </conditionalFormatting>
  <conditionalFormatting sqref="B819">
    <cfRule type="duplicateValues" dxfId="23" priority="24"/>
  </conditionalFormatting>
  <conditionalFormatting sqref="B820">
    <cfRule type="duplicateValues" dxfId="22" priority="23"/>
  </conditionalFormatting>
  <conditionalFormatting sqref="B821">
    <cfRule type="duplicateValues" dxfId="21" priority="22"/>
  </conditionalFormatting>
  <conditionalFormatting sqref="B822">
    <cfRule type="duplicateValues" dxfId="20" priority="21"/>
  </conditionalFormatting>
  <conditionalFormatting sqref="B823">
    <cfRule type="duplicateValues" dxfId="19" priority="20"/>
  </conditionalFormatting>
  <conditionalFormatting sqref="B825">
    <cfRule type="duplicateValues" dxfId="18" priority="19"/>
  </conditionalFormatting>
  <conditionalFormatting sqref="B826">
    <cfRule type="duplicateValues" dxfId="17" priority="18"/>
  </conditionalFormatting>
  <conditionalFormatting sqref="B827">
    <cfRule type="duplicateValues" dxfId="16" priority="17"/>
  </conditionalFormatting>
  <conditionalFormatting sqref="B828">
    <cfRule type="duplicateValues" dxfId="15" priority="16"/>
  </conditionalFormatting>
  <conditionalFormatting sqref="B829">
    <cfRule type="duplicateValues" dxfId="14" priority="15"/>
  </conditionalFormatting>
  <conditionalFormatting sqref="B830">
    <cfRule type="duplicateValues" dxfId="13" priority="14"/>
  </conditionalFormatting>
  <conditionalFormatting sqref="B831">
    <cfRule type="duplicateValues" dxfId="12" priority="13"/>
  </conditionalFormatting>
  <conditionalFormatting sqref="B832">
    <cfRule type="duplicateValues" dxfId="11" priority="12"/>
  </conditionalFormatting>
  <conditionalFormatting sqref="B833">
    <cfRule type="duplicateValues" dxfId="10" priority="11"/>
  </conditionalFormatting>
  <conditionalFormatting sqref="B834:B835">
    <cfRule type="duplicateValues" dxfId="9" priority="10"/>
  </conditionalFormatting>
  <conditionalFormatting sqref="B836">
    <cfRule type="duplicateValues" dxfId="8" priority="9"/>
  </conditionalFormatting>
  <conditionalFormatting sqref="B837">
    <cfRule type="duplicateValues" dxfId="7" priority="8"/>
  </conditionalFormatting>
  <conditionalFormatting sqref="B838">
    <cfRule type="duplicateValues" dxfId="6" priority="7"/>
  </conditionalFormatting>
  <conditionalFormatting sqref="B840:B841">
    <cfRule type="duplicateValues" dxfId="5" priority="6"/>
  </conditionalFormatting>
  <conditionalFormatting sqref="B842:B843">
    <cfRule type="duplicateValues" dxfId="4" priority="5"/>
  </conditionalFormatting>
  <conditionalFormatting sqref="B843">
    <cfRule type="duplicateValues" dxfId="3" priority="4"/>
  </conditionalFormatting>
  <conditionalFormatting sqref="B845">
    <cfRule type="duplicateValues" dxfId="2" priority="3"/>
  </conditionalFormatting>
  <conditionalFormatting sqref="B846">
    <cfRule type="duplicateValues" dxfId="1" priority="2"/>
  </conditionalFormatting>
  <conditionalFormatting sqref="B847">
    <cfRule type="duplicateValues" dxfId="0" priority="1"/>
  </conditionalFormatting>
  <pageMargins left="0.18" right="0.26" top="0.4" bottom="0.38" header="0.3" footer="0.3"/>
  <pageSetup paperSize="9" scale="49" orientation="landscape" r:id="rId1"/>
  <rowBreaks count="10" manualBreakCount="10">
    <brk id="239" max="21" man="1"/>
    <brk id="283" max="21" man="1"/>
    <brk id="320" max="21" man="1"/>
    <brk id="357" max="21" man="1"/>
    <brk id="381" max="21" man="1"/>
    <brk id="414" max="21" man="1"/>
    <brk id="444" max="21" man="1"/>
    <brk id="482" max="21" man="1"/>
    <brk id="517" max="21" man="1"/>
    <brk id="566" max="2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01-03-2025-26</vt:lpstr>
      <vt:lpstr>Struck off  (2)</vt:lpstr>
      <vt:lpstr>'01-03-2025-26'!Print_Area</vt:lpstr>
      <vt:lpstr>'Struck off  (2)'!Print_Area</vt:lpstr>
      <vt:lpstr>'01-03-2025-26'!Print_Titles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World</dc:creator>
  <cp:lastModifiedBy>Computer World</cp:lastModifiedBy>
  <cp:lastPrinted>2025-10-13T02:32:12Z</cp:lastPrinted>
  <dcterms:created xsi:type="dcterms:W3CDTF">2025-10-13T02:30:25Z</dcterms:created>
  <dcterms:modified xsi:type="dcterms:W3CDTF">2026-02-19T07:06:56Z</dcterms:modified>
</cp:coreProperties>
</file>